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quelch (prequel)" sheetId="1" r:id="rId5"/>
    <sheet state="visible" name="Dolroruuk" sheetId="2" r:id="rId6"/>
    <sheet state="visible" name="Ecthelion" sheetId="3" r:id="rId7"/>
    <sheet state="visible" name="Chef Ture" sheetId="4" r:id="rId8"/>
    <sheet state="visible" name="Wobbly Bobbly" sheetId="5" r:id="rId9"/>
    <sheet state="visible" name="Gnat" sheetId="6" r:id="rId10"/>
    <sheet state="visible" name="Creature X-12" sheetId="7" r:id="rId11"/>
    <sheet state="visible" name="Squelch" sheetId="8" r:id="rId12"/>
    <sheet state="visible" name="Jerry Garcia" sheetId="9" r:id="rId13"/>
    <sheet state="visible" name="Madam Renata" sheetId="10" r:id="rId14"/>
    <sheet state="visible" name="Noraggen" sheetId="11" r:id="rId15"/>
    <sheet state="visible" name="Sookie Stackhouse" sheetId="12" r:id="rId16"/>
    <sheet state="visible" name="Buckley" sheetId="13" r:id="rId17"/>
    <sheet state="visible" name="Leonardo" sheetId="14" r:id="rId18"/>
    <sheet state="visible" name="Rolyn" sheetId="15" r:id="rId19"/>
    <sheet state="visible" name="Anfer" sheetId="16" r:id="rId20"/>
    <sheet state="visible" name="Norixius" sheetId="17" r:id="rId21"/>
    <sheet state="visible" name="Goblert Godfrey" sheetId="18" r:id="rId22"/>
    <sheet state="visible" name="Raguel" sheetId="19" r:id="rId23"/>
    <sheet state="visible" name="Orakhar" sheetId="20" r:id="rId24"/>
    <sheet state="visible" name="Lyrielle" sheetId="21" r:id="rId25"/>
    <sheet state="visible" name="Sentient Hat" sheetId="22" r:id="rId26"/>
    <sheet state="visible" name="Arvistan Brightwave" sheetId="23" r:id="rId27"/>
    <sheet state="visible" name="Zandarax" sheetId="24" r:id="rId28"/>
    <sheet state="visible" name="Agatha" sheetId="25" r:id="rId29"/>
    <sheet state="visible" name="Lorien" sheetId="26" r:id="rId30"/>
    <sheet state="visible" name="Darrendrian" sheetId="27" r:id="rId31"/>
    <sheet state="visible" name="Morty" sheetId="28" r:id="rId3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Cleared a corrupted temple of Sylvanus in the High Forest and reclaimed it from the Cult of Orcus. Learned that my ancestors were an elf and silver dragon who began the Galadh’Elen family line and founded the temple to Sylvanus. Moved into the temple as my bastion with Krock, Ashryn, and my silver dragon wyrmling cousin, Nezzarum. Received Shield +1 from my ancestral statue, along with Adamantine Breastplate and Silver Dragon's Wrath Spear.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2">
      <text>
        <t xml:space="preserve">You gain 10 temporary hit points each day at dawn.</t>
      </text>
    </comment>
    <comment authorId="0" ref="J16">
      <text>
        <t xml:space="preserve">Chardalyn Earring (Headband of Intellect)
This earring is crafted from the unusual material chardalyn, which retains much of the cruel mindset of the Crenshinibon. This provides the earring’s intellect-boosting properties, but it often whispers notions of grandeur and words of confidence into its wearer’s mind and urges them to accumulate more and greater power.</t>
      </text>
    </comment>
    <comment authorId="0" ref="L16">
      <text>
        <t xml:space="preserve">Among other skilled warriors, you successfully defended Easthaven, along with one of the other Ten-Towns in this adventure.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3">
      <text>
        <t xml:space="preserve">10 Diamonds, 5 Rubies, 13 Fire Opals, 27 Opals</t>
      </text>
    </comment>
    <comment authorId="0" ref="L17">
      <text>
        <t xml:space="preserve">Cunning Insight. The Vistani are quite good at reading people. If you spend 10 downtime days learning from the Vistani, you may invoke it at any point in the future, granting advantage to all attack rolls made during your turn. Remove this story award from your logsheet once it's been used.
Trackless Travel. Some Vistani know secrets to conceal their passage through the wilderness. If you spend 10 downtime days learning these secrets, you can apply them during future travel. For one day you choose in the future, each creature you choose within 30 feet of you (including you) can't be tracked except by magical means and leaves behind no tracks nor other traces of its passage. Remove this story award from your logsheet once it's been used.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6">
      <text>
        <t xml:space="preserve">Friend of Phlan. You have performed a significant service for Phlan – and for Calypso, the new regent. She has marked you as an ally of the guard so long as you openly wear the pendant.</t>
      </text>
    </comment>
    <comment authorId="0" ref="M17">
      <text>
        <t xml:space="preserve">Tarot of Fates (The Tower): Upright
Upright: You delivered the wagon of coin to Widar Patja in the proscribed manner. In the coming months the city will see significant changes at his hand.
Touched by the Fates:
Many Powers circle around Thentia, and the Moonsea, searching for lost magical artifacts. For whatever reason, the Fates have chosen you to be involved.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4">
      <text>
        <t xml:space="preserve">I suffer from a phobia of small cave entrances and holes.</t>
      </text>
    </comment>
    <comment authorId="0" ref="J20">
      <text>
        <t xml:space="preserve">Wondrous item, unique (requires attunement)
While wearing these glasses, as an action, you can instantaneously resummon a deceased, certed or Holiday Event vanity pet or mount that can be returned to life by the find familiar or find steed spells. Once returned to life, they have no new additions to the roles and abilities they had before death (for example, these glasses do not transform them into a familiar or steed). If you are not attuned to your glasses, that does not kill your pet.
The glasses can’t be used this way again until the next dawn.</t>
      </text>
    </comment>
    <comment authorId="0" ref="L20">
      <text>
        <t xml:space="preserve">Elemental Master: You defeated the water elemental forces on their own ground in the River Camp. This may have an effect in future D8 Summit modules.
Wild Hunter: You participated in a Wild Hunt. This may have an effect in future D8 Summit modules.</t>
      </text>
    </comment>
    <comment authorId="0" ref="J23">
      <text>
        <t xml:space="preserve">This ring has the personal sigil of the ancient ruler of Thultanthar, Lord Shadow engtaved on the center black opal. The band is pure shadow when worn and leaves the wearer feeling distinctly cold. It has 13 diamonds surrounding a large black opal. The ring currently has the spells Arcane Lock and Tongues in it. 
With: Shield (x3) Cure Wounds (x2)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2">
      <text>
        <t xml:space="preserve">Your eyes become as cold as ice. You gain immunity to cold damage. In addition, you can cast the cone of cold spell (save DC 15) once. You regain the ability to cast this spell when you finish a long rest.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3">
      <text>
        <t xml:space="preserve">This weapon has a basket hilt forged to resemble a woman draped in kelp and nets--similar in appearance to that of a ship's figurehead. When used in battle, the woman sings a rather obscene sea shanty audible to anyone within 30 feet.</t>
      </text>
    </comment>
    <comment authorId="0" ref="L23">
      <text>
        <t xml:space="preserve">You have a +3 bonus to attack and damage rolls made with this piece of magic ammunition. Once it hits a target, the ammunition is no longer magical.
Each arrow shaft has the name of a different fabled magic item inscribed upon it in Infernal. The names on the arrows are:  Bookmark, Deck of Many Things, Iron Flask, Ironfang, Ring of Winter, and Sunsword.</t>
      </text>
    </comment>
    <comment authorId="0" ref="M29">
      <text>
        <t xml:space="preserve">Lord Casplardann has awarded you a Grant of Arms, allowing you to place “Lord” or “Lady” before your name and legally display your heraldic crest on a shield or banner. While in Thentia, people are inclined to think the best of you. You are welcome in high society, and people assume you have the right to be wherever you are. The common folk make every effort to accommodate you and avoid your displeasure, and other people of high birth treat you as a member of the same social sphere. In addition, you can secure an audience with a Thentian noble if you need to.</t>
      </text>
    </comment>
    <comment authorId="0" ref="M37">
      <text>
        <t xml:space="preserve">YOU’VE GOT A FRIEND IN ME
You have proven yourself an ally to not only your own faction, but to those who banded together to fight the necromancer, Marzellus Marshward. You are always welcome at the Waypoint Bindery, on the northwestern shore of the Moonsea. In addition, you can use the Waypoint to pass word on to your faction, even if your faction representative it not present at the time, and messages will be passed to you should they arrive but your faction contact is not currently at the bindery. Finally, Krenez, the founder of the Waypoint, will always have a bed and a meal for you should you need it, free of charge.</t>
      </text>
    </comment>
    <comment authorId="0" ref="M47">
      <text>
        <t xml:space="preserve">You have made a copy of The Death of the Mind, the book requested by Master Reader Alsbith. Written in a code using an ancient dialect of Chultan, the book is nearly indecipherable. If you speak Chultan or can use magic or class features every day to read it, you can attempt to break the code. Spend 10 DT and attempt a DC 20 Intelligence check in front of your DM. If you are successful, you will eventually crack the code in a future adventure. If not, you fail, but you can choose to spend another 10 DT and try again.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3">
      <text>
        <t xml:space="preserve">The Beholder Corps is in your debt and offer you a permanent (secondary) position in the Mulmaster Beholder Corps. You will aid the Corps in battle, help them earn respect, and many other things a low-ranking officer might do. In turn, the Beholder Corps will come to your aid when it is most convenient, and allow you to pick a slightly less pompous title than their own. This may come into use in the future...
</t>
      </text>
    </comment>
    <comment authorId="0" ref="M54">
      <text>
        <t xml:space="preserve">You helped free Fenaria Neverdusk from Glaugrax's insidious influence, and bore witness to her sacrifice on the Docks.
While her tale has ended, her legacy and the legacy of Tymora's Smile lives on in the puzzle cube she handed to you in her final moments. Perhaps her tale might be worth recounting to others you meet in the future. </t>
      </text>
    </comment>
    <comment authorId="0" ref="M55">
      <text>
        <t xml:space="preserve">Allows access to Bert's reserved booth at the tavern Kallisa's Ballad.</t>
      </text>
    </comment>
    <comment authorId="0" ref="M56">
      <text>
        <t xml:space="preserve">You prevailed in a direct duel of the minds with the alhoon Berach, thus your mind is strengthened. You may choose to have advantage on each of the three mental saves once, scratching each off the sheet after use (once each for an Intelligence, Wisdom and Charisma save).</t>
      </text>
    </comment>
    <comment authorId="0" ref="K57">
      <text>
        <t xml:space="preserve">Weapon (longsword), rare (requires attunement) The origin of this sword is unknown, but its design is highly unique. Unlike typical sun blades that have a metal guard on their hilts, this one is comprised only of handle. The handle is adorned with ivory figureheads on either side — a devil and a dragon.
When used one-handed, the dragon’s eyes light up red a blade of reddish sunlight extends from its mouth. When used two-handed, a second blade extends from the devil side of the hilt, resulting in a weapon that is closer in appearance to a staff. Mechanically, this weapon functions exactly as a regular sun blade</t>
      </text>
    </comment>
    <comment authorId="0" ref="M57">
      <text>
        <t xml:space="preserve">Maladomini’s prevailing theme is truth, and the truth is… you’ve violated the laws of this place. Whether you’ve done so knowingly or not, Baalzebul, lord of the seventh layer of the Nine Hells, has deemed you guilty of this transgression and has banned you from ever returning. You can’t participate in further adventures in this place. A character with this story award may visit other areas of the Nine Hells but has been banned from Maladomini.</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5">
      <text>
        <t xml:space="preserve">This old ginger tomcat has a heart of gold and likes nothing better than to snooze on your lap. He wears a name tag on his collar that identifies him as “Marmaduke”, but the tag has chipped off just underneath “This Cat Belongs To…”. If you can find Marmaduke’s owner, you’re sure to get a reward!
Unfortunately, Marmaduke is extremely cowardly. During combat, he leaps onto you and digs his claws in, never letting go and scrambling all over your body. Treat this as a flaw – if you use it to your disadvantage, your DM can grant inspiration at their discretion.</t>
      </text>
    </comment>
    <comment authorId="0" ref="M16">
      <text>
        <t xml:space="preserve">Cthulhu Cometh - The character opens their eyes to the emptiness of an infinite galaxy. Planets, stars, and solar systems break the darkness as they float aimlessly in space. The light of a nearby sun shines upon the silhouette of a behemoth humanoid creature. The creature slowly turns, revealing the grotesque hideousness of its face and octopus-like head covered with feelers squirming their way towards the character’s helpless body. The figure’s mouth opens to razor-sharp teeth, which set upon the character like a grinder. After a moment of searing pain, the character wakes, lost deep in the Underdark, with the word “Cthulhu” deeply (and permanently) etched into the skin of their forehead.</t>
      </text>
    </comment>
    <comment authorId="0" ref="N20">
      <text>
        <t xml:space="preserve">Learned from Skippio:
*Detect Magic (1hr 25gp)
*Comprehend Languages (1hr 25gp)
*Mind Spike (2hrs 50gp)
*Identify (1hr 25gp)
Mirror Image (4hrs 100gp)
Slow (6hrs 150 gp)
Total: 15hrs 375gp</t>
      </text>
    </comment>
    <comment authorId="0" ref="M22">
      <text>
        <t xml:space="preserve">Shiallia, the Daughter of the High Forest, owes you for helping out Soleil—regardless of the outcome. Small woodland animals of the High Forest treat you like royalty.</t>
      </text>
    </comment>
    <comment authorId="0" ref="N22">
      <text>
        <t xml:space="preserve">Learned from Cassandra:
Feather Fall (2hrs 50gp)
Shatter (4hrs 100gp)
*See Invisibility (2hrs 50gp)</t>
      </text>
    </comment>
    <comment authorId="0" ref="M23">
      <text>
        <t xml:space="preserve">Elemental Master - You defeated the water elemental forces on their own ground in the River Camp. This may have an effect in future D8 Summit modules.
Wild Hunter - You defeated the water elemental forces on their own ground in the River Camp. This may have an effect in future D8 Summit modules.
</t>
      </text>
    </comment>
    <comment authorId="0" ref="N24">
      <text>
        <t xml:space="preserve">two copies (one turned in [edit:12/24/2020 turned in second copy as entrance fee to Candlekeep]):
1st level (4 slots): detect magic, mage armor, magic missile, shield
2nd level (3 slots): misty step, suggestion
3rd level (3 slots): counterspell, fireball, fly
4th level (3 slots): greater invisibility, ice storm
5th level (1 slot): cone of cold
one copy: 
1st level: fog cloud, grease, magic missile, unseen servant
2nd level: cloud of daggers, darkvision, gust of wind
3rd level: Leomund’s tiny hut, sending, stinking cloud
4th level: Mordenkainen’s faithful hound
5th level: conjure elemental
copied into my spell book:
grease (2hrs 50gp)
cloud of daggers (4hrs 100gp)
fly (6hrs 150gp)
</t>
      </text>
    </comment>
    <comment authorId="0" ref="M28">
      <text>
        <t xml:space="preserve">You have caught the attention of Etana, a powerful wizard from the future that becomes a Lich. Making enemies you haven’t met yet is never a good idea.</t>
      </text>
    </comment>
    <comment authorId="0" ref="K29">
      <text>
        <t xml:space="preserve">Burned into the grain on the outside of the wooden carafe is the wreathed visage of The Green Man himself.</t>
      </text>
    </comment>
    <comment authorId="0" ref="M31">
      <text>
        <t xml:space="preserve">Ally of Thay. You are known to be an ally of the Thayan Plateau, whether you want to or not. You have advantage on Charisma-based checks with Red Wizards and other non-slaves from Thay.
Friend of Rashemen. You have earned the respect and regard of the Rashemi people by rescuing the Vremyonni and retuning the wychlaran mask. You have advantage on all social checks with the people of Rashemen if they know your name and what you did</t>
      </text>
    </comment>
    <comment authorId="0" ref="N31">
      <text>
        <t xml:space="preserve">1st level (4 slots): absorb elements, mage armor, magic
missile, tenser’s floating disk, alarm
2nd level (3 slots): mirror image, misty step, shatter
3rd level (3 slots): counterspell, fireball, lightning bolt,
water breathing, Leomund’s tiny hut.
4th level (3 slots): ice storm, stoneskin, greater
invisibility
5th level (2 slots): Bigby’s hand, cone of cold, rary’s
telepathic bond
6th level (1 slot): chain lightning, guards and wards</t>
      </text>
    </comment>
    <comment authorId="0" ref="M35">
      <text>
        <t xml:space="preserve">Downtime Activity: 
DREAMWALKER. Kryshilir has taught you to look beyond the veil of the world and navigate your dreams. By spending 25 downtime days, you travel to the Seven Stones and meditate under Kryshilir’s whispered guidance. Upon completing this downtime activity, you gain the Dreamwalker story award (below).
Story Award:
DREAMWALKER. Your meditations have granted you the gift of foresight. Upon receiving this story award, roll a d20 and record the number rolled. Once, you can replace any attack roll, saving throw, or ability check made by you or a creature that you can see with the number you rolled. You must choose to do so before the roll. Once you have used this story award in this fashion, remove it. This story award may be earned again as often as you like, but you must complete the Dreamwalker downtime activity (above) each time and may not do so again until you no longer possess this story award.</t>
      </text>
    </comment>
    <comment authorId="0" ref="M36">
      <text>
        <t xml:space="preserve">Upright: You delivered the wagon of coin to Widar Patja in the proscribed manner. In the coming months the city will see significant changes at his hand.
Touched by the Fates: Many Powers circle around Thentia, and the Moonsea, searching for lost magical artifacts. For whatever reason, the Fates have chosen you to be involved.</t>
      </text>
    </comment>
    <comment authorId="0" ref="M37">
      <text>
        <t xml:space="preserve">Fangjaws Citizen. You have been branded a citizen of Fangjaws Hold. While you have no fealty to this monster town, you wear its brand. All orcs, goblinoids and ogres that are under Fangjaw’s protection will give you and your traveling companions safe passage. Any enemy of Fangjaws that sees the brand, such as the Burning Dagger orcs, may start with a hostile attitude towards you.
Rashemi Regard. You have done a great server for the Rashemi people. The people of Rashemen may look favorably upon you.</t>
      </text>
    </comment>
    <comment authorId="0" ref="M40">
      <text>
        <t xml:space="preserve">Seven for the Secret - This familiar option allows the character to choose to summon Meaigh the magpie as a familiar in future adventures. Meaigh is treated as having the stats of a raven, with the adjustments listed under the spell Find Familiar. She gains the fey subtype as indicated in that spell, and can speak and understand both Common and Sylvan. Maigh has intuitive knowledge of the Feywild and its denizens, and she may provide advantage on skill checks related to these topics (at DM discretion).
Maigh has the following roleplaying tips:
Personality: I must collect all the shinies. I can’t resist good gossip – overhearing it or sharing it.         
Ideal: Trickery is the sincerest form of flattery.
Bond: I will serve my master, however begrudgingly.
Flaw: I can’t keep a secret – but I will keep all the shinies!
From the corner of their eye, characters and NPC’s might see Meaigh as a tiny harpy-like humanoid with distinctly birdlike features and blue feathers, a vision dispelled if Meaigh gets a second look.Characters and NPC’s with true sight will see Meaigh in this harpy-like form only.
I Have Felt Him - The character has saved Inim the Diviner from certain death at the hands of Ambrose the Puka. In return, Inim promises to be there during their hour of greatest need. This story award will come into play in a future CCC-DES-01 adventure.</t>
      </text>
    </comment>
    <comment authorId="0" ref="M41">
      <text>
        <t xml:space="preserve">Characters who are already citizens of Fangjaws Hold may become nobles. These characters get their brand modified to have two vertical bars flanking the open maw. The bars represent the gate.
You have further served Fangjaws Hold and have been rewarded with nobility. From this point forward, you may purchase a house in the Little Moonsea district for 2000 GP and 20 downtime days. This also increases your lifestyle expenses by 1 GP. In addition, you may administer justice to the citizens of Fangjaws Hold.</t>
      </text>
    </comment>
    <comment authorId="0" ref="K42">
      <text>
        <t xml:space="preserve">Stygian Scale Mail (Smoldering Armor)
Armor (scale mail), common
Wisps of harmless, odorless smoke rise from this armor while it is worn.
This light blue, ice like armor with closed helm included is light but durable. When exposed to the air, the humidity around the armor condenses into tiny droplets, becoming visible wisps of mist-like vapor.
A copy of the Nightsong Clan’s infernal contract is engraved all over the armor, reminding its wearer to search for the soul of Rem Nightsong and bring it to the Nine Hells.
This item can be found on the Common Magic Item Table in Xanathar’s Guide to Everything.</t>
      </text>
    </comment>
    <comment authorId="0" ref="M42">
      <text>
        <t xml:space="preserve">Banned: Stygia. The frozen, inhospitable wilderness of Stygia is home to many vile creatures as well as an uncountable number from the Material Plane. Desperate criminals and those condemned to death may pray to Levistus, the ruler of Stygia, for freedom; should he answer, they are transported here. For reasons known only to you and him, you are forever banned from setting foot within Stygia. Perhaps you redeemed too many souls, or maybe you were discovered to be in league with Geryon, the former ruler of this realm; regardless, Levistus has closed this layer of the Nine Hells to you. You can’t participate in further adventures in this place.
A character with this story award may visit other areas of the Nine Hells but has been banned from Stygia. This story award is described in Appendix 9.</t>
      </text>
    </comment>
    <comment authorId="0" ref="K44">
      <text>
        <t xml:space="preserve">Nettle (+2 Hand Crossbow)
Weapon (hand crossbow), rare (requires attunement by a creature of non‐lawful alignment)
This hand crossbow looks to have seen better times. The wood is cracked and splintered and the string is heavily‐frayed. A large, blue feather hangs from the handgrip alongside a couple green, glass baubles. The crossbow whispers warnings to its bearer, granting a +2 bonus to initiative if the bearer isn't incapacitated. 
You have a +2 bonus to Attack and Damage Rolls made with this weapon.
Sentience. Nettle is a sentient chaotic neutral weapon with an Intelligence of 15, a Wisdom of 10, and a Charisma of 14. It has hearing and darkvision out to a range of 120 feet. Nettle speaks Common and Halfling. 
Personality. Nettle is greedy and impetuous, and prefers that its wielder share these ideals. It demands It demands to be better taken care of than its previous owners did. If its bearer is lawfully‐aligned, or if its bearer does not spend at least an hour each day tending to it (polishing, applying resin to the string, etc.), Nettle denies its bonuses to attack and damage rolls and initiative checks. It also shouts out insults to those nearby, imposing disadvantage on any Charisma (Deception or Persuasion) checks or Dexterity (Stealth) check that its wielder makes to move silently.</t>
      </text>
    </comment>
    <comment authorId="0" ref="M44">
      <text>
        <t xml:space="preserve">You've earned the respect of a griffon of the Earthspur Mountains. These proud beasts nest high in the crags, tended by Emerald Enclave rangers. Your griffon mount travels with you as a trusted friend and ally.
The griffon answers to any name you choose. To keep it fed, you must provide it with living horseflesh. Increase your lifestyle expenses by 5gp per downtime day. This covers the expense of buying a draft horse every tenday to feed to your griffon. If you can't afford to feed the griffon, it returns to the Earthspur Mountains.  </t>
      </text>
    </comment>
    <comment authorId="0" ref="M46">
      <text>
        <t xml:space="preserve">A Grateful Father. You have helped the blacksmith, Jaylan Blackwood rid his daughter of madness and an unexplained illness. He is forever grateful.
Helping a Champion of Hillsfar
You have freed a mighty hero of Hillsfar from his curse. Your deeds spread far and wide and eventually reach the leaders of Hillsfar.</t>
      </text>
    </comment>
    <comment authorId="0" ref="M51">
      <text>
        <t xml:space="preserve">Mental Fortitude
You prevailed in a direct duel of the minds with the alhoon Berach, thus your mind is strengthened. You may choose to have advantage on each of the three mental saves once, scratching each off the sheet after use (once each for an Intelligence, Wisdom and Charisma save).</t>
      </text>
    </comment>
    <comment authorId="0" ref="N52">
      <text>
        <t xml:space="preserve">Necromancer's Spellbook:
1st level: false life, mage armor, ray of sickness
2nd level: blindness/deafness, ray of enfeeblement, web
3rd level: animate dead, counterspell, vampiric touch
4th level: blight, dimension door, stoneskin
5th level: bigby’s hand, cloudkill
6th level: circle of death</t>
      </text>
    </comment>
    <comment authorId="0" ref="M54">
      <text>
        <t xml:space="preserve">Emblem of Ambledragon:
The emblems are made of precious metals and gems in the shape of Ambledragon’s crest. It signifies that you have proven your worth to Ambledragon. As such, you gain advantage on all Charisma persuasion and Intimidation checks while in the Estirwald region and it is on display.
My Teddy Bear Has Claws:
Your generosity and good nature were on display by agreeing to play Jim's game, despite hearing the ridiculous rules. As you leave the clearing where The Magician Randel Malark Ambledragon's house is you feel something squirming in your pocket. A tiny Zorbo pops its head out and looks at you. This tiny zorbo is utterly harmless as it fits in the palm of your hand. This creature has no mechanical effects and is a pet only, albeit a mischievous pet that loves playing games. </t>
      </text>
    </comment>
    <comment authorId="0" ref="M55">
      <text>
        <t xml:space="preserve">You have made a copy of The Death of the Mind, the book requested by Master Reader Alsbith. Written in a code using an ancient dialect of Chultan, the book is nearly indecipherable. If you speak Chultan or can use magic or class features every day to read it, you can attempt to break the code. Spend 10 DT and attempt a DC 20 Intelligence check in front of your DM. If you are successful, you will eventually crack the code in a future adventure. If not, you fail, but you can choose to spend another 10 DT and try again.</t>
      </text>
    </comment>
    <comment authorId="0" ref="N58">
      <text>
        <t xml:space="preserve">Fyndulaas's spellbook:
1: detect magic, magic missile, shield, thunderwave
2: detect thoughts, invisibility, Melf's acid arrow, mirror image
3: animate dead, counterspell, dispel magic, fireball
4: blight, dimension door
5: cloudkill, scrying
6: disintegrate, globe of invulnerability
7: finger of death, plane shift
8: dominate monster, power word stun
9: power word kill
Written in the very back of the book are scribed the true names of three demons that Fyndulaas would oft times summon to do his bidding. They are:
Gaggazoth, the Cleaver of the Horned King (tanarukk)
Valgurrek the Gluttonous (barlgura)
Thurzoggad, Scythe of the Six Fingered Lord (babau)</t>
      </text>
    </comment>
    <comment authorId="0" ref="M61">
      <text>
        <t xml:space="preserve">CHRISTIAN LOUIE is in your debt for saving him from the intimidation of the Moonlight Enterprises crew as well as saving his life from those creatures that appeared in the theater. As such, he will honor a set of fine footwear for Rymdyl to match the outfits she ordered from Taam. He will also offer a set of fine boots for each character.</t>
      </text>
    </comment>
    <comment authorId="0" ref="M62">
      <text>
        <t xml:space="preserve">Honorary Bullywog. For helping to free their god from the bonds of oppression, a bullywug tribe of Chult owes you a life-debt. Should you ever find yourself in the presence of this bullywug tribe in Chult during a future QCC adventure, you will be treated as an ally. Should you ever willingly kill a froghemoth while in Chult or in the presence of a bullywug, this story award is lost.
Ecology of the Terrasque. Your research on the tarrasque grants you an encyclopedic knowledge of the history and lore of this creature. This award may have additional repercussions in future QCC modules.
Membership in the Royal Order of Terrasque Herders. Dryearth has offered you membership in the Order if you swear an oath to come to need of any civilized people threatened upon the return of the true tarrasque. This award may have additional repercussions in future QCC modules.
</t>
      </text>
    </comment>
    <comment authorId="0" ref="M65">
      <text>
        <t xml:space="preserve">House Moonstar Magic Item Trading (Downtime Activity). House Moonstar offers any tier appropriate items for trade (player choice). This downtime activity can only be done once per character.
You receive an estate in Waterdeep worth 15,000 gp along with an official property transfer notice signed by a magistrate and authorized by the Lords of Waterdeep. 
</t>
      </text>
    </comment>
    <comment authorId="0" ref="N68">
      <text>
        <t xml:space="preserve">Copied Catnap (lvl 3) from Fotia.</t>
      </text>
    </comment>
    <comment authorId="0" ref="M73">
      <text>
        <t xml:space="preserve">Lord Casplardann has awarded you a Grant of Arms, allowing you to place “Lord” or “Lady” before your name and legally display your heraldic crest on a shield or banner. While in Thentia, people are inclined to think the best of you. You are welcome in high society, and people assume you have the right to be wherever you are. The common folk make every effort to accommodate you and avoid your displeasure, and other people of high birth treat you as a member of the same social sphere. In addition, you can secure an audience with a Thentian noble if you need to.</t>
      </text>
    </comment>
    <comment authorId="0" ref="N80">
      <text>
        <t xml:space="preserve">Copied from previously collected spellbooks:
Alarm (1)
Tenser's Disk (1)
Cone of Cold (5)
Guards and Wards (6)
Circle of Death (6)
Globe of Invulnerability (6)
Finger of Death (7)
Dominate Monster (8)
Total 51 levels = 2150 gp, 14 days</t>
      </text>
    </comment>
    <comment authorId="0" ref="M104">
      <text>
        <t xml:space="preserve">Characters can spend time in the Hall of Omens learning about signs and portents. A wizard of the school of divination may spend 200 downtime days to gain 1 additional portent dice.</t>
      </text>
    </comment>
    <comment authorId="0" ref="M114">
      <text>
        <t xml:space="preserve">You claimed a cursed golden coin from Abeir. </t>
      </text>
    </comment>
    <comment authorId="0" ref="K122">
      <text>
        <t xml:space="preserve">Material Plane, Abyss, Astral Plane, Avernus, the Far Realm, Plane of Earth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X5">
      <text>
        <t xml:space="preserve">Way of the Dragon. You are as elusive and free as the Dragon of Heavenly Blessings. This charm has 6 charges. As an action, you can expend 1 charge and gain one of the following benefits:
Difficult terrain doesn’t cost you extra movement until the end of your next long rest.
The next time you end your turn paralyzed or restrained, that condition ends on you. This benefit then ends.
After you expend a charge, you can’t do so again until you finish a long rest. Once all its charges have been expended, the charm vanishes from you.</t>
      </text>
    </comment>
    <comment authorId="0" ref="J64">
      <text>
        <t xml:space="preserve">Blessing, uncommon (requires attunement)
This blessing has been bestowed upon you by Tyr in recognition of your service to the city and citizens of Phlan in the face of great peril to your own well-being. You gain a +1 bonus to ability checks and saving throws. This blessing may be refused. If accepted, it requires an attunement slot.
This blessing is offered to all adventurers regardless of completing the other two adventures in the trilogy. This blessing is not tradeable, and if refused or unattuned, it may not be regained.</t>
      </text>
    </comment>
    <comment authorId="0" ref="L66">
      <text>
        <t xml:space="preserve">Mental Fortitude
You prevailed in a direct duel of the minds with the alhoon Berach, thus your mind is strengthened. You may choose to have advantage on each of the three mental saves once, scratching each off the sheet after use (once each for an Intelligence, Wisdom and Charisma save).
Used: Int
</t>
      </text>
    </comment>
    <comment authorId="0" ref="L68">
      <text>
        <t xml:space="preserve">With the alhoon's unique plane available for study, those interested in its creation can spend time studying it and learn its secrets. By spending 50 downtime days, a character can do one of the following to a demiplane they have created. Each effect can be given used multiple times, costing 50 downtime days per use. Each individual demiplane that you control can receive each of the following effects once.
• Hide one created demiplane, making other spellcasters unable to enter the chosen demiplane without explicit permission. This can take the form of a key, object, pass-phrase, or other way to authenticate.
• Connect one demiplane with another chosen demiplane that they control. This allows easy access to the connected demiplanes without the need to cast demiplane multiple times.</t>
      </text>
    </comment>
    <comment authorId="0" ref="L70">
      <text>
        <t xml:space="preserve">During the Celebration of Swords, your team defeated all the other combatants to become the champions of Hillsfar Arena. Worshippers of Tempus, especially the faithful at the Vault of Swords in Hillsfar, look upon you with awe.</t>
      </text>
    </comment>
    <comment authorId="0" ref="L79">
      <text>
        <t xml:space="preserve">Way of the Dragon. You are as elusive and free as the Dragon of Heavenly Blessings. This charm has 6 charges. As an action, you can expend 1 charge and gain one of the following benefits:
Difficult terrain doesn’t cost you extra movement until the end of your next long rest.
The next time you end your turn paralyzed or restrained, that condition ends on you. This benefit then ends.
After you expend a charge, you can’t do so again until you finish a long rest. Once all its charges have been expended, the charm vanishes from you.</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76">
      <text>
        <t xml:space="preserve">The drow lich that had been serving as the focal point of the necromantic ritual in the Underdark is destroyed, and upon your return to the surface you find that one of her still-wriggling fingers (or toes) can be found in one of your packs. No matter what you do to get rid of it, it always comes back a few days later. It’s been said that liches have more power in their fingers than most mortals will ever know, and this is no exception: you can use this appendage while casting a spell in order to impose disadvantage on the spell target’s saving throw. Once used in this manner, the appendage crumbles into dust and cannot be reconstructed by any means, including wish.</t>
      </text>
    </comment>
    <comment authorId="0" ref="L78">
      <text>
        <t xml:space="preserve">The ice devil General Everbleed is escorting you on your
mission to recover the soul of Rotger de la Reue. You can
control the fiend in combat, but the DM can take control
of his actions at any time. If you leave the Nine Hells, the
general’s debt of service is removed, and he leaves your side.
</t>
      </text>
    </comment>
    <comment authorId="0" ref="L80">
      <text>
        <t xml:space="preserve">You captured part of the Soulmonger’s energy within a magic opal pendant taken from a Thayan zulkir.
At some point in the future, you and your allies will need to deal with this nefarious device permanently. Perhaps this will aid you when you do.</t>
      </text>
    </comment>
    <comment authorId="0" ref="L90">
      <text>
        <t xml:space="preserve">You have sworn allegiance to Serissa, the storm giant queen, and have joined her court at Maelstrom. The vow you have sworn to her supersedes all other oaths.</t>
      </text>
    </comment>
    <comment authorId="0" ref="J102">
      <text>
        <t xml:space="preserve">Cubic Gate	 (Legendary)
This cube is 3 inches across and radiates palpable magical energy. Created by the wizard Hilather, the six sides of this cube are covered in characters from the language of Alzhedo. The six sides are keyed to: the Prime Material, the Elemental Plane of Fire, the Nine Hells, the Far Realm, the Outlands, and Arborea.</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8">
      <text>
        <t xml:space="preserve">Hewn from the bedrock of Chult itself, this mighty stone staff offers tremendous magical power - and all it asks is that you honor Ubtao in the process. This item can be found in the Dungeon Master’s Guide.</t>
      </text>
    </comment>
    <comment authorId="0" ref="M48">
      <text>
        <t xml:space="preserve">You have a portion of an atropal safely stored in an opal amulet.</t>
      </text>
    </comment>
  </commentList>
</comments>
</file>

<file path=xl/sharedStrings.xml><?xml version="1.0" encoding="utf-8"?>
<sst xmlns="http://schemas.openxmlformats.org/spreadsheetml/2006/main" count="4375" uniqueCount="2263">
  <si>
    <t>Squelch (prequel)</t>
  </si>
  <si>
    <t>Plasmoid</t>
  </si>
  <si>
    <t>Astral Monk</t>
  </si>
  <si>
    <t>Current Stats:</t>
  </si>
  <si>
    <t>Character level:</t>
  </si>
  <si>
    <t>Permanent Magic Items:</t>
  </si>
  <si>
    <t>Tier 1-2</t>
  </si>
  <si>
    <t>Tier 3</t>
  </si>
  <si>
    <t>Tier 4</t>
  </si>
  <si>
    <t>Consumable Magic Items:</t>
  </si>
  <si>
    <t>Magic Item Bank</t>
  </si>
  <si>
    <t>Space Baby (Wildspacer)</t>
  </si>
  <si>
    <t>Gold:</t>
  </si>
  <si>
    <t>Potion of Healing</t>
  </si>
  <si>
    <t>Wand of Magic Missiles</t>
  </si>
  <si>
    <t>Downtime days:</t>
  </si>
  <si>
    <t>Eldritch Claw</t>
  </si>
  <si>
    <t xml:space="preserve">Attunement: </t>
  </si>
  <si>
    <t>Date</t>
  </si>
  <si>
    <t>Adventure Code</t>
  </si>
  <si>
    <t>Adventure Name</t>
  </si>
  <si>
    <t>DM</t>
  </si>
  <si>
    <t>Level +</t>
  </si>
  <si>
    <t>DTD +</t>
  </si>
  <si>
    <t>DTD -</t>
  </si>
  <si>
    <t>Gold +</t>
  </si>
  <si>
    <t>Gold -</t>
  </si>
  <si>
    <t>Permanent magic items</t>
  </si>
  <si>
    <t>Consumable magic items</t>
  </si>
  <si>
    <t>Story Rewards</t>
  </si>
  <si>
    <t>Notes</t>
  </si>
  <si>
    <t>SJA-01</t>
  </si>
  <si>
    <t>Spelljammer Academy</t>
  </si>
  <si>
    <t>Kristy D.</t>
  </si>
  <si>
    <t>Level up</t>
  </si>
  <si>
    <t>SJ-DC-WWA-01</t>
  </si>
  <si>
    <t>Welcome Aboard</t>
  </si>
  <si>
    <t>Alexis P.</t>
  </si>
  <si>
    <t>Eldritch Claw Tattoo (temperate)</t>
  </si>
  <si>
    <t>2 potions of healing, potion of climbing</t>
  </si>
  <si>
    <t>Trade</t>
  </si>
  <si>
    <t>Traded Eldritch Claw Tattoo to Squelch for Wand of Magic Missiles</t>
  </si>
  <si>
    <t>Dolroruuk</t>
  </si>
  <si>
    <t>Gem Dragonborn</t>
  </si>
  <si>
    <t>Soulknife Rogue</t>
  </si>
  <si>
    <t>Hermit</t>
  </si>
  <si>
    <t>Antitoxin</t>
  </si>
  <si>
    <t>Shattespike</t>
  </si>
  <si>
    <t>Wand of Entangle</t>
  </si>
  <si>
    <t>Scroll of Faerie Faire</t>
  </si>
  <si>
    <t>Nightcaller</t>
  </si>
  <si>
    <t>Scroll of Expeditious Retreat</t>
  </si>
  <si>
    <t>Scroll of Entangle</t>
  </si>
  <si>
    <t>Scroll of Protection from Poison</t>
  </si>
  <si>
    <t>DM Reward x 3</t>
  </si>
  <si>
    <t>Scroll of Entangle, Scroll of Protection from Poison</t>
  </si>
  <si>
    <t>DDAL06</t>
  </si>
  <si>
    <t xml:space="preserve">Sunless Citadel </t>
  </si>
  <si>
    <t>Erik T.</t>
  </si>
  <si>
    <t>Sunless Citadel</t>
  </si>
  <si>
    <t>Antitoxin, Potion of Healing, Faerie Fire, Expeditious Retreat, Healers Kit, Poisoners Kit</t>
  </si>
  <si>
    <t>Shatterspike, Wand of Entangle</t>
  </si>
  <si>
    <t>Potion of Healing, Scroll of Entangle, Scroll of Protection from Poison</t>
  </si>
  <si>
    <t>Ecthelion Galadh’Elen</t>
  </si>
  <si>
    <t>Dragonborn/Elf</t>
  </si>
  <si>
    <t>Paladin/Warlock</t>
  </si>
  <si>
    <t>Column 1</t>
  </si>
  <si>
    <t>Column 2</t>
  </si>
  <si>
    <t>Column 3</t>
  </si>
  <si>
    <t>Background</t>
  </si>
  <si>
    <t>Breastplate of Agathys</t>
  </si>
  <si>
    <t>Dust of Disappearance</t>
  </si>
  <si>
    <t>Scroll of Enhance Ability</t>
  </si>
  <si>
    <t>Clockwork Amulet</t>
  </si>
  <si>
    <t>Whip +1</t>
  </si>
  <si>
    <t>Dragon's Wrath Spear</t>
  </si>
  <si>
    <t>Bag of Devouring</t>
  </si>
  <si>
    <t>Shield +1</t>
  </si>
  <si>
    <t>Keoghtom's Ointment</t>
  </si>
  <si>
    <t>Scroll of Dispel Magic</t>
  </si>
  <si>
    <t>Cloak of Many Fashions</t>
  </si>
  <si>
    <t>Spear +1</t>
  </si>
  <si>
    <t>Scaled Ornament</t>
  </si>
  <si>
    <t>Leafwarden</t>
  </si>
  <si>
    <t>Potion of Hill Giant Strength</t>
  </si>
  <si>
    <t>Instrument of Illusions (longhorn)</t>
  </si>
  <si>
    <t>Greataxe +1</t>
  </si>
  <si>
    <t>Dragon-touched Focus</t>
  </si>
  <si>
    <t>Nature's Mantle</t>
  </si>
  <si>
    <t>Spell Scroll of Web</t>
  </si>
  <si>
    <t>Mithril plate</t>
  </si>
  <si>
    <t>Dragon Vessel</t>
  </si>
  <si>
    <t>Gray Bag of Tricks</t>
  </si>
  <si>
    <t>Instrument of Illusions</t>
  </si>
  <si>
    <t>Mithral breastplate</t>
  </si>
  <si>
    <t>Stone of Controlling Earth Elementals</t>
  </si>
  <si>
    <t>Baba Yaga's Dancing Broom</t>
  </si>
  <si>
    <t>Stirring Scaled Ornament</t>
  </si>
  <si>
    <t>Stirring Dragon's Vessel</t>
  </si>
  <si>
    <t>Stirring Dragon's Wrath Spear</t>
  </si>
  <si>
    <t>Potion of Comprehension</t>
  </si>
  <si>
    <t>Adamantine breastplate</t>
  </si>
  <si>
    <t>Leafwarden (Dragonslayer Longsword)</t>
  </si>
  <si>
    <t>Ring of Jumping</t>
  </si>
  <si>
    <t>Scroll of See Invisibility</t>
  </si>
  <si>
    <t>Shield +1 (background)</t>
  </si>
  <si>
    <t>Enspelled Breastplate (Armor of Agathys)</t>
  </si>
  <si>
    <t>Pearl of Power</t>
  </si>
  <si>
    <t>Wand of Secrets</t>
  </si>
  <si>
    <t>DDHC-DD-Ch1</t>
  </si>
  <si>
    <t>Death at Sunset</t>
  </si>
  <si>
    <t xml:space="preserve">Alexis P. </t>
  </si>
  <si>
    <t>Leafwarden (Dragonslayer Longsword), Scaled Ornament</t>
  </si>
  <si>
    <t>Dust of Disappearance, Keoghtom's Ointment, Potion of Hill Giant Strength, Spell Scroll of Web, 2 Potions of Healing</t>
  </si>
  <si>
    <t xml:space="preserve">, </t>
  </si>
  <si>
    <t xml:space="preserve">Sold chain shirt for 25 gp, purchased Breastplate for 400 gp and 2 potions of healing for 45 gp each (sale). </t>
  </si>
  <si>
    <t>DDHC-DD-Ch2</t>
  </si>
  <si>
    <t>Baker's Doesn't</t>
  </si>
  <si>
    <t>Gray Bag of Tricks, Greataxe +1, Baba Yaga's Dancing Broom, Slumbering Dragon Vessel</t>
  </si>
  <si>
    <t>Spell Scroll of Greater Restoration, Dust of Disappearance</t>
  </si>
  <si>
    <t>DDHC-DD-Ch3</t>
  </si>
  <si>
    <t>The Will of Orcus</t>
  </si>
  <si>
    <t>Mithril plate, Adamantine breastplate, Wand of Secrets, Whip +1, Nature's Mantle, Pearl of Power, Dragon's Wrath Weapon (slumbering), Dragon-touched focus (slumbering), Shield +1 (background)</t>
  </si>
  <si>
    <t>Spell Scroll of Animate Dead, Scroll of Revivify, Scroll of Prayer of Healing</t>
  </si>
  <si>
    <t xml:space="preserve">Performed a ritual for hire and sold Holy Water for 12 gp. Purchased Spell Scroll of Find Steed (200 gp) and successfully cast it, summoning the celestial elk Elenroch. Sold 2 Potions of Healing for 25 gp each. </t>
  </si>
  <si>
    <t>***</t>
  </si>
  <si>
    <t>Acquired Bastion</t>
  </si>
  <si>
    <t>Moved into the temple of Sylvanus in the High Forest with Krock and Ashryn. Built an Arcane Workshop and a Smithy.</t>
  </si>
  <si>
    <t>Downtime Activity: Craft</t>
  </si>
  <si>
    <t xml:space="preserve">Crafted a Longhorn of Illusions with help from my Arcane Workshop hireling. </t>
  </si>
  <si>
    <t>Crafted an Enspelled Breastplate with the spell Armor of Agathys, using my existing breastplate, with help from my Smithy hireling.</t>
  </si>
  <si>
    <t>Downtime Activity: Level up</t>
  </si>
  <si>
    <t>DDHC-DD-Ch4</t>
  </si>
  <si>
    <t>For Whom the Void Calls</t>
  </si>
  <si>
    <t>Mithral breastplate, Clockwork Amulet, Cloak of Many Fashions, Ring of Jumping, +1 Spear, Stone of Controlling Earth Elementals, Bag of Devouring</t>
  </si>
  <si>
    <t xml:space="preserve">Spent 30 days training in Nature under the tutelage of Youngster Joey during journey to Aglarond. Killed the young brass dragon Ylagan in his lair and steeped all four of my hoard items to Stirring. </t>
  </si>
  <si>
    <t>FR-DC-RWIE-02</t>
  </si>
  <si>
    <t>Of Books and Men - An Overdue Adventure</t>
  </si>
  <si>
    <t xml:space="preserve">Simon R. </t>
  </si>
  <si>
    <t>Bracers of Defense, Chest of Preserving</t>
  </si>
  <si>
    <t>Scrolls of Dispel, See Invisibility, and Enhance Ability</t>
  </si>
  <si>
    <t>Chef Ture</t>
  </si>
  <si>
    <t>Wood Elf</t>
  </si>
  <si>
    <t>Battle Master</t>
  </si>
  <si>
    <t>Poisons &amp; Consumable Magic Items:</t>
  </si>
  <si>
    <t>Chef</t>
  </si>
  <si>
    <t>Belt of Hill Giant Strength</t>
  </si>
  <si>
    <t>Weapon Poison</t>
  </si>
  <si>
    <t>Potion of Poison Resistance</t>
  </si>
  <si>
    <t>Potion of Fire Resistance</t>
  </si>
  <si>
    <t>Bowl of Commanding Water Elementals</t>
  </si>
  <si>
    <t>Silvered Greatsword +3</t>
  </si>
  <si>
    <t>Flametongue Warhammer</t>
  </si>
  <si>
    <t>Essence of Ether</t>
  </si>
  <si>
    <t>Flask of Styx water</t>
  </si>
  <si>
    <t>Potion of Invulnerability</t>
  </si>
  <si>
    <t>Glamoured Studded Leather</t>
  </si>
  <si>
    <t>Decanter of Endless Water</t>
  </si>
  <si>
    <t>Periapt of Proof Against Poison</t>
  </si>
  <si>
    <t>Malice</t>
  </si>
  <si>
    <t>Boomerang Shield</t>
  </si>
  <si>
    <t>Mithril Chainmail</t>
  </si>
  <si>
    <t>Heward's Spicepouch</t>
  </si>
  <si>
    <t>Rope of Mending</t>
  </si>
  <si>
    <t>Truth Serum</t>
  </si>
  <si>
    <t>Purple Worm Toxin</t>
  </si>
  <si>
    <t>Half plate +1 (guardian)</t>
  </si>
  <si>
    <t>Dimensional Shackles</t>
  </si>
  <si>
    <t>Burnt Othur Fumes</t>
  </si>
  <si>
    <t>Pale Tincture</t>
  </si>
  <si>
    <t>Luminous Warpick (beacon)</t>
  </si>
  <si>
    <t>Rod of the Pact Keeper +2</t>
  </si>
  <si>
    <t>Potion of Healing (Greater)</t>
  </si>
  <si>
    <t>Wand of Magic Missile</t>
  </si>
  <si>
    <t>Staff of Charming</t>
  </si>
  <si>
    <t>Potion of Invisibility</t>
  </si>
  <si>
    <t>Oil of Slipperiness</t>
  </si>
  <si>
    <t>Silver Horn of Valhalla</t>
  </si>
  <si>
    <t>DM Reward x 2</t>
  </si>
  <si>
    <t>James</t>
  </si>
  <si>
    <t>Boomerang Shield, Flametongue Warhammer</t>
  </si>
  <si>
    <t>FR-DC-THAY-01</t>
  </si>
  <si>
    <t>Crazy Lich Thayans</t>
  </si>
  <si>
    <t xml:space="preserve">Lash of Immolation </t>
  </si>
  <si>
    <t>Table trade for Heward's Handy Spicepouch</t>
  </si>
  <si>
    <t>Traded Lash of Immolation to Norragen for Belt of Hill Giant Strength</t>
  </si>
  <si>
    <t>CCC-BMG-MOON8-2</t>
  </si>
  <si>
    <t>Breasal Strife</t>
  </si>
  <si>
    <t>Nick D.</t>
  </si>
  <si>
    <t xml:space="preserve">Staff of the Python </t>
  </si>
  <si>
    <t>DDAL 09-07</t>
  </si>
  <si>
    <t>Diabolical Dive</t>
  </si>
  <si>
    <t xml:space="preserve">Nicole F. </t>
  </si>
  <si>
    <t xml:space="preserve">Potion of Invisibility, Flask of Styx water </t>
  </si>
  <si>
    <t>Traded to Staff of the Python to Agatha for Glamoured Studed Leather</t>
  </si>
  <si>
    <t>FR-DC-WCAG02-06</t>
  </si>
  <si>
    <t>Whispers Beneath the Waves</t>
  </si>
  <si>
    <t>Jason R.</t>
  </si>
  <si>
    <t>Built Bastion</t>
  </si>
  <si>
    <t>Basic Facilities: Cramped Kitchen, Roomy Dining Room. Expanded Kitchen to Roomy for 500 gp and 25 days (out of 200 alotted). Special Facilities: Garden, Greenhouose, Laboratory, Training Area.</t>
  </si>
  <si>
    <t>Bastion Turn</t>
  </si>
  <si>
    <t>Malice, Essence of Ether, Antitoxin (2)</t>
  </si>
  <si>
    <t xml:space="preserve">Orders: Training area: Empower Training (stealth); Garden: Harvest Poison (antitoxin x 2); Greenhouse: Harvest Poison (malice); Laboratory: Craft Poison (essence of ether). </t>
  </si>
  <si>
    <t>FR-DC-FET-01</t>
  </si>
  <si>
    <t xml:space="preserve">Vatras Besieged </t>
  </si>
  <si>
    <t>Half plate +1 (guardian), Rope of mending (temperate)</t>
  </si>
  <si>
    <t>Potion of Healing, truth serum, burnt othur fumes</t>
  </si>
  <si>
    <t xml:space="preserve">Orders: Training area: Empower Training (Athletics); Garden: Harvest Herbs (Potion of Healing); Greenhouse: Harvest Poison (truth serum); Laboratory: Craft Poison (burnt othur fumes). </t>
  </si>
  <si>
    <t>FR-DC-LFGCON-02</t>
  </si>
  <si>
    <t>Heroes for the Meek</t>
  </si>
  <si>
    <t>Rick A.</t>
  </si>
  <si>
    <t>Luminous War Pick (beacon), Hat of Wizardry</t>
  </si>
  <si>
    <t>Potion of greater healing (x2), Oil of Slipperiness</t>
  </si>
  <si>
    <t>Purchased book on history of Faerun (including culinary) for 200 gp. Spent 50 gp making 4 doses of Weapon Poison.</t>
  </si>
  <si>
    <t>Pale Tincture, Essence of Ether, Antitoxin (2)</t>
  </si>
  <si>
    <t xml:space="preserve">Orders: Training area: Empower Training (stealth); Garden: Harvest Poison (antitoxin x 2); Greenhouse: Harvest Poison (pale tincture); Laboratory: Craft Poison (essence of ether). </t>
  </si>
  <si>
    <t>KGV</t>
  </si>
  <si>
    <t>Affair on the Concordant Express</t>
  </si>
  <si>
    <t>Vinny</t>
  </si>
  <si>
    <t>Wand of Magic Missile, Silver Horn of Valhalla, Decanter of Endless Water, Mithril Chainmail, Dimensional Shackles, +2 Rod of the Pact Keeper, +3 Silvered Great sword, rare item of choice</t>
  </si>
  <si>
    <t>2 x Potion of Greater Healing</t>
  </si>
  <si>
    <t xml:space="preserve">Purchased 3 vials of Oil of Slipperiness. </t>
  </si>
  <si>
    <t>Potion of Healing, Malice, burnt othur fumes</t>
  </si>
  <si>
    <t xml:space="preserve">Orders: Training area: Empower Training (Athletics); Garden: Harvest Herbs (Potion of Healing); Greenhouse: Harvest Poison (Malice); Laboratory: Craft Poison (burnt othur fumes). </t>
  </si>
  <si>
    <t>DDAL09-05</t>
  </si>
  <si>
    <t>Faces of Fortune</t>
  </si>
  <si>
    <t>Chris H.</t>
  </si>
  <si>
    <t>Gem of Seeing</t>
  </si>
  <si>
    <t xml:space="preserve">Bought potion of fire resistance, ate at Infernal Rapture. </t>
  </si>
  <si>
    <t xml:space="preserve">Orders: Training area: Empower Training (stealth); Garden: Harvest Poison (antitoxin x 2); Greenhouse: Harvest Poison (Pale Tincture); Laboratory: Craft Poison (essence of ether). </t>
  </si>
  <si>
    <t>DDAL09-11</t>
  </si>
  <si>
    <t>Losing Fai</t>
  </si>
  <si>
    <t>Potion of Poison of Growth, Potion of Poison, 1 Soul Coin</t>
  </si>
  <si>
    <t>No Exceptions: booted from Mahadi's</t>
  </si>
  <si>
    <t>Wobbly Bobbly</t>
  </si>
  <si>
    <t>Fairy</t>
  </si>
  <si>
    <t>Barbarian (Giant)</t>
  </si>
  <si>
    <t>Giant Foundling</t>
  </si>
  <si>
    <t>DM Reward</t>
  </si>
  <si>
    <t>FR-DC-STRAT-FIEND-05</t>
  </si>
  <si>
    <t>The Ones That Walk Towards Goldenleaf</t>
  </si>
  <si>
    <t xml:space="preserve">Chris H. </t>
  </si>
  <si>
    <t>DDAL09-08</t>
  </si>
  <si>
    <t>In the Garden of Evil</t>
  </si>
  <si>
    <t>Arrow-catching Shield</t>
  </si>
  <si>
    <t>CCC-TRI-08</t>
  </si>
  <si>
    <t>Dreadful Wail</t>
  </si>
  <si>
    <t>Nicole F.</t>
  </si>
  <si>
    <t>Ring of the Ram</t>
  </si>
  <si>
    <t>CCC-BMG-MOON 17-1</t>
  </si>
  <si>
    <t>Sailors on the Sea of Shadow</t>
  </si>
  <si>
    <t>Sean S.</t>
  </si>
  <si>
    <t>Mariner's Scale Mail</t>
  </si>
  <si>
    <t>Gnat</t>
  </si>
  <si>
    <t>Path of the Giant</t>
  </si>
  <si>
    <t>Consumable Magic Items</t>
  </si>
  <si>
    <t>Barbarian</t>
  </si>
  <si>
    <t>Vicious Glaive</t>
  </si>
  <si>
    <t>Amulet of Health</t>
  </si>
  <si>
    <t>Belt of Fire Giant Strength</t>
  </si>
  <si>
    <t>Marvelous Pigments</t>
  </si>
  <si>
    <t>Bracers of Defense</t>
  </si>
  <si>
    <t>Traded Marvelous Pigments to Arvistan for Belt of Fire Giant Strength</t>
  </si>
  <si>
    <t>Sold longbow, leather armor, and glaive (+40 gp). Bought Studded Leather armor (-45 gp)</t>
  </si>
  <si>
    <t>Splint +1</t>
  </si>
  <si>
    <t>Potion of Heroism</t>
  </si>
  <si>
    <t>CCC-UNITE-05</t>
  </si>
  <si>
    <t>House of Moonlight</t>
  </si>
  <si>
    <t>Moon-Touched Rapier, Wand of Web</t>
  </si>
  <si>
    <t>Knowledge of House Toril</t>
  </si>
  <si>
    <t>FR-DC-NUKE-02</t>
  </si>
  <si>
    <t>The Black Wyrm of Bog Hold</t>
  </si>
  <si>
    <t>Ryan L.</t>
  </si>
  <si>
    <t>Valkur's Raiment (Half-plate +1 waterborne)</t>
  </si>
  <si>
    <t>CCC-BMG-MOON8-1</t>
  </si>
  <si>
    <t>Blood on the Moors</t>
  </si>
  <si>
    <t>Gem of Brightness</t>
  </si>
  <si>
    <t>Creature X-12</t>
  </si>
  <si>
    <t>Archfey Warlock</t>
  </si>
  <si>
    <t>Charlatan</t>
  </si>
  <si>
    <t>Hat of Disguise</t>
  </si>
  <si>
    <t>Barrier Tattoo</t>
  </si>
  <si>
    <t>Rod of the Pact Keeper +1</t>
  </si>
  <si>
    <t>DM Reward (x2)</t>
  </si>
  <si>
    <t>Axe to the Grave</t>
  </si>
  <si>
    <t>Barrier Tattoo (rare)</t>
  </si>
  <si>
    <t xml:space="preserve">Book of Cylinders </t>
  </si>
  <si>
    <t>Serpentine Scalemail, Serpent's Fang longsword</t>
  </si>
  <si>
    <t>Squelch</t>
  </si>
  <si>
    <t>Tome of Understanding</t>
  </si>
  <si>
    <t>Potion of Greater Healing</t>
  </si>
  <si>
    <t>Talking Doll</t>
  </si>
  <si>
    <t>Manual of Quickness of Action</t>
  </si>
  <si>
    <t>Keotem's Ointment</t>
  </si>
  <si>
    <t>Cloak of the Bat</t>
  </si>
  <si>
    <t>CCC-DES-01-03</t>
  </si>
  <si>
    <t>A Question Never Asked</t>
  </si>
  <si>
    <t>Wild Hunter</t>
  </si>
  <si>
    <t>DM Reward (12a VR)</t>
  </si>
  <si>
    <t>DM Reward (11b VR)</t>
  </si>
  <si>
    <t>SJ-DC-DWR-01</t>
  </si>
  <si>
    <t>Dohwar Heist</t>
  </si>
  <si>
    <t>Cloak of the Bat, Talking Doll</t>
  </si>
  <si>
    <t>Traded Wand of Magic Missiles to Squelch (prequel) for Eldritch Claw tattoo (temperate)</t>
  </si>
  <si>
    <t>SJ-DC-AoS-01</t>
  </si>
  <si>
    <t>Mission One</t>
  </si>
  <si>
    <t xml:space="preserve">Robin L. </t>
  </si>
  <si>
    <t>Astromancy Archive (Guardian), Horn of Silent Alarm (Githyanki)</t>
  </si>
  <si>
    <t>Promotion or Privateer?</t>
  </si>
  <si>
    <t>Jerry Garcia</t>
  </si>
  <si>
    <t>Human (V)</t>
  </si>
  <si>
    <t>Bard</t>
  </si>
  <si>
    <t>Entertainer</t>
  </si>
  <si>
    <t>Winged Boots</t>
  </si>
  <si>
    <t>Chardalyn Breastplate of Necrotic Resistance</t>
  </si>
  <si>
    <t>Illuminator's Tattoo</t>
  </si>
  <si>
    <t>Masquerade Tattoo</t>
  </si>
  <si>
    <t>Lantern of Tracking (Aberrations)</t>
  </si>
  <si>
    <t>Charlatan's Die</t>
  </si>
  <si>
    <t>DDAL10-01</t>
  </si>
  <si>
    <t>The Frozen North</t>
  </si>
  <si>
    <t>Goggles of Night, Illuminator's Tattoo</t>
  </si>
  <si>
    <t>Bought snow shoes and crampons</t>
  </si>
  <si>
    <t>DDHC-RFM</t>
  </si>
  <si>
    <t>Rime of the Frost Maiden</t>
  </si>
  <si>
    <t>Blessing of the Morninglord</t>
  </si>
  <si>
    <t>DC-PoA-DCAF03</t>
  </si>
  <si>
    <t>Sputtering Out</t>
  </si>
  <si>
    <t xml:space="preserve">Jon K. </t>
  </si>
  <si>
    <t>DC-PoA-WWA</t>
  </si>
  <si>
    <t>Mind Your Mine</t>
  </si>
  <si>
    <t>DC-PoA-PoF</t>
  </si>
  <si>
    <t>Plague of Frogs</t>
  </si>
  <si>
    <t>Tim H.</t>
  </si>
  <si>
    <t>Grey Bag of Tricks, Masquerade Tattoo</t>
  </si>
  <si>
    <t>DDEP10-01</t>
  </si>
  <si>
    <t>Terror in Ten Towns</t>
  </si>
  <si>
    <t>Nichole F.</t>
  </si>
  <si>
    <t>Charlatan's Die, Bracers of Archery, Headband of Intellect (earring)</t>
  </si>
  <si>
    <t>Defender of Easthaven</t>
  </si>
  <si>
    <t>Successfully defended Easthaven</t>
  </si>
  <si>
    <t xml:space="preserve">DDAL00-13 </t>
  </si>
  <si>
    <t>Ch. 8 Ferocious Love</t>
  </si>
  <si>
    <t>Vicious Spear, Necklace of Prayer Beads (Bless x3, Cure x2), +2 shortsword, Winter Wolf Cloak (Hell Hound Cloak)</t>
  </si>
  <si>
    <t>DDAL10-05</t>
  </si>
  <si>
    <t>A Blight int he Darkness</t>
  </si>
  <si>
    <t>Chardalyn Breastplate of Necrotic Resistance, Wand of Pyrotechnics</t>
  </si>
  <si>
    <t>Bought Studded Leather Armor for 45 gp</t>
  </si>
  <si>
    <t>Traded Headband of Intellect to Madam Renata for Winged Boots</t>
  </si>
  <si>
    <t>Madam Renata</t>
  </si>
  <si>
    <t>Reborn</t>
  </si>
  <si>
    <t>Spirits Bard</t>
  </si>
  <si>
    <t>Haunted One</t>
  </si>
  <si>
    <t>Headband of Intellect</t>
  </si>
  <si>
    <t>Spell Scroll of Animate Dead</t>
  </si>
  <si>
    <t>Helm of Brilliance</t>
  </si>
  <si>
    <t>Drum of the Rythm Maker +1</t>
  </si>
  <si>
    <t>Potion of Climbing</t>
  </si>
  <si>
    <t>Eyes of Charming</t>
  </si>
  <si>
    <t>Silver Dragon Shield</t>
  </si>
  <si>
    <t>Whip of Warning</t>
  </si>
  <si>
    <t>Wind Fan</t>
  </si>
  <si>
    <t>Plate +2</t>
  </si>
  <si>
    <t>Spider Staff</t>
  </si>
  <si>
    <t>Shortsword +1 (sentient)</t>
  </si>
  <si>
    <t>Ring of Warmth</t>
  </si>
  <si>
    <t>Traded Winged Boots to Jerry Garcia for Headband of Intellect</t>
  </si>
  <si>
    <t>DDAL04-02</t>
  </si>
  <si>
    <t>The Beast</t>
  </si>
  <si>
    <t xml:space="preserve">Erik T. </t>
  </si>
  <si>
    <t>DDAL04-03</t>
  </si>
  <si>
    <t>The Executioner</t>
  </si>
  <si>
    <t>DDAL04-04</t>
  </si>
  <si>
    <t xml:space="preserve">The Marionette </t>
  </si>
  <si>
    <t>Potion of Healing, Spell Scroll of Animate Dead, Potion of Climbing</t>
  </si>
  <si>
    <t>DDAL04-05</t>
  </si>
  <si>
    <t>The Seer</t>
  </si>
  <si>
    <t>Cunning Insight, Trackless Travel</t>
  </si>
  <si>
    <t>DDAL04-08</t>
  </si>
  <si>
    <t>The Broken One</t>
  </si>
  <si>
    <t xml:space="preserve">Ring of Spell Storing (Harmonious) </t>
  </si>
  <si>
    <t>Level up x 4</t>
  </si>
  <si>
    <t>DDHC-COS</t>
  </si>
  <si>
    <t>Ch. 13 The Amber Temple</t>
  </si>
  <si>
    <t>Dark Gift: +30 max hp, twitchy, can't give a straight answer to any question, covered in dark fur</t>
  </si>
  <si>
    <t>Chapters 5-6</t>
  </si>
  <si>
    <t>Chapter 4: Castle Ravenloft</t>
  </si>
  <si>
    <t>Doss Lute, Mace of Terror</t>
  </si>
  <si>
    <t>Purchased 2 potions of healing</t>
  </si>
  <si>
    <t>Helm of Brilliance, Rod of the Pact Keeper +1, Plate +2, Silver Dragon Shield +2/+2 Init, Sentient Shortsword +1</t>
  </si>
  <si>
    <t>Potion of Greater Healing (x4)</t>
  </si>
  <si>
    <t>Traded Ring of Spell Storing to Raguel for Spider Staff</t>
  </si>
  <si>
    <t>Noraggen Silverbreaker</t>
  </si>
  <si>
    <t>Mountain Dwarf</t>
  </si>
  <si>
    <t>Guild Artisan (Smith)</t>
  </si>
  <si>
    <t>Lash of Immolation</t>
  </si>
  <si>
    <t>Dwarven Thrower</t>
  </si>
  <si>
    <t>Candle of the Deep</t>
  </si>
  <si>
    <t>Dread Helm</t>
  </si>
  <si>
    <t>Hours</t>
  </si>
  <si>
    <t>DM Reward (x4)</t>
  </si>
  <si>
    <t>DDEX3-7</t>
  </si>
  <si>
    <t>Herald of the Moon</t>
  </si>
  <si>
    <t>Longbow +2 w/ Sentinel (Human)</t>
  </si>
  <si>
    <t>Tloque's Battleaxe</t>
  </si>
  <si>
    <t>Traded Tloque's Battleaxe to Morty for Dwarven Thrower</t>
  </si>
  <si>
    <t>CCC-LINKS-01</t>
  </si>
  <si>
    <t>Champion of the People</t>
  </si>
  <si>
    <t>Jon K.</t>
  </si>
  <si>
    <t>Friend of Phlan</t>
  </si>
  <si>
    <t>CCC-TAROT02-01</t>
  </si>
  <si>
    <t>A Sunk Cost</t>
  </si>
  <si>
    <t>Cheryl F.</t>
  </si>
  <si>
    <t>Plague Fly</t>
  </si>
  <si>
    <t>Tarot of Fate (The Tower): Upright, Touched by the Fates</t>
  </si>
  <si>
    <t xml:space="preserve">Ring of Spell Storing (harmonious) </t>
  </si>
  <si>
    <t xml:space="preserve">Traded Plauge Fly to Sookie Stackhouse for Ring of Spell Storing </t>
  </si>
  <si>
    <t>CCC-GHC-BK2-10</t>
  </si>
  <si>
    <t>Into the Dark, Black Forest</t>
  </si>
  <si>
    <t>Added spells to Ring of Spell Storing: Hex, Shield, Haste</t>
  </si>
  <si>
    <t>Traded Ring of Spell Storing to Sentient Hat for Splint +1</t>
  </si>
  <si>
    <t>CCC-AETHER02-01</t>
  </si>
  <si>
    <t>The Heir of Orcus Verse IV</t>
  </si>
  <si>
    <t>Hat of Disguise, Candle of the Deep</t>
  </si>
  <si>
    <t>CCC-ST2-1</t>
  </si>
  <si>
    <t>Red War: Embassy of Evil</t>
  </si>
  <si>
    <t>Thayvian Mantle of Spell Resistance</t>
  </si>
  <si>
    <t>DDHC-CM 07</t>
  </si>
  <si>
    <t>Book of Cyllinders</t>
  </si>
  <si>
    <t>Tom H.</t>
  </si>
  <si>
    <t>MASTERS CAMPAIGN - NO REWARDS</t>
  </si>
  <si>
    <t>CCC-GAD-01-02</t>
  </si>
  <si>
    <t>Red War: Black Phoenix</t>
  </si>
  <si>
    <t>Saddle of the Cavalier</t>
  </si>
  <si>
    <t>Potion of Growth</t>
  </si>
  <si>
    <t>High Blade in Your Debt</t>
  </si>
  <si>
    <t>CCC-CIC-05</t>
  </si>
  <si>
    <t>Donum Vitae</t>
  </si>
  <si>
    <t>Corey F.</t>
  </si>
  <si>
    <t xml:space="preserve">Wand of Wonder </t>
  </si>
  <si>
    <t xml:space="preserve">Traded Belt of HIll Giant Strength to Chef Ture for Lash of Immolation </t>
  </si>
  <si>
    <t>Sookie Stackhouse</t>
  </si>
  <si>
    <t>Human (Variant)</t>
  </si>
  <si>
    <t>Warlock - Celestial</t>
  </si>
  <si>
    <t>Guild Merchant</t>
  </si>
  <si>
    <t>Helm of Telepathy</t>
  </si>
  <si>
    <t>DM Reward x2</t>
  </si>
  <si>
    <t>DDAL 04-03</t>
  </si>
  <si>
    <t>Jane A.</t>
  </si>
  <si>
    <t>Stuck in the Demiplane of Dread.</t>
  </si>
  <si>
    <t>Bought cold weather gear</t>
  </si>
  <si>
    <t>Mithral Splintmail</t>
  </si>
  <si>
    <t>Diego U.</t>
  </si>
  <si>
    <t>Traded Mithral Splintmail to Jormund Khan for Helm of Telepathy</t>
  </si>
  <si>
    <t>DDAL 04-04</t>
  </si>
  <si>
    <t>The Marionnette</t>
  </si>
  <si>
    <t>Eye of the Bird - somewhere a bird things of me fondly for helping an agent. Aid of the Bergemaster - advantage when dealing with any Bergemaster in Barovia</t>
  </si>
  <si>
    <t>DDAL 04-05</t>
  </si>
  <si>
    <t>DDAL 04-06</t>
  </si>
  <si>
    <t>The Ghost</t>
  </si>
  <si>
    <t>Boots of Elvenkind - bloody gore flavor</t>
  </si>
  <si>
    <t>DDAL 04-08</t>
  </si>
  <si>
    <t>Ring of Spell Storing - harmonious</t>
  </si>
  <si>
    <t>Potion of Healing, Elixer of Health</t>
  </si>
  <si>
    <t>Traded Ring of Spell Storing to Noraggen for Plague Fly</t>
  </si>
  <si>
    <t>Buckley Fyredreamer</t>
  </si>
  <si>
    <t>Fighter Battlemaster</t>
  </si>
  <si>
    <t>Folk Hero</t>
  </si>
  <si>
    <t>Adamantine Plate Armor</t>
  </si>
  <si>
    <t>Maul +2</t>
  </si>
  <si>
    <t>Soul Coin</t>
  </si>
  <si>
    <t>Wand of Smiles</t>
  </si>
  <si>
    <t>DDAL 09-04</t>
  </si>
  <si>
    <t>Day of the Devil</t>
  </si>
  <si>
    <t>Zach L.</t>
  </si>
  <si>
    <t>Periapt of Health</t>
  </si>
  <si>
    <t>Potion of growth, potion of healing, 1 soul coin</t>
  </si>
  <si>
    <t>DDAL 09-02</t>
  </si>
  <si>
    <t>Stopped at the Gate</t>
  </si>
  <si>
    <t>Eyes of the Eagle</t>
  </si>
  <si>
    <t>CCC-GSP-FEAR01-01</t>
  </si>
  <si>
    <t>The Bleeding Tree</t>
  </si>
  <si>
    <t>Eversmoking Bottle of Hag's Breath</t>
  </si>
  <si>
    <t>Lingering Nightmare</t>
  </si>
  <si>
    <t>DDEX03-08</t>
  </si>
  <si>
    <t>Malady at Elventree</t>
  </si>
  <si>
    <t>Alchemy Jug</t>
  </si>
  <si>
    <t>Received Ring of Protection faction item from UAW (custom faction), +1 Maul from the people I organized in Thundertree. Purchased splint for 100gp and sold Chain mail for 37gp.</t>
  </si>
  <si>
    <t>CCC-ELF-03-02</t>
  </si>
  <si>
    <t>Echose of Rage</t>
  </si>
  <si>
    <t>Gloves of Thievery, Ilmater's Respite (Wand of Smiles)</t>
  </si>
  <si>
    <t>Why So Serious? You used or Ilamter's Respite on another member of your party. On your return to Hillsfar, Bert and Kenna welcome you to their merry band of pranksters. Watch out for the blood pie! Hillsar's Cycle: Sir Ardem recanted his racist past and begged forgiveness, he may just be trying to save his own life. Nonetheless, you feel assured that others will follow his example.</t>
  </si>
  <si>
    <t>Paid 10 gp for healing services</t>
  </si>
  <si>
    <t>CCC-COS-01</t>
  </si>
  <si>
    <t>The Only Way to be Sure</t>
  </si>
  <si>
    <t>Portable Hole</t>
  </si>
  <si>
    <t>Fai Chen's Fantastical Faire</t>
  </si>
  <si>
    <t>Traded Portable Hole to Fai Chen for Maul +2</t>
  </si>
  <si>
    <t>Traded Eyes of the Eagle to Darrendrian for Adamantine Plate Armor</t>
  </si>
  <si>
    <t>Wand of Magic Missile, Selûne's Owl-Eye Glasses</t>
  </si>
  <si>
    <t>Elemental Master, Wild Hunter</t>
  </si>
  <si>
    <t>Met Foxwere companion</t>
  </si>
  <si>
    <t>CCC-UCON02-02</t>
  </si>
  <si>
    <t>Rescue Down Under</t>
  </si>
  <si>
    <t>Folding Boat</t>
  </si>
  <si>
    <t>CCC-GHC-BK03-04</t>
  </si>
  <si>
    <t>A Mural of Arthyn</t>
  </si>
  <si>
    <t>1 pot of Nolzur's Marvelous Pigments</t>
  </si>
  <si>
    <t>CCC-WYC02-03</t>
  </si>
  <si>
    <t>What History Leaves Behind</t>
  </si>
  <si>
    <t>Sambi C.</t>
  </si>
  <si>
    <t>Ring of Spell Storing</t>
  </si>
  <si>
    <t>Traded Ring of Spell Storing to Noraggen for Belt of Hill GIant Strength</t>
  </si>
  <si>
    <t>GARY-07</t>
  </si>
  <si>
    <t>The Mirror City of Gulthias</t>
  </si>
  <si>
    <t>Cloak of Elvenkind</t>
  </si>
  <si>
    <t>Traded 1 pot of Nulzor's Marvelous Pigments to Sentient Hat for Belt of Fire Giant Strength to Buckley</t>
  </si>
  <si>
    <t>Leonardo</t>
  </si>
  <si>
    <t>Tortle</t>
  </si>
  <si>
    <t>Kensei Monk</t>
  </si>
  <si>
    <t>Urchin</t>
  </si>
  <si>
    <t>Wand of Lightning Bolts</t>
  </si>
  <si>
    <t>Potion of Water Breathing</t>
  </si>
  <si>
    <t>Necklace of Fireballs (6)</t>
  </si>
  <si>
    <t>Potion of Resistance</t>
  </si>
  <si>
    <t>Rythm Maker's Drum +2</t>
  </si>
  <si>
    <t>DDHC-WDH</t>
  </si>
  <si>
    <t>Chapter 1</t>
  </si>
  <si>
    <t xml:space="preserve">Dave N. </t>
  </si>
  <si>
    <t>Paper Bird</t>
  </si>
  <si>
    <t>Joined faction Force Grey (which I prefer to call Force Green)</t>
  </si>
  <si>
    <t>Chapter 2</t>
  </si>
  <si>
    <t>Boots of Evenkind</t>
  </si>
  <si>
    <t>Chapter 3</t>
  </si>
  <si>
    <t>Chapter 4</t>
  </si>
  <si>
    <t>Recieved Stone of Golorr</t>
  </si>
  <si>
    <t>CCC-GSP01-03</t>
  </si>
  <si>
    <t>Tainted Love</t>
  </si>
  <si>
    <t>Sambi</t>
  </si>
  <si>
    <t>Clingy Jelly! You spared the life of an oblex spawn. As a token of appreciation, it separates a part of itself and places a thin translucent layer of star-shped green goo on your forehead. Whenever you are in combat, the goo stretches and changes shape, becoming a horn. Whenever you die, its shape changes into a small, flat skull. You can remove this story award by casting lesser restoration on yourself.</t>
  </si>
  <si>
    <t>Marco S.</t>
  </si>
  <si>
    <t>Ruby of the War Mage</t>
  </si>
  <si>
    <t>Traded Cloak of Many Fashions to Zeras Brid for Ruby of the War Mage</t>
  </si>
  <si>
    <t>Traded Ruby of the War Mage to Darrendrian for Dread Helm</t>
  </si>
  <si>
    <t>Dave N.</t>
  </si>
  <si>
    <t xml:space="preserve">Received Renown Item Katana (Longsword) +1 </t>
  </si>
  <si>
    <t>Necklace of Prayer Beads</t>
  </si>
  <si>
    <t>Received Ring of Protection from Force Grey</t>
  </si>
  <si>
    <t>Sixth Sword</t>
  </si>
  <si>
    <t>Traded Necklace of Prayer Beads to Morty for the Sixth Sword</t>
  </si>
  <si>
    <t>DDAL 05-11</t>
  </si>
  <si>
    <t>Forgotten Traditions</t>
  </si>
  <si>
    <t>Opal of the Ild Rune</t>
  </si>
  <si>
    <t>Dreamwalker. 1 free portent, renewable with 25 day DTD activity</t>
  </si>
  <si>
    <t>Gained one portent from Dreamwalker: 1 (used)</t>
  </si>
  <si>
    <t>DDAL 08-08</t>
  </si>
  <si>
    <t>Crypt of the Dark Kiss</t>
  </si>
  <si>
    <t>DDAL 08-09</t>
  </si>
  <si>
    <t>Fangs and Frogs</t>
  </si>
  <si>
    <t>You decided to take a chance and
touch or drink the multicolored water
that spilled from a broken fountain in
Arcturia’s abandoned laboratory.
Doing so has changed you forever.
Arcturia was a master of transmutation
and she must have used this water to
assist her in her unholy experiments.
While you no longer carry the negative
effects associated with this, it seems
the physical trait you manifested still
lingers. This story award can only be
removed by a remove curse.</t>
  </si>
  <si>
    <t>Used Dreamwalker portent</t>
  </si>
  <si>
    <t>Traded Sixth Sword to Lyrielle for Necklace of Fireballs</t>
  </si>
  <si>
    <t xml:space="preserve">Jason </t>
  </si>
  <si>
    <t>Rythm Makers Drum +2</t>
  </si>
  <si>
    <t>Traded Bracers of Defense to Collin for Rythm Makers Drum +2</t>
  </si>
  <si>
    <t>Rolyn</t>
  </si>
  <si>
    <t>High Elf</t>
  </si>
  <si>
    <t>Rogue</t>
  </si>
  <si>
    <t>Noble</t>
  </si>
  <si>
    <t>Gloves of Thievery</t>
  </si>
  <si>
    <t>Longbow +1</t>
  </si>
  <si>
    <t>Mithral splintmail</t>
  </si>
  <si>
    <t>CCC-ELF-001</t>
  </si>
  <si>
    <t>Life's a Party</t>
  </si>
  <si>
    <t>Aaron P.</t>
  </si>
  <si>
    <t>DDEX 02-10</t>
  </si>
  <si>
    <t>Cloaks and Shadows</t>
  </si>
  <si>
    <t>CCC-BLD 1-1</t>
  </si>
  <si>
    <t>Bleeding Gate: Pandemonium</t>
  </si>
  <si>
    <t>CCC-BLD 1-2</t>
  </si>
  <si>
    <t>Bleeding Gate: Amalgamation</t>
  </si>
  <si>
    <t>CCC-BMG-CORE 03-02</t>
  </si>
  <si>
    <t>Ghostly Infestation</t>
  </si>
  <si>
    <t>Glenn M.</t>
  </si>
  <si>
    <t>CCC-CIC 04</t>
  </si>
  <si>
    <t>Best Friends Forever</t>
  </si>
  <si>
    <t>William L.</t>
  </si>
  <si>
    <t>Sending Stones</t>
  </si>
  <si>
    <t>Traded Winged Boots to Darrendrian for Gloves of Thievery</t>
  </si>
  <si>
    <t>Traded Sending Stones to Fei Chen for Shield +1</t>
  </si>
  <si>
    <t>Traded Shield +1 to Darrendrian for Mithral Splintmail</t>
  </si>
  <si>
    <t>Rogue's Mantle</t>
  </si>
  <si>
    <t>Anfer</t>
  </si>
  <si>
    <t>Lightfoot Halfling</t>
  </si>
  <si>
    <t>Ranger 5</t>
  </si>
  <si>
    <t>Outlander</t>
  </si>
  <si>
    <t>Rogue 1</t>
  </si>
  <si>
    <t>FOWP - Ivory Goats</t>
  </si>
  <si>
    <t>CCC-BMG-CORE03-03</t>
  </si>
  <si>
    <t>The Spirited Investigation</t>
  </si>
  <si>
    <t>Henry T.</t>
  </si>
  <si>
    <t>Tosh L.</t>
  </si>
  <si>
    <t>DDAL 09-03</t>
  </si>
  <si>
    <t>Hungry Shadows</t>
  </si>
  <si>
    <t>DDEN 01</t>
  </si>
  <si>
    <t>Hoard of the Dragon Queen</t>
  </si>
  <si>
    <t>John K.</t>
  </si>
  <si>
    <t>CCC-SQC 02-02</t>
  </si>
  <si>
    <t>Last Gasp</t>
  </si>
  <si>
    <t>Elven Chainmail</t>
  </si>
  <si>
    <t>Meteor Wrangler</t>
  </si>
  <si>
    <t>Longbow +1 renown item</t>
  </si>
  <si>
    <t>Traded Elven Chain to Darrendrian for Belt of Hill Giant Strength</t>
  </si>
  <si>
    <t>Traded Belt of Hill Giant Strength to Lorien for Gem of Seeing</t>
  </si>
  <si>
    <t>Tako</t>
  </si>
  <si>
    <t>Sun Blade</t>
  </si>
  <si>
    <t>Traded Gem of Seeing to Tifa Heartlock for Sun Blade</t>
  </si>
  <si>
    <t>Traded Sun Blade to Lorien for Glamoured Studded Leather</t>
  </si>
  <si>
    <t>Traded Glamoured Studded Leather to Sentient Hat for Glamoured Studded Leather</t>
  </si>
  <si>
    <t>Norixius</t>
  </si>
  <si>
    <t>Amethyst Dragonborn</t>
  </si>
  <si>
    <t>Conquest Paladin</t>
  </si>
  <si>
    <t>Knight of the Order</t>
  </si>
  <si>
    <t>Dragon Slayer Greatsword</t>
  </si>
  <si>
    <t>Flametongue Greatsword</t>
  </si>
  <si>
    <t>Potion of Necrotic Resistance</t>
  </si>
  <si>
    <t>Giant Slayer Greatsword</t>
  </si>
  <si>
    <t>Elemental Gem (Water)</t>
  </si>
  <si>
    <t>Vicious Lance</t>
  </si>
  <si>
    <t>Potion of Dimunition</t>
  </si>
  <si>
    <t>Moon-Touched Greatsword</t>
  </si>
  <si>
    <t>Drow Poison</t>
  </si>
  <si>
    <t>Scroll of Sleet Storm</t>
  </si>
  <si>
    <t>Bloodwell vial +3</t>
  </si>
  <si>
    <t>Potions of Superior Healing</t>
  </si>
  <si>
    <t>Boots of Speed</t>
  </si>
  <si>
    <t>Scroll of Find Greater Steed</t>
  </si>
  <si>
    <t>Potion of Fire Breath</t>
  </si>
  <si>
    <t>Season 11b DM Reward (R)</t>
  </si>
  <si>
    <t>Dragon slayer greatsword</t>
  </si>
  <si>
    <t>DDHC-CM 09</t>
  </si>
  <si>
    <t>Lore of Lurue</t>
  </si>
  <si>
    <t xml:space="preserve">Ring of Shooting Stars </t>
  </si>
  <si>
    <t>Traded Ring of Shooting Stars to Zandarax for Belt of Fire Giant Strength</t>
  </si>
  <si>
    <t>Giant slayer greatsword</t>
  </si>
  <si>
    <t>Flametongue greatsword</t>
  </si>
  <si>
    <t>Book of Cylinders</t>
  </si>
  <si>
    <t>Serpent Scale Mail, Serpent Fang longsword, Chime of Opening (5), Lantern of Revealing</t>
  </si>
  <si>
    <t>Learned Grippli</t>
  </si>
  <si>
    <t>DDEX03-13</t>
  </si>
  <si>
    <t>Writhing in the Dark</t>
  </si>
  <si>
    <t>Scavenged plate and a greatsword</t>
  </si>
  <si>
    <t>Potion of Greater Healing, Drow Poison x 2</t>
  </si>
  <si>
    <t>DDHC-DMM-CH3</t>
  </si>
  <si>
    <t>Throne of the Coronal</t>
  </si>
  <si>
    <t>Cloak of the Manta Ray, Dagger of Blindsight</t>
  </si>
  <si>
    <t>Oil of Slipperiness, Potion of Greater Healing, Potion of Growth</t>
  </si>
  <si>
    <t>DDAL-DRW-10</t>
  </si>
  <si>
    <t>Unsafe Harborage</t>
  </si>
  <si>
    <t>CCC-GLIP-02-01</t>
  </si>
  <si>
    <t>Blue Scales</t>
  </si>
  <si>
    <t>Arrow-Catching Shield</t>
  </si>
  <si>
    <t>Potion of fire breath, necrotic resistance, poison resistance</t>
  </si>
  <si>
    <t>DDAL04-07</t>
  </si>
  <si>
    <t>The Innocent</t>
  </si>
  <si>
    <t>Necklace of Prayer Beads (4x Bless, 1x Smite, 1x Greater Restoration)</t>
  </si>
  <si>
    <t>Traded Dagger of Blindsight to Pruxx for Necklace of Prayer Beads</t>
  </si>
  <si>
    <t>Potion of Poison Resistance, Potion of Heroism</t>
  </si>
  <si>
    <t>CCC-ODFC01-02</t>
  </si>
  <si>
    <t>Black Blades, Black Wings</t>
  </si>
  <si>
    <t>Bryce C.</t>
  </si>
  <si>
    <t>Rope of Entanglement</t>
  </si>
  <si>
    <t>Potion of Necrotic Resistance, Scroll of Sleet Storm</t>
  </si>
  <si>
    <t>WBW-DC-AUG-01</t>
  </si>
  <si>
    <t>Last Hour</t>
  </si>
  <si>
    <t>Pipe of Smoke Monsters (Guardian), Bloodwell Vial +3, Boots of Speed</t>
  </si>
  <si>
    <t>Traded Pipe of Smoke Monsters (Guardian) to Zandarax for a Moon-Tcouhed Greatsword</t>
  </si>
  <si>
    <t>Hat of Wizardry, Longbow +2 (Friendbow)</t>
  </si>
  <si>
    <t>CCC-WYC-1-1</t>
  </si>
  <si>
    <t xml:space="preserve">Back to the Burning </t>
  </si>
  <si>
    <t>Brazier of Commanding Fire Elementals</t>
  </si>
  <si>
    <t>Marked by the Fire of Imix</t>
  </si>
  <si>
    <t>DDAL00-02C</t>
  </si>
  <si>
    <t>Spawn of the Maimed Virulence</t>
  </si>
  <si>
    <t xml:space="preserve">Luke M. </t>
  </si>
  <si>
    <t>CCC-DES-01-06</t>
  </si>
  <si>
    <t>One Last Job</t>
  </si>
  <si>
    <t>Broom of Flying</t>
  </si>
  <si>
    <t>SJ-DC-STRATCON-01)</t>
  </si>
  <si>
    <t>The Lost God</t>
  </si>
  <si>
    <t>Half-plate +1 (Topaz scales), Clothes of mending</t>
  </si>
  <si>
    <t>Dinosaur Healer: can buy dinosaurs for 10 DTD</t>
  </si>
  <si>
    <t>Purchased Triceratops for 500 gp</t>
  </si>
  <si>
    <t>The Sixth Sword</t>
  </si>
  <si>
    <t xml:space="preserve">Gerald R. </t>
  </si>
  <si>
    <t>Traded Sixth Sword to Faramir Quickfoot for Periapt of Proof Against Poison</t>
  </si>
  <si>
    <t>WBW-DC-Rook-3-3</t>
  </si>
  <si>
    <t>The Rookery: The Crook in the Rook</t>
  </si>
  <si>
    <t>FR-STRAT-DRAGON-01</t>
  </si>
  <si>
    <t>Dancing in the Moonlight</t>
  </si>
  <si>
    <t>Necklace of Prayer Beads (1x Bless, 2x Cure Wounds/Lesser Resto, 2x Greater Resto, 1x Wind Walk)</t>
  </si>
  <si>
    <t>FR-STRAT-DRAGON-02</t>
  </si>
  <si>
    <t>Head in the Clouds</t>
  </si>
  <si>
    <t>Dragon's Tail (Lash of Immolation)</t>
  </si>
  <si>
    <t>PO-BK-3-09</t>
  </si>
  <si>
    <t>Isle of Death</t>
  </si>
  <si>
    <t>Amethyst Dragonwing Longbow</t>
  </si>
  <si>
    <t>Traded Half-plate +1 to Raguel for Vicious Lance</t>
  </si>
  <si>
    <t>Goblert Godfrey</t>
  </si>
  <si>
    <t>Goblin</t>
  </si>
  <si>
    <t>Artillerist</t>
  </si>
  <si>
    <t>Pirate</t>
  </si>
  <si>
    <t>All-Purpose Tool +1</t>
  </si>
  <si>
    <t>Potion of Gaseous Form</t>
  </si>
  <si>
    <t>Potion of Superior Healing</t>
  </si>
  <si>
    <t>Heward's Haversack</t>
  </si>
  <si>
    <t>Ring of Telekenesis</t>
  </si>
  <si>
    <t>Amulet of the Devout</t>
  </si>
  <si>
    <t>Scroll of Prayer of Healing</t>
  </si>
  <si>
    <t>Flametongue Longsword</t>
  </si>
  <si>
    <t>Wand of the War Mage +3</t>
  </si>
  <si>
    <t>Cloak of Arachnida</t>
  </si>
  <si>
    <t>Scroll of Planar Binding</t>
  </si>
  <si>
    <t>Oil of Etherealness</t>
  </si>
  <si>
    <t>Amulet of the Devout +2</t>
  </si>
  <si>
    <t>Pipes of Haunting</t>
  </si>
  <si>
    <t>Doss Lute</t>
  </si>
  <si>
    <t>Mantle of Spell Resistance</t>
  </si>
  <si>
    <t>Gleaming Scale Mail</t>
  </si>
  <si>
    <t>Cape of the Mountebank</t>
  </si>
  <si>
    <t>Cloak of the Manta Ray</t>
  </si>
  <si>
    <t>Cloak of Protection</t>
  </si>
  <si>
    <t>Ring of Protection</t>
  </si>
  <si>
    <t>Scroll of Revivify</t>
  </si>
  <si>
    <t>Greatsword of Warning</t>
  </si>
  <si>
    <t>Start at level 5</t>
  </si>
  <si>
    <t>CCC-AN-03</t>
  </si>
  <si>
    <t>Winter Wonderland</t>
  </si>
  <si>
    <t>Heward's Handy Haversack</t>
  </si>
  <si>
    <t>CCC-DES-04-02</t>
  </si>
  <si>
    <t>A Hell of a Party</t>
  </si>
  <si>
    <t>Potion of Gaseous Form, Potion of Greater Healing, Scroll of Planar Binding</t>
  </si>
  <si>
    <t>Banned in Stygia, A Bit of the Divine</t>
  </si>
  <si>
    <t>CCC-BMG-MOON 3-3</t>
  </si>
  <si>
    <t>Beneath the Cairnwell</t>
  </si>
  <si>
    <t>Potion of Greater Healing, Potion of Poison Resistance, Potion of Gaseous Form</t>
  </si>
  <si>
    <t>Nolzur's Pigments</t>
  </si>
  <si>
    <t>Rod of the Pact Keeper +3</t>
  </si>
  <si>
    <t>Traded Nolzur's Pigments to Amaretto for Rod of the Pact Keeper +3</t>
  </si>
  <si>
    <t>Mary P.</t>
  </si>
  <si>
    <t>Traded Rod of the Pact Keeper +3 to Barbara Jean for Wand of the War Mage +3</t>
  </si>
  <si>
    <t>DDAL-DRW-13</t>
  </si>
  <si>
    <t>Night Thieves</t>
  </si>
  <si>
    <t>Kristy K.</t>
  </si>
  <si>
    <t>Flametongue Longsword, Pearl of Power</t>
  </si>
  <si>
    <t>CCC-BMG-MOON 14-3</t>
  </si>
  <si>
    <t>The Ghosts of Grief</t>
  </si>
  <si>
    <t>Potion of Dimunition, Potion of Growth</t>
  </si>
  <si>
    <t>DDHC-CM</t>
  </si>
  <si>
    <t>Kandlekeep Dekonstruktion</t>
  </si>
  <si>
    <t>Josh D.</t>
  </si>
  <si>
    <t>WBW-DC-Sunlit-04</t>
  </si>
  <si>
    <t>Blank Stare</t>
  </si>
  <si>
    <t>Amulet of Emotional Well-Being (Amulet of Health), Yarnspinner's Cloak (Cloak of Arachnida), Gleaming Scale</t>
  </si>
  <si>
    <t>Crossbow bolt +2 (5)</t>
  </si>
  <si>
    <t>Sunlit Pistolero</t>
  </si>
  <si>
    <t>Bought Scroll of Revivify</t>
  </si>
  <si>
    <t>DDAL-DRW11</t>
  </si>
  <si>
    <t>Shadows in the Stacks</t>
  </si>
  <si>
    <t xml:space="preserve">KC K. </t>
  </si>
  <si>
    <t>Amulet of the Devout +2, Mantle of Spell Resistance</t>
  </si>
  <si>
    <t>CCC-SALT-02-05</t>
  </si>
  <si>
    <t>The Darkness Never Forgets</t>
  </si>
  <si>
    <t>Potion of Superior Healing, Scroll of Prayer of Healing</t>
  </si>
  <si>
    <t>CCC-GAD01-01</t>
  </si>
  <si>
    <t>Broken Blade</t>
  </si>
  <si>
    <t xml:space="preserve">Corey F. </t>
  </si>
  <si>
    <t>Cloak of the Manta Ray (Sea Hag's Cloak), Ruby of the War Mage</t>
  </si>
  <si>
    <t>Oil Etherealness</t>
  </si>
  <si>
    <t>A Lich's Secret</t>
  </si>
  <si>
    <t>Raguel</t>
  </si>
  <si>
    <t>Aasimar</t>
  </si>
  <si>
    <t>Divine Soul Paladin</t>
  </si>
  <si>
    <t>Angel</t>
  </si>
  <si>
    <t>Half-plate +1</t>
  </si>
  <si>
    <t>Tome of Leadership and Influence</t>
  </si>
  <si>
    <t>Vicious Maul</t>
  </si>
  <si>
    <t>Manual of Bodily Health</t>
  </si>
  <si>
    <t>Potion of Supreme Healing</t>
  </si>
  <si>
    <t>Bloodwell Vial +1</t>
  </si>
  <si>
    <t>Scroll of Grasping Vine</t>
  </si>
  <si>
    <t>Anstruth Harp</t>
  </si>
  <si>
    <t>DDHC-KGV-11</t>
  </si>
  <si>
    <t>Vicioius Maul</t>
  </si>
  <si>
    <t>Traded Spider Staff to Madam Renata for Ring of Spell Storing</t>
  </si>
  <si>
    <t>Half-plate +1 (Topaz scales)</t>
  </si>
  <si>
    <t>Traded Vicious Lance to Norixious for Half-plate +1</t>
  </si>
  <si>
    <t>Traded Anstruth Hapr to Agatha for Tome of Leadership and Influence</t>
  </si>
  <si>
    <t>CCC-ALMOG-03 TALES03-01</t>
  </si>
  <si>
    <t xml:space="preserve">Claws of Fury </t>
  </si>
  <si>
    <t>Potion of Greater Healing, Potion of Supreme Healing, Scroll of Grasping Vine</t>
  </si>
  <si>
    <t>FR-DC-BG</t>
  </si>
  <si>
    <t>The Flying Flame</t>
  </si>
  <si>
    <t>Davis T.</t>
  </si>
  <si>
    <t>Dragonhide Belt +3 (Harmonious)</t>
  </si>
  <si>
    <t>DDAL07-10</t>
  </si>
  <si>
    <t>Fire, Ash, and Ruin</t>
  </si>
  <si>
    <t>Krahharuan Fork (+3 Pike)</t>
  </si>
  <si>
    <t>Orakhar</t>
  </si>
  <si>
    <t>Githzerai</t>
  </si>
  <si>
    <t>Order of Scribes</t>
  </si>
  <si>
    <t>Sage</t>
  </si>
  <si>
    <t>Animated Shield</t>
  </si>
  <si>
    <t xml:space="preserve">Potion of Superior Healing </t>
  </si>
  <si>
    <t>Masters Campaign</t>
  </si>
  <si>
    <t>Dwarven Plate</t>
  </si>
  <si>
    <t>Wand of Polymorph</t>
  </si>
  <si>
    <t>DDHC-CM Ch. 1</t>
  </si>
  <si>
    <t>The Joys of Extradimensional Space</t>
  </si>
  <si>
    <t>Flail +1, Driftglobe</t>
  </si>
  <si>
    <t>Necklace of Fireballs (6 Beads)</t>
  </si>
  <si>
    <t>DDHC-CM Ch. 2</t>
  </si>
  <si>
    <t>Mazfroth’s Mighty Digressions</t>
  </si>
  <si>
    <t>Helm of Comprehend Languages</t>
  </si>
  <si>
    <t>DDHC-CM Ch. 7</t>
  </si>
  <si>
    <t>The Book of Cylinders</t>
  </si>
  <si>
    <t>Serpent Scale Mail, Serpent Fang (Longsword with +1d10 poison)</t>
  </si>
  <si>
    <t>DDHC-CM Ch. 8 part 1</t>
  </si>
  <si>
    <t>Sarah of Yellowcrest Manor</t>
  </si>
  <si>
    <t>DDHC-CM Ch. 8 part 2</t>
  </si>
  <si>
    <t>Robe of Scintillating Colors</t>
  </si>
  <si>
    <t>Scribed Counterspell from a scroll</t>
  </si>
  <si>
    <t>DDHC-CM Ch. 9</t>
  </si>
  <si>
    <t>Ring of Shooting Stars</t>
  </si>
  <si>
    <t>Charm of Animal Conjuring (3 uses)</t>
  </si>
  <si>
    <t>DDHC-CM Ch. 10</t>
  </si>
  <si>
    <t>DM Rewards x 2</t>
  </si>
  <si>
    <t>DDHC-CM Ch. 11</t>
  </si>
  <si>
    <t>Zikran's Zephyrean Tome</t>
  </si>
  <si>
    <t>Censor of Commanding Air Elementals (Djinni)</t>
  </si>
  <si>
    <t>DDHC-CM Ch. 12</t>
  </si>
  <si>
    <t>The Curious Tale of Wisteria Vale</t>
  </si>
  <si>
    <t xml:space="preserve">Cli Lyre, Dust of Disappearance </t>
  </si>
  <si>
    <t>DDHC-CM Ch. 13</t>
  </si>
  <si>
    <t>The Book of Inner Alchemy</t>
  </si>
  <si>
    <t>Staff of Striking</t>
  </si>
  <si>
    <t>Scimitar of Speed</t>
  </si>
  <si>
    <t>Traded Scrimitar of Speed to Lyrielle for Ring of Telekenesis</t>
  </si>
  <si>
    <t>DM Reward x 4</t>
  </si>
  <si>
    <t>DDHC-CM Ch. 16</t>
  </si>
  <si>
    <t>Alkezaar's Appendix</t>
  </si>
  <si>
    <t>Dwarven Plate, Wand of Polymorph, Animated Shield, Horn of Blasting, Staff of Withering, +2 Longbow</t>
  </si>
  <si>
    <t>Spell Scroll of Wish</t>
  </si>
  <si>
    <t>Charm of the Mirage. This charm allows you to cast the hallucinatory terrain spell (save DC 15) as an action. Once used, this charm vanishes from you. Charm of Lightning Resistance (10 days)</t>
  </si>
  <si>
    <t>Wished for resistance to Necrotic, spell was cast from a scroll with the help of Divine Intervention by Deneir called upon by Myka (Nicole)</t>
  </si>
  <si>
    <t>Traded Broom of Flying to Darrendrian for Eyes of the Eagle</t>
  </si>
  <si>
    <t>The Astounding Lyrielle</t>
  </si>
  <si>
    <t>Half-Elf</t>
  </si>
  <si>
    <t>Swords Bard</t>
  </si>
  <si>
    <t>Boons and Blessings:</t>
  </si>
  <si>
    <t>Source:</t>
  </si>
  <si>
    <t>Date:</t>
  </si>
  <si>
    <t>Entertainer (Fire-eater)</t>
  </si>
  <si>
    <t>Scroll of Magic Mouth</t>
  </si>
  <si>
    <t>Scroll of Mind Spike</t>
  </si>
  <si>
    <t>Whelm</t>
  </si>
  <si>
    <t>Stone of Good Luck</t>
  </si>
  <si>
    <t>Blessing of Protection</t>
  </si>
  <si>
    <t xml:space="preserve">DDHC-TYP White Plume Mountain </t>
  </si>
  <si>
    <t>Potion of Mind Reading</t>
  </si>
  <si>
    <t>Scroll of Protection from Fiends</t>
  </si>
  <si>
    <t>Scroll of Ceremony</t>
  </si>
  <si>
    <t>Necklace of Prayer Beads (1 of each)</t>
  </si>
  <si>
    <t>Goggles of Night</t>
  </si>
  <si>
    <t>Blessing of the Frostmaiden</t>
  </si>
  <si>
    <t>DDHC-ROTFM Chapter 5</t>
  </si>
  <si>
    <t>Scroll of Teleport</t>
  </si>
  <si>
    <t xml:space="preserve">Scroll of Holy Weapon </t>
  </si>
  <si>
    <t>Trident +2</t>
  </si>
  <si>
    <t>Cloak of Billowing</t>
  </si>
  <si>
    <t>Scroll of Fear</t>
  </si>
  <si>
    <t>Scroll of Hold Person</t>
  </si>
  <si>
    <t xml:space="preserve">Scroll of Greater Resotration </t>
  </si>
  <si>
    <t>Chain +1</t>
  </si>
  <si>
    <t>Iron Bands of Bilaro</t>
  </si>
  <si>
    <t>Scroll of Conjur Minor Elemental</t>
  </si>
  <si>
    <t>Scroll of Mass Cure Wounds</t>
  </si>
  <si>
    <t>Armor of Vulnerability to Slashing</t>
  </si>
  <si>
    <t>Boots of Striding and Springing</t>
  </si>
  <si>
    <t>Purchased Bruce the Elephant for 200 gp</t>
  </si>
  <si>
    <t>Necklace of Fireballs</t>
  </si>
  <si>
    <t>Sixth Sword (+2 Rapier with +2 Init)</t>
  </si>
  <si>
    <t>Traded Necklace of Fireballs to Leonardo for the Sixth Sword</t>
  </si>
  <si>
    <t>DDHC-CM 04</t>
  </si>
  <si>
    <t>A Deep and Creeping Darkness</t>
  </si>
  <si>
    <t>Goggles of Night, Ring of Swimming</t>
  </si>
  <si>
    <t>DDHC-CM 02</t>
  </si>
  <si>
    <t>Mazfroth's Mighty Digressions</t>
  </si>
  <si>
    <t>Purchased Yeti horn recorder (Flute) in Baldur's Gate</t>
  </si>
  <si>
    <t>DDAL05-02</t>
  </si>
  <si>
    <t>The Black Road</t>
  </si>
  <si>
    <t>Ryan B.</t>
  </si>
  <si>
    <t>**Historic Campaign - no rewards</t>
  </si>
  <si>
    <t>Fey Cloak of Protection</t>
  </si>
  <si>
    <t>DDHC-CM 10</t>
  </si>
  <si>
    <t>Spell Scroll of Teleport</t>
  </si>
  <si>
    <t>Purchased Scale Mail for 50 gp, sold Leather Armor for 5gp, Bruce was Awakened by Pwyl Pweeten (Tim H.)</t>
  </si>
  <si>
    <t>Traded Ring of Telekenesis to Orakhar for Scimitar of Speed</t>
  </si>
  <si>
    <t>Andrew B.</t>
  </si>
  <si>
    <t>Traded the Sixth Sword to Z'la'ssh for Ring of Spell Storing</t>
  </si>
  <si>
    <t>CCC-TRI-03</t>
  </si>
  <si>
    <t>Fences and Swrods</t>
  </si>
  <si>
    <t>CCC-TAROT-02-05</t>
  </si>
  <si>
    <t>Hollow Hopes</t>
  </si>
  <si>
    <t>DDEX03-03</t>
  </si>
  <si>
    <t>The Occupation of Szith Morcane</t>
  </si>
  <si>
    <t>Ned L.</t>
  </si>
  <si>
    <t>CCC-MOON-7-2</t>
  </si>
  <si>
    <t xml:space="preserve">Temple of the Sun </t>
  </si>
  <si>
    <t>DDHC-TYP</t>
  </si>
  <si>
    <t>White Plume Mountain</t>
  </si>
  <si>
    <t>Whelm, Boots of Striding and Springing, Chain +1, Goggles of Night, Necklace of Prayer Beads (1 of each), Ring of Protection, Ring of Spell Storing, Stone of Good Luck, Armor of Vulnerability vs Slashing</t>
  </si>
  <si>
    <t>Potion of mind reading, poition of greater healing, scrolls of fear, hold person, conjur minor elemental, dispel magic, magic mouth, protection from fiends</t>
  </si>
  <si>
    <t>DDHC-ROTFM</t>
  </si>
  <si>
    <t>Chapter 5</t>
  </si>
  <si>
    <t>Purchased Studded Leather, cold weather gear, and 5 Potions of Superior Healing</t>
  </si>
  <si>
    <t>DDAL00-08</t>
  </si>
  <si>
    <t>Layers Upon Layer</t>
  </si>
  <si>
    <t>Boots of False Tracks, Sending Stones</t>
  </si>
  <si>
    <t>Scroll of Raise Dead, Potion of Greater Healing</t>
  </si>
  <si>
    <t>Skin turned blue, hair turned purple, gained the flaw "I am terrified of children."</t>
  </si>
  <si>
    <t>DC-PoA-NBDD-01</t>
  </si>
  <si>
    <t>Ice, Ice, Birdie</t>
  </si>
  <si>
    <t>Brooch of Shielding, Charlatans Die</t>
  </si>
  <si>
    <t>DDAL 08-11</t>
  </si>
  <si>
    <t>Poisoned Words</t>
  </si>
  <si>
    <t>Glamoured Studded Leather (black salmon leather)</t>
  </si>
  <si>
    <t>Potion of Speed</t>
  </si>
  <si>
    <t>CCC-MOON-7-1</t>
  </si>
  <si>
    <t>Temple of the Beast</t>
  </si>
  <si>
    <t>Staff of the Python</t>
  </si>
  <si>
    <t>Killed in the Shadowfell, raised by clerics of Shantea for 1500 gp, purchased Greater Restoration to clear Shadowfell Despair for 550 gp.</t>
  </si>
  <si>
    <t>CCC-MOON-3-2</t>
  </si>
  <si>
    <t>Within the Tunnels of Dwarvenholm</t>
  </si>
  <si>
    <t>Adamantine chain armor</t>
  </si>
  <si>
    <t>Potion of Greater Healing, Potion of Heroism, Scroll of Mind Spike, Scroll of Ceremony</t>
  </si>
  <si>
    <t>DDAL-DRW-01</t>
  </si>
  <si>
    <t>Breaking Umberlee's Resolve</t>
  </si>
  <si>
    <t>Met Magma Mephit familiar, crewmember of The Seabruce, ally of Zehria D'Rian</t>
  </si>
  <si>
    <t>Purchased 2 castings of Greater Restoration to remove effects from 10/25/21</t>
  </si>
  <si>
    <t>CCC-BMG-MOON16-1</t>
  </si>
  <si>
    <t>Augurs of Spring</t>
  </si>
  <si>
    <t>DDAL05-11</t>
  </si>
  <si>
    <t>Dreamwalker portent: 2</t>
  </si>
  <si>
    <t>Trade Opal of the ild rune to Tengen Uzui for Iron Bands of Bilaro</t>
  </si>
  <si>
    <t>DDEX3-13</t>
  </si>
  <si>
    <t>Rod of the Pact Keeper +2 (tentacled)</t>
  </si>
  <si>
    <t>Bought Scroll of Greater Restoration, Scroll of Revivify</t>
  </si>
  <si>
    <t>CCC-GAD02-03</t>
  </si>
  <si>
    <t>Champions of the Arena</t>
  </si>
  <si>
    <t>Brass Horn of Valhalla</t>
  </si>
  <si>
    <t>Potion of Heroism, Potion of Fire Giant Strength, Spell Scroll of Illusory Dragon</t>
  </si>
  <si>
    <t>DDAL 07-09</t>
  </si>
  <si>
    <t>Unusual Opposition</t>
  </si>
  <si>
    <t>Frost Brand Rapier</t>
  </si>
  <si>
    <t>DDAL 07-14</t>
  </si>
  <si>
    <t>Fathomless Pit of Ill Intent</t>
  </si>
  <si>
    <t>Scroll of Greater Restoration</t>
  </si>
  <si>
    <t>CCC-STORM-01</t>
  </si>
  <si>
    <t>Barrows of Solina</t>
  </si>
  <si>
    <t>Sunblade</t>
  </si>
  <si>
    <t>Purchased 15 elephants in Waterdeep and freed them</t>
  </si>
  <si>
    <t>Sentient Hat</t>
  </si>
  <si>
    <t>DSS/Lore Bard</t>
  </si>
  <si>
    <t>Elixir of Health 1</t>
  </si>
  <si>
    <t>Shadowneedle</t>
  </si>
  <si>
    <t>Scroll of Programmed Illusion</t>
  </si>
  <si>
    <t>Scroll of Raise Dead 1</t>
  </si>
  <si>
    <t>Harper</t>
  </si>
  <si>
    <t>Bag of Holding</t>
  </si>
  <si>
    <t>Potion of Flying</t>
  </si>
  <si>
    <t>Scroll of Holy Weapon 5</t>
  </si>
  <si>
    <t xml:space="preserve">Poiton of Greater Healing </t>
  </si>
  <si>
    <t>Scroll of Dream</t>
  </si>
  <si>
    <t>Scroll of Find Familiar</t>
  </si>
  <si>
    <t>Potion of Speed 1</t>
  </si>
  <si>
    <t xml:space="preserve">Ring of Evasion </t>
  </si>
  <si>
    <t>Revifiy Diamond</t>
  </si>
  <si>
    <t>Scroll of Lesser Restoration</t>
  </si>
  <si>
    <t>Oil of Sharpness</t>
  </si>
  <si>
    <t>Potion of Invisibility 1</t>
  </si>
  <si>
    <t>Woe</t>
  </si>
  <si>
    <t>Arrow +3</t>
  </si>
  <si>
    <t>Scroll of Summon Fiend</t>
  </si>
  <si>
    <t>Tome of Clear Thought</t>
  </si>
  <si>
    <t>Scroll of Summon Undead</t>
  </si>
  <si>
    <t xml:space="preserve">Cloak of Displacement </t>
  </si>
  <si>
    <t>Scroll of Mage Armor</t>
  </si>
  <si>
    <t>Potion of Vitality 1</t>
  </si>
  <si>
    <t>Potion of Frost Giant Strength</t>
  </si>
  <si>
    <t>Potion of Greater Invisibility</t>
  </si>
  <si>
    <t>Scroll of Illusory Dragon 1</t>
  </si>
  <si>
    <t xml:space="preserve">CCC-KUMORI-02-04 </t>
  </si>
  <si>
    <t>To Be the Very Best</t>
  </si>
  <si>
    <t>Deck of Cards</t>
  </si>
  <si>
    <t xml:space="preserve">Short Sword +1 </t>
  </si>
  <si>
    <t>Traded Deck of Cards to Torrin for Short Sword +1</t>
  </si>
  <si>
    <t>DM Reward (x6)</t>
  </si>
  <si>
    <t>Cli Lyre</t>
  </si>
  <si>
    <t>Staff of Healing</t>
  </si>
  <si>
    <t>Traded FOWP - Ivory Goats to Anfer for Glamoured Studded Leather</t>
  </si>
  <si>
    <t xml:space="preserve">Ring of Spell Storing (Harmonius) </t>
  </si>
  <si>
    <t xml:space="preserve">Traded Splint +1 to Norragen for Ring of Spell Storing (Harmonius) </t>
  </si>
  <si>
    <t>CCC-QCC2020-03</t>
  </si>
  <si>
    <t>Run for the Money</t>
  </si>
  <si>
    <t>Pot of Awakening, Rod of Rulership (traded for Staff of Charming)</t>
  </si>
  <si>
    <t>6 +3 Arrows</t>
  </si>
  <si>
    <t>Banned: Maladomini</t>
  </si>
  <si>
    <t>Spent 1 DTD casting Holy Weapon into the Ring of Spell Storing. Bought 5 Potions of Greater Healing (500 gp) and 3 diamonds (900 gp), spent 1000 gp on Hero's Feast. Table Trade of Rod of Rulership for Staff of Charming. Gave 200 gp to Pit Fiend in rare coins. Purchased 1500 gp worth of Ruby Dust (Forcecage component).</t>
  </si>
  <si>
    <t>MIND01-02</t>
  </si>
  <si>
    <t>Mind Trip</t>
  </si>
  <si>
    <t>Ring of Regeneration</t>
  </si>
  <si>
    <t>Potion of Invulnerability, Potion of Greater Healing</t>
  </si>
  <si>
    <t>Used +3 Arrow "Deck of Many Things"</t>
  </si>
  <si>
    <t xml:space="preserve">Trade Broom of Flying to Bryce for Headband of Intellect </t>
  </si>
  <si>
    <t>CCC-BMG-38 HULB 3-2</t>
  </si>
  <si>
    <t>Dead Canaries</t>
  </si>
  <si>
    <t>Mental Fortitude: Advantage on one save each: Intelligence, Wisdom, Charisma</t>
  </si>
  <si>
    <t>Cast Holy Weapon in Ring of Spell Storing</t>
  </si>
  <si>
    <t>DDEX03-04</t>
  </si>
  <si>
    <t>It’s all in the Blood</t>
  </si>
  <si>
    <t>Jesse S.</t>
  </si>
  <si>
    <t>Ioun Stone of Regeneration</t>
  </si>
  <si>
    <t>Traded +3 Arrow "Ironfang" in exchange for an enslaved Drow</t>
  </si>
  <si>
    <t>CCC-RCC-01-06</t>
  </si>
  <si>
    <t>The Handfasting</t>
  </si>
  <si>
    <t>Minor Noble</t>
  </si>
  <si>
    <t>Bought 2 forked metal rods attuned to Material Plane and Plane of Knowledge</t>
  </si>
  <si>
    <t>CCC-GHC-08</t>
  </si>
  <si>
    <t>Death in the Ruins</t>
  </si>
  <si>
    <t>Tyr's Justice (+2 Longsword +2 Init)</t>
  </si>
  <si>
    <t>CCC-LINKS-02</t>
  </si>
  <si>
    <t>The Secrets We Keep</t>
  </si>
  <si>
    <t>Dancing Sword</t>
  </si>
  <si>
    <t>Scroll of Dream, Potion of Invulnerability</t>
  </si>
  <si>
    <t>Spent 1000 gp on Heroe's Feast</t>
  </si>
  <si>
    <t>CCC-GSP-NTHR01-01</t>
  </si>
  <si>
    <t>A Night of Sorrows</t>
  </si>
  <si>
    <t>Amulet of Health (Obsideon Amulet infused with the Shadowfell)</t>
  </si>
  <si>
    <t>CCC-ALMOG-03</t>
  </si>
  <si>
    <t>Claws of Fury</t>
  </si>
  <si>
    <t>Scroll of Enhance Ability, Antitoxin</t>
  </si>
  <si>
    <t>Bought 4 scrolls of Lesser Restoration</t>
  </si>
  <si>
    <t>Nolzur's Marvelous Pigments (1 pot)</t>
  </si>
  <si>
    <t>Traded Belt of Fire Giant Strength to Buckley for 1 pot of Nulzor's Marvelous Pigments</t>
  </si>
  <si>
    <t>DDAL08-13</t>
  </si>
  <si>
    <t>The Vampire of Skullport</t>
  </si>
  <si>
    <t>Bought a pirate flag with a dragon skull and crossbones</t>
  </si>
  <si>
    <t>CCC-ROZK-01-01</t>
  </si>
  <si>
    <t>Binder's Torment</t>
  </si>
  <si>
    <t>Chris C.</t>
  </si>
  <si>
    <t>Wand of the War Mage +2</t>
  </si>
  <si>
    <t>Heroes of Reclamation Day, An Ally in the Ebon TIde</t>
  </si>
  <si>
    <t>CCC-ROZK-01-03</t>
  </si>
  <si>
    <t>Necromancer's Ascent</t>
  </si>
  <si>
    <t>Spellguard Shield</t>
  </si>
  <si>
    <t>You've got a friend in me</t>
  </si>
  <si>
    <t>DDHC-CM 14</t>
  </si>
  <si>
    <t>The Canopic Being</t>
  </si>
  <si>
    <t>CCC-TRI-10</t>
  </si>
  <si>
    <t>Contact</t>
  </si>
  <si>
    <t>Honorary Beholder Corps</t>
  </si>
  <si>
    <t>CCC-ROZK-01-02</t>
  </si>
  <si>
    <t>Zhentarrim's Lament</t>
  </si>
  <si>
    <t>Nature of the Weave: Spent 50 DTD's to have expertise in Arcana</t>
  </si>
  <si>
    <t>Bought 5 Scrolls of Mage Armor</t>
  </si>
  <si>
    <t>DDHC-CM 13</t>
  </si>
  <si>
    <t>Book of Inner Alchemy</t>
  </si>
  <si>
    <t>DDAL00-02e</t>
  </si>
  <si>
    <t>Forgotten Foes</t>
  </si>
  <si>
    <t>Rod of Absorption (contains 6 levels)</t>
  </si>
  <si>
    <t>CCC-HULB-01-01</t>
  </si>
  <si>
    <t>Weakness of Rock</t>
  </si>
  <si>
    <t>Bought 2 scrolls of Find Familiar and 2 scrolls of Mage Armor</t>
  </si>
  <si>
    <t>CCC-SVH01-02</t>
  </si>
  <si>
    <t>Raven Lord's Aerie</t>
  </si>
  <si>
    <t>CCC-SVH01-01</t>
  </si>
  <si>
    <t>Dawn of the Raven Lord</t>
  </si>
  <si>
    <t>DDAL-DRWEP-02</t>
  </si>
  <si>
    <t>Wings of Dread</t>
  </si>
  <si>
    <t>Bought 3 Potions of Lightning Resistance, 4 Poitons of Greater Healing, 1 Scroll of Death Ward</t>
  </si>
  <si>
    <t>DDAL-DRW-06</t>
  </si>
  <si>
    <t>Thimblerigging</t>
  </si>
  <si>
    <t>Ioun Stone of Vitality</t>
  </si>
  <si>
    <t>Potions of heroism and superior healing</t>
  </si>
  <si>
    <t>Code Breaker - Success</t>
  </si>
  <si>
    <t>Bought 1 Scroll of Holy Weapon, Scroll of Revivify, Spent 1000 gp on Heroe's Feast</t>
  </si>
  <si>
    <t>DDHC-TOA-15</t>
  </si>
  <si>
    <t>Maze of Shadows Pts. 1 &amp; 2</t>
  </si>
  <si>
    <t>Oathbinder, Ioun Stone of Sustenaince, Lantern of Revealing</t>
  </si>
  <si>
    <t>6 Destiny Points</t>
  </si>
  <si>
    <t>DDAL05-08</t>
  </si>
  <si>
    <t>Durlag's Tower</t>
  </si>
  <si>
    <t>Jed D.</t>
  </si>
  <si>
    <t>Staff of Thunder and Lightning</t>
  </si>
  <si>
    <t>Potion of Superior Healing, Potion of Invulnerability, Potion of Frost Giant Strength, Scroll of Greater Invisibility</t>
  </si>
  <si>
    <t>Maze of Shadows Pt. 3</t>
  </si>
  <si>
    <t>Mantle of Spell Resistance, Tome of Understanding</t>
  </si>
  <si>
    <t>Potion of Fire Resistance, Poition of Superior Healing, Elixer of Health, Scroll of Raise Dead</t>
  </si>
  <si>
    <t>DDAL-DRW16</t>
  </si>
  <si>
    <t>Uprising</t>
  </si>
  <si>
    <t>Ring of Evasion, Woe (unique +3 longsword)</t>
  </si>
  <si>
    <t>Potion of Greater Healing, Potion of Invisibility, Potion of Speed, Scroll of Summon Fiend, Scroll of Summon Undead</t>
  </si>
  <si>
    <t>Bought 5 Scrolls of Mage Armor, bought 5 Scrolls of Holy Weapon, paid for Hero's Feast</t>
  </si>
  <si>
    <t>DDHC-MORD</t>
  </si>
  <si>
    <t>Lich Queen's Begotten</t>
  </si>
  <si>
    <t>Potion of Heroism, Potion of Vitality, Elixir of Health</t>
  </si>
  <si>
    <t xml:space="preserve">Saved the Lich Queen's Begotten (Janeane) because she's great and likes crepes. Plane Shifted to the House of Knowledge to let Oghma deal with her being a vessel for the Lich Queen. Stayed and performed many new stories and songs for Oghma. </t>
  </si>
  <si>
    <t>Arena of Champions</t>
  </si>
  <si>
    <t>Potion of Heroism, Scroll of Illusory Dragon, Potion of FIre giant Strength</t>
  </si>
  <si>
    <t>Pike +3 (Krahharuan Fork)</t>
  </si>
  <si>
    <t>CCC-SAC-02</t>
  </si>
  <si>
    <t>Fun with Fey</t>
  </si>
  <si>
    <t>Cloak of Displacement</t>
  </si>
  <si>
    <t>DDAL-DRW-14</t>
  </si>
  <si>
    <t>The City that Should Not Be</t>
  </si>
  <si>
    <t>Aaron H.</t>
  </si>
  <si>
    <t>Bracers of Defense, Belt of Stone Giant Strength</t>
  </si>
  <si>
    <t>Potion of Vitality, Scroll of Sending</t>
  </si>
  <si>
    <t>Bond of Fellowship, Xorvintroth Security (destroyed the pods)</t>
  </si>
  <si>
    <t>CCC-BMG-MOON18-2</t>
  </si>
  <si>
    <t>What We Reap</t>
  </si>
  <si>
    <t>Created Bastion</t>
  </si>
  <si>
    <t>Le Théâtre du Chapeau</t>
  </si>
  <si>
    <t>Theater, Archive, Reliquary, Pub, Teleportation Circle</t>
  </si>
  <si>
    <t xml:space="preserve">Expanded Archive and Pub to vast. </t>
  </si>
  <si>
    <t>SJ-DC-AUG-08</t>
  </si>
  <si>
    <t>I Xamott - Tales of the Beholder Corps</t>
  </si>
  <si>
    <t>SJ-DC-DFA-01</t>
  </si>
  <si>
    <t>Moonshot</t>
  </si>
  <si>
    <t>BMG-MOON-MD-10</t>
  </si>
  <si>
    <t>Echoes of the Fallen</t>
  </si>
  <si>
    <t xml:space="preserve">Ryan L. </t>
  </si>
  <si>
    <t>Staff of Fate, Ring of Truth Telling</t>
  </si>
  <si>
    <t>Scroll of Greater Restoration, Scroll of Death Ward, Scroll of Ottiluke's Resilient Sphere</t>
  </si>
  <si>
    <t>Kendrick Camaraderie story award. Purchased Heroes' Feast component (1000gp), 3 scrolls of Teleportation Circle (3000 gp)</t>
  </si>
  <si>
    <t>CCC-GHC-BK2-09</t>
  </si>
  <si>
    <t>Breath of Fire</t>
  </si>
  <si>
    <t>Onyx Dog</t>
  </si>
  <si>
    <t>CCC-QCC-2017</t>
  </si>
  <si>
    <t>Delusions of Grandeur</t>
  </si>
  <si>
    <t xml:space="preserve">Jason R. </t>
  </si>
  <si>
    <t>Arvistan Brightwave</t>
  </si>
  <si>
    <t>Sea Elf</t>
  </si>
  <si>
    <t>Paladin</t>
  </si>
  <si>
    <t>Sailor</t>
  </si>
  <si>
    <t>Lance +3</t>
  </si>
  <si>
    <t>Aegis of the Raven Queen Shield</t>
  </si>
  <si>
    <t>Scroll of Death Ward</t>
  </si>
  <si>
    <t>Scroll of Holy Weapon</t>
  </si>
  <si>
    <t>The Seventh Sword</t>
  </si>
  <si>
    <t>Scroll of Water Breathing</t>
  </si>
  <si>
    <t>Diamond worth 300 gp</t>
  </si>
  <si>
    <t>CCC-WWC-02</t>
  </si>
  <si>
    <t>Dark Waters of Hate</t>
  </si>
  <si>
    <t>Lawrence Z.</t>
  </si>
  <si>
    <t>Trident of Fish Command</t>
  </si>
  <si>
    <t>Mercy for the Merfolk, Inspired by Torm</t>
  </si>
  <si>
    <t>Spent 5 Downtime Days to take the Inspired by Torm story award</t>
  </si>
  <si>
    <t>Tan Bag of Tricks</t>
  </si>
  <si>
    <t>Jonathan C.</t>
  </si>
  <si>
    <t>Spent 20 DTD's leveling up to Tier 2</t>
  </si>
  <si>
    <t xml:space="preserve">David T. </t>
  </si>
  <si>
    <t>Choraller's Companion</t>
  </si>
  <si>
    <t>Traded Bag of Tricks to Del for Choraller's Companion</t>
  </si>
  <si>
    <t>Gem of Water Elemental</t>
  </si>
  <si>
    <t>Traded Choraller's Companion to Darrendrian for Gem of Water Elemental</t>
  </si>
  <si>
    <t>CCC-TRI-34</t>
  </si>
  <si>
    <t>Rise of the Sea Dragon</t>
  </si>
  <si>
    <t xml:space="preserve">Jeffrey S. </t>
  </si>
  <si>
    <t>Rapier +1 renown item</t>
  </si>
  <si>
    <t>CCC-CIC-04</t>
  </si>
  <si>
    <t>Gratitude of the Von Finkelstein family - Scroll of Water Breathing</t>
  </si>
  <si>
    <t>Traded Opal of the Ild Rune to Lorien for Belt of Hill Giant Strength</t>
  </si>
  <si>
    <t>CIC-10</t>
  </si>
  <si>
    <t>Terror at Soward Manor</t>
  </si>
  <si>
    <t>Protector of the Gifted</t>
  </si>
  <si>
    <t>Traded Bracers of Defense to Lorien for Sun Blade</t>
  </si>
  <si>
    <t>DDEP 09-01</t>
  </si>
  <si>
    <t>Infernal Pursuits</t>
  </si>
  <si>
    <t xml:space="preserve">Noah G. </t>
  </si>
  <si>
    <t>Wand of Webs</t>
  </si>
  <si>
    <t>Traded Trident of Fish Command to Darrendrian for Wand of Webs</t>
  </si>
  <si>
    <t>DDEP 09-02</t>
  </si>
  <si>
    <t>Hellfire Requiem</t>
  </si>
  <si>
    <t>Shannon</t>
  </si>
  <si>
    <t>DDEP 09-03</t>
  </si>
  <si>
    <t>Liar's Night</t>
  </si>
  <si>
    <t>Traded Wand of Webs to Darrendrian for Trident of Fish Command</t>
  </si>
  <si>
    <t>DDAL 05-05</t>
  </si>
  <si>
    <t>A Dish Best Served Cold</t>
  </si>
  <si>
    <t>Sujeiry G.</t>
  </si>
  <si>
    <t>Hidden Shrine of Tamoachan</t>
  </si>
  <si>
    <t>Berserker Axe</t>
  </si>
  <si>
    <t>Jason M.</t>
  </si>
  <si>
    <t>Traded Berserker Axe to Jareb for Lance +3</t>
  </si>
  <si>
    <t>DDAL-DRW01</t>
  </si>
  <si>
    <t>Magma mephit familiar</t>
  </si>
  <si>
    <t>CCC-CNE-01</t>
  </si>
  <si>
    <t>The Treasure Beneath</t>
  </si>
  <si>
    <t>Friends of the Shadow Watch Tribe</t>
  </si>
  <si>
    <t>CCC-CNE-02</t>
  </si>
  <si>
    <t>Before the Hatch</t>
  </si>
  <si>
    <t>Traded +3 Lance to Darrendrian for Belt of For Giant Strength</t>
  </si>
  <si>
    <t>CCC-ANIME-01-02</t>
  </si>
  <si>
    <t>Find the Sword, GO!</t>
  </si>
  <si>
    <t>Shield +2</t>
  </si>
  <si>
    <t>CCC-ANIME-01-03</t>
  </si>
  <si>
    <t>Star Sword, RETURN!</t>
  </si>
  <si>
    <t>To Suffer As Ilmater</t>
  </si>
  <si>
    <t>Brian C.</t>
  </si>
  <si>
    <t>Necklace of Prayer Beads (Bless x3, Cure Wounds, G.Resto, Planar Ally)</t>
  </si>
  <si>
    <t>5x rare consumable (3x Find Greater Steed, 2x Holy Weapon)</t>
  </si>
  <si>
    <t xml:space="preserve">Blessing of Protection, Wave </t>
  </si>
  <si>
    <t>Bought 300 gp diamond</t>
  </si>
  <si>
    <t>DDEX01-14</t>
  </si>
  <si>
    <t>Escape from Phlan</t>
  </si>
  <si>
    <t>CCC-EPI 01-01</t>
  </si>
  <si>
    <t>Hordes of Thar: White Hand of Death</t>
  </si>
  <si>
    <t>Friendship of Melvaunt City Watch</t>
  </si>
  <si>
    <t>Cast Find Greater Steed scroll for Griffon</t>
  </si>
  <si>
    <t>CCC-WWC-05</t>
  </si>
  <si>
    <t>Tyrant of Orcs</t>
  </si>
  <si>
    <t>Torm's Honor</t>
  </si>
  <si>
    <t>CCC-WWC-06</t>
  </si>
  <si>
    <t>The Fear of Fiends</t>
  </si>
  <si>
    <t>Torm's Compassion</t>
  </si>
  <si>
    <t>CCC-WWC-07</t>
  </si>
  <si>
    <t>The Icy Hand of Hate</t>
  </si>
  <si>
    <t>DDEP 07-01</t>
  </si>
  <si>
    <t>Peril at the Port</t>
  </si>
  <si>
    <t>Daniel</t>
  </si>
  <si>
    <t>CCC-WWC-08</t>
  </si>
  <si>
    <t xml:space="preserve">Pool of Annhiliation </t>
  </si>
  <si>
    <t>Gloves of Missile Snaring</t>
  </si>
  <si>
    <t>Bought cold weather gear for 4gp.</t>
  </si>
  <si>
    <t>DDAL 09-16</t>
  </si>
  <si>
    <t>Honors Unforeseen</t>
  </si>
  <si>
    <t>Kari M.</t>
  </si>
  <si>
    <t>Ioun Stone of Leadership</t>
  </si>
  <si>
    <t>Traded Ioun Stone of Leadership to Morty for Tome of Leadership and Influence</t>
  </si>
  <si>
    <t>CCC-BMG-37-HULB 3-1</t>
  </si>
  <si>
    <t>Manual of Quickness and Action</t>
  </si>
  <si>
    <t>Bought 3 Potions of Greater Healing for 300 gp</t>
  </si>
  <si>
    <t>Traded Manual of Quickness and Action to Lorien for Plate +2</t>
  </si>
  <si>
    <t>Tomb of Horrors pt. 1</t>
  </si>
  <si>
    <t>Bought 2 Scrolls of Death Ward, 1 Scroll of Revivify</t>
  </si>
  <si>
    <t>Tomb of Horrors pt. 2</t>
  </si>
  <si>
    <t>Rod of the Pact Keeper +3, Staff of Power, Manual of Bodily Health, Ring of Spell Storing, Dedfender, Spear of Back Biting, Sword of Vengeance, Berserker Axe, 4x6 Carpet of Flying</t>
  </si>
  <si>
    <t>2 Potions of Speed</t>
  </si>
  <si>
    <t>Traded Flying Carpet to Lorien for Aegis of the Raven Queen Shield</t>
  </si>
  <si>
    <t>Traded Manual of Bodily Health to Lorien for Belt of Fire Giant Strength</t>
  </si>
  <si>
    <t>Honorary Beholder Corps Member</t>
  </si>
  <si>
    <t>Bought 300 gp diamond, 166 gp for Hero's Feast</t>
  </si>
  <si>
    <t>CCC-RSPG03</t>
  </si>
  <si>
    <t>Fenarias Gambit</t>
  </si>
  <si>
    <t>Cube of Force</t>
  </si>
  <si>
    <t>Fenaria's Redemption</t>
  </si>
  <si>
    <t>CCC-BWM-007-01</t>
  </si>
  <si>
    <t>The Beast Beneath</t>
  </si>
  <si>
    <t>Wand of Fireballs, Clockwork Amulet</t>
  </si>
  <si>
    <t>Bert's Inside Angle</t>
  </si>
  <si>
    <t>CCC-HULB-3-2</t>
  </si>
  <si>
    <t xml:space="preserve">Mental Fortitude </t>
  </si>
  <si>
    <t>CCC-6SWORDS-01</t>
  </si>
  <si>
    <t>Six Swords Out of Hell</t>
  </si>
  <si>
    <t>The Seventh Sword (Sun Blade)</t>
  </si>
  <si>
    <t>Banned from Maladomini</t>
  </si>
  <si>
    <t>Bought 2 Potions of Greater Healing. Spent 225 hiring Babyface Yoka</t>
  </si>
  <si>
    <t xml:space="preserve">** Designated Masters campaign </t>
  </si>
  <si>
    <t>DRWEP</t>
  </si>
  <si>
    <t>Session 0</t>
  </si>
  <si>
    <t>Phoenix mount</t>
  </si>
  <si>
    <t>CCC-QCC2017</t>
  </si>
  <si>
    <t>Arcane Grimoire +3, Blessing of Protection</t>
  </si>
  <si>
    <t>Traded Arcane Grimoire +3 to Zandarax for Lance +3</t>
  </si>
  <si>
    <t>Zandarax</t>
  </si>
  <si>
    <t>Dvination Wizard</t>
  </si>
  <si>
    <t>Sage (Discredited Academic)</t>
  </si>
  <si>
    <t>Robe of the Archmage</t>
  </si>
  <si>
    <t>Carpet of Flying</t>
  </si>
  <si>
    <t>Arcane Grimoire +3</t>
  </si>
  <si>
    <t>Resistance to Necrotic</t>
  </si>
  <si>
    <t>Wish from Efreeti Bottle (CCC-SAC-01, DM rolled 96)</t>
  </si>
  <si>
    <t>Cubic Gate</t>
  </si>
  <si>
    <t>Staff of the Magi</t>
  </si>
  <si>
    <t>Resistance to Force</t>
  </si>
  <si>
    <t>Mystery Key</t>
  </si>
  <si>
    <t>Resistance to Bludgeoning</t>
  </si>
  <si>
    <t>Pipe of Smoke Monsters (Guardian)</t>
  </si>
  <si>
    <t>Wish from Quinlin (from a Scroll)</t>
  </si>
  <si>
    <t>Robe of the Archmagi (White)</t>
  </si>
  <si>
    <t>Boon of High Magic</t>
  </si>
  <si>
    <t>DM Reward (DDEP00-01 played on 8/22/2020)</t>
  </si>
  <si>
    <t>Resistance to Slashing</t>
  </si>
  <si>
    <t>Wish from Wren (from a Scroll)</t>
  </si>
  <si>
    <t xml:space="preserve">Wish from Kaxora </t>
  </si>
  <si>
    <t>CCC-KUMORI-02-04</t>
  </si>
  <si>
    <t>Deck of Illusions</t>
  </si>
  <si>
    <t>Bought 30 gp worth of incense</t>
  </si>
  <si>
    <t>DDAL 08-00</t>
  </si>
  <si>
    <t>Once in Waterdeep</t>
  </si>
  <si>
    <t>Marmaduk the Cat, Faction's Favor</t>
  </si>
  <si>
    <t>CCC-ROLL20-02</t>
  </si>
  <si>
    <t>Heir of Orcus Verse III</t>
  </si>
  <si>
    <t>Gem of Brightness, Cloak of Many Fashions</t>
  </si>
  <si>
    <t>Cthulhu Cometh, Chaos</t>
  </si>
  <si>
    <t>Met Jim Jar the Deep Gnome. Visited Duergar city of Duerradain and saw Mindflayer technology modify Simulacrum spell</t>
  </si>
  <si>
    <t>Staff of Power</t>
  </si>
  <si>
    <t>Traded Tloque's Battleaxe to Lorien for Staff of Power</t>
  </si>
  <si>
    <t>CCC-BFG01-03</t>
  </si>
  <si>
    <t>Dark Moon Return</t>
  </si>
  <si>
    <t>Brian D.</t>
  </si>
  <si>
    <t>Deck of Illusions, Mystery Key</t>
  </si>
  <si>
    <t>Spent 2 days and 375gp exchanging spells with Skippio (Angel)</t>
  </si>
  <si>
    <t>DM Reward S9 (x3)</t>
  </si>
  <si>
    <t>Season 9 DM Reward</t>
  </si>
  <si>
    <t>Can summon a Tressym familiar</t>
  </si>
  <si>
    <t>CCC-REAP-01</t>
  </si>
  <si>
    <t>Red War: Lost Ashes of a Wayward Gnome</t>
  </si>
  <si>
    <t>The Choralier’s Companion - Saddle of the Cavalier</t>
  </si>
  <si>
    <t>Woodland Hospitality</t>
  </si>
  <si>
    <t xml:space="preserve">Spent 1 day and 200gp exchanging spells with Cassandra (Jon) </t>
  </si>
  <si>
    <t>Dagger of Blindsight, Cloak of the Manta Ray</t>
  </si>
  <si>
    <t xml:space="preserve">Collected 3 Spellbooks, turned in 1 for 100 pp distributed to each party member for 120 gp each. Bought 2x Find Familiar incense for 20gp and paid for a boat ride for 5gp. </t>
  </si>
  <si>
    <t>Mace of Smiting</t>
  </si>
  <si>
    <t>Traded Dagger of Blindsight to Lorien for Mace of Smiting</t>
  </si>
  <si>
    <t>Bracelet of Rock Magic</t>
  </si>
  <si>
    <t>Robe of Stars</t>
  </si>
  <si>
    <t>Traded Bracelet of Rock Magic to Morty for Robe of Stars</t>
  </si>
  <si>
    <t>CCC-MAG01-02</t>
  </si>
  <si>
    <t>Murder at the Festival</t>
  </si>
  <si>
    <t xml:space="preserve">Cheryl F. </t>
  </si>
  <si>
    <t>Wand of Smiles, Tan Bag of Tricks, +2 Arrows</t>
  </si>
  <si>
    <t>Enmity of Etana</t>
  </si>
  <si>
    <t>Spent 1 day and 50gp learning Detect Thoughts from Zynn (Erik)</t>
  </si>
  <si>
    <t>CCC-DES-01-04</t>
  </si>
  <si>
    <t>An Answer Never Offered</t>
  </si>
  <si>
    <t>The Only Way To Be Sure</t>
  </si>
  <si>
    <t>CCC-SFBAY-02-01</t>
  </si>
  <si>
    <t>Old Enemies Arise</t>
  </si>
  <si>
    <t xml:space="preserve">Ron R. </t>
  </si>
  <si>
    <t>Liar's Night Pumpkin Ring</t>
  </si>
  <si>
    <t>Ally of Thay, Friend of Rashemen</t>
  </si>
  <si>
    <t>Picked up an amulet with the holy symbol of Mystra. Found Lasharra's Spellbook. Spent 1 day and 275gp learning Rary's Telepathic Bond and Water Breathing. Played Liar's Night Wave 1</t>
  </si>
  <si>
    <t>CCC-BFG-01-01</t>
  </si>
  <si>
    <t>A House Divide</t>
  </si>
  <si>
    <t>Longsword of Warning</t>
  </si>
  <si>
    <t>Dagger of Blindsight</t>
  </si>
  <si>
    <t>Traded Cape of the Mountebank to Lorien for Dagger of Blindsight</t>
  </si>
  <si>
    <t>Dreamwalker</t>
  </si>
  <si>
    <t>Spent 25 downtime days on the Dreamwalker activity, portent received: 19</t>
  </si>
  <si>
    <t>Plague Fly (FoWP - Ebony Fly)</t>
  </si>
  <si>
    <t>CCC-SFBAY-02-02</t>
  </si>
  <si>
    <t>Rise of the Ogre King</t>
  </si>
  <si>
    <t>Amulet of Health, Cloak of the Bat, Mystery Key</t>
  </si>
  <si>
    <t>Fangjaws Citizen, Rashemi Regard</t>
  </si>
  <si>
    <t>Cloak of the Bat and Mysterey Key from Liar's Night Wave 2. Copied Scrying from a Traveling Spellbook for 1 DTD and 125 gp</t>
  </si>
  <si>
    <t>DDHC-TYP Ch. 4</t>
  </si>
  <si>
    <t>White Plume Mountain pt. 1</t>
  </si>
  <si>
    <t>Goggles of Night, Stone of Good Luck, Chainmail +1</t>
  </si>
  <si>
    <t>White Plume Mountain pt. 2</t>
  </si>
  <si>
    <t>Armor of Vulnerability (slashing)</t>
  </si>
  <si>
    <t>Potion of Greater Healing, Potion of Mind Reading, 5 rare consumables of my choice (Greater Restoration x 5)</t>
  </si>
  <si>
    <t>Consumed 1 Mystery Key. Returned all 3 weapons. Spent 2 downtime days for Suyin (Nicole) and Figment (Jane) to scribe Steel Wind Strike.</t>
  </si>
  <si>
    <t>CCC-DES-01-05</t>
  </si>
  <si>
    <t>The Die is Cast</t>
  </si>
  <si>
    <t>Winged Boots (didn't get them)</t>
  </si>
  <si>
    <t>Potion of Clairvoyance</t>
  </si>
  <si>
    <t>Seven for the Secret, I Have Felt Him</t>
  </si>
  <si>
    <t>Played Liar's Night Wave 3, received Candy Corn Calico Cat Construct Pet/Familiar</t>
  </si>
  <si>
    <t>CCC-SFBAY-02-03</t>
  </si>
  <si>
    <t xml:space="preserve">The Risen Minotaur Lord </t>
  </si>
  <si>
    <t>Noble of Fangjaws Hold</t>
  </si>
  <si>
    <t>Found 100 gp worth of spell incense (Find Familiar)</t>
  </si>
  <si>
    <t>CCC-GSP02-02</t>
  </si>
  <si>
    <t>Stygia Untamed, Infernal Encounter: A Pale Devil</t>
  </si>
  <si>
    <t>Staff of the Python, Alchemy Jug, Stygian Scale Mail</t>
  </si>
  <si>
    <t>Banned in Stygia</t>
  </si>
  <si>
    <t>Spent 150gp and 1 DTD scribing Leomund's Tiny Hut in library in Stygia. Used Dreamwalker Portent (19)</t>
  </si>
  <si>
    <t>CCC-BMG MOON 7-1</t>
  </si>
  <si>
    <t>The Temple of the Beast</t>
  </si>
  <si>
    <t>DDEP04</t>
  </si>
  <si>
    <t>Reclamation of Phlan</t>
  </si>
  <si>
    <t xml:space="preserve">Richard H. </t>
  </si>
  <si>
    <t>Nettle, Staff of Healing</t>
  </si>
  <si>
    <t>Friend of the Griffon</t>
  </si>
  <si>
    <t>CCC-SAF01-01</t>
  </si>
  <si>
    <t>Between Garrock and a Hard Place</t>
  </si>
  <si>
    <t xml:space="preserve">Charyl F. </t>
  </si>
  <si>
    <t>Yellow Elemental Gem</t>
  </si>
  <si>
    <t>CCC-GSP-MON01-01</t>
  </si>
  <si>
    <t>Shadows and Despair</t>
  </si>
  <si>
    <t>A Grateful Father, Helping a Champion of Hillsfar</t>
  </si>
  <si>
    <t>CCC-GHC-BK1-05</t>
  </si>
  <si>
    <t>For the Glory of Bloutar</t>
  </si>
  <si>
    <t>Longsword +2</t>
  </si>
  <si>
    <t>Scroll of Blink, Scroll of Fabricate</t>
  </si>
  <si>
    <t>Broom of Flying, Dark Shard Amulet, Charlatan's Die</t>
  </si>
  <si>
    <t>DDHC-SKT Ch. 8</t>
  </si>
  <si>
    <t>Forge of the Fire Giants</t>
  </si>
  <si>
    <t xml:space="preserve">Periapt of Proof Against Poison, Ring of Lightning Resistance </t>
  </si>
  <si>
    <t>Cosmic Chausible</t>
  </si>
  <si>
    <t>David E.</t>
  </si>
  <si>
    <t>Mental Fortitude</t>
  </si>
  <si>
    <t>Scroll of Animate Dead, Scroll of Comprehend Languages</t>
  </si>
  <si>
    <t>Honorary Member of the Beholder Corps - Science Officer</t>
  </si>
  <si>
    <t>Copied Chain Lightning from Lasharra's spellbook. Joined the Mug Club for 5 gp. Bought a 300 gp diamond. Found Necromancer's Spellbook.</t>
  </si>
  <si>
    <t>Flying Carpet (4x6)</t>
  </si>
  <si>
    <t>Traded Dwarven Plate to Lorien for Flying Carpet (4x6)</t>
  </si>
  <si>
    <t xml:space="preserve">CCC-FC3-03 </t>
  </si>
  <si>
    <t>Tales of Estirwald: The Fun House</t>
  </si>
  <si>
    <t>2 Potions of Mind Reading</t>
  </si>
  <si>
    <t>Emblem of Ambledragon, My Teddy Bear Has Claws</t>
  </si>
  <si>
    <t>Copied True Seeing from Whirl for 300 gp and 1 DTD</t>
  </si>
  <si>
    <t>Ioun Stone of Vitality, Necklace of Prayer Beads (Blessing, Curing, Favor, Wind walking)</t>
  </si>
  <si>
    <t>Code Breaker</t>
  </si>
  <si>
    <t>Offered a spellbook (collected 9/22/2020) as payment to enter Candlekeep</t>
  </si>
  <si>
    <t>CCC-DWB-ANH-1</t>
  </si>
  <si>
    <t>A Negotiated Heist</t>
  </si>
  <si>
    <t xml:space="preserve">Tim H. </t>
  </si>
  <si>
    <t xml:space="preserve">Wand of Paralysis </t>
  </si>
  <si>
    <t>Scroll of Instant Summons, Scroll of Guards and Wards</t>
  </si>
  <si>
    <t>CCC-BMG-14 PHLAN 1-2</t>
  </si>
  <si>
    <t>Enemy of my Enemy</t>
  </si>
  <si>
    <t>CCC-GHC-BK2-08</t>
  </si>
  <si>
    <t>Ancient Rivals</t>
  </si>
  <si>
    <t>Found the Demilich Fyndulaas's Spellbook</t>
  </si>
  <si>
    <t>QCC2017</t>
  </si>
  <si>
    <t>Delusions of Grandeur, Dreams of Revenge</t>
  </si>
  <si>
    <t>Favor of Boddynock, Learn the Culture</t>
  </si>
  <si>
    <t>Gave up Ring of Protection to Efreeti, must wait one adventure before acquiring a new faction Ring</t>
  </si>
  <si>
    <t>Durlog's Tower</t>
  </si>
  <si>
    <t>Potion of Superior Healing, Scroll of Greater Invisibility, 2nd level wizard spell (not ritual) scroll of my choice</t>
  </si>
  <si>
    <t>Favor of Seer, Vergadain's Fire Spirits activity for 60 DTDs</t>
  </si>
  <si>
    <t>Spent 2 DTD's while Cassandra scribed Steel Wind Strike</t>
  </si>
  <si>
    <t>CCC-GHC-BK3-08</t>
  </si>
  <si>
    <t>The Archmage's New Robes</t>
  </si>
  <si>
    <t>Boots of Levitation (Gleaming), Wand of Smiles</t>
  </si>
  <si>
    <t>These Boots were Made for Walking</t>
  </si>
  <si>
    <t>Bought 5 potions of Greater Healing for 500 gp. Spent 25 DTD's Dreamwalking, received an 18 Dreamwalker Portent. Spend 2 DTD's for Krus to copy Crown of Stars</t>
  </si>
  <si>
    <t>CCC-QCC2018-01</t>
  </si>
  <si>
    <t>Of Gods and Monsters</t>
  </si>
  <si>
    <t>Nine Lives Stealer Scimitar</t>
  </si>
  <si>
    <t>Poition of Superior Healing</t>
  </si>
  <si>
    <t>Honorary Bullywog, Ecology for the Terrasque, Membership in the Royal Order of Terrasque Herders</t>
  </si>
  <si>
    <t>CCC-SDREAM-03</t>
  </si>
  <si>
    <t>The Best Laid Plans of Gnomes</t>
  </si>
  <si>
    <t>Rolisa's Portable Factory (Daern's Instant Fortress)</t>
  </si>
  <si>
    <t>DDHC-DMM-CH18</t>
  </si>
  <si>
    <t>Save the Dragon part 1</t>
  </si>
  <si>
    <t>Save the Dragon part 2</t>
  </si>
  <si>
    <t>Sunblade, Mithril Chain Shirt</t>
  </si>
  <si>
    <t>House Moonstar Item Trade, Waterdeep Estate</t>
  </si>
  <si>
    <t>CCC-HULB03-01</t>
  </si>
  <si>
    <t>Traded Periapt of Proof Against Poitson to Darrendrian for Wand of Lightning Bolts</t>
  </si>
  <si>
    <t>CCC-GHC-BK1-10</t>
  </si>
  <si>
    <t>The Heart of Shadow</t>
  </si>
  <si>
    <t>Angel Sting (Dancing Rapier)</t>
  </si>
  <si>
    <t>Potion of Greater Healing, Potion of Flying</t>
  </si>
  <si>
    <t>Bought Revivify scroll (already had diamond) for 300 gp. Spent 2000 gold and 20 DTD purchasing an estate in the Little Moonsea neighborhood of Fangjaws Hold. Copied Catnap from Fotia (Bryce). Copied spells from previously collected spellbooks.</t>
  </si>
  <si>
    <t>Michelle C.</t>
  </si>
  <si>
    <t>Crystal Ball</t>
  </si>
  <si>
    <t>Traded Angel Sting to Jasmine for a Crystal Ball</t>
  </si>
  <si>
    <t>Potion of Superior Healing, Scrolls of Enhance Ability, Force Cage, Programmed Illusion, and Simulacrum</t>
  </si>
  <si>
    <t>Nature of the Weave (Expertise in Arcana)</t>
  </si>
  <si>
    <t>Acquired vial of dust from the rotted corpse of a clone of Manshoon.</t>
  </si>
  <si>
    <t>Scrivner's Tale</t>
  </si>
  <si>
    <t>Robe of Eyes, Ioun Stone of Awareness</t>
  </si>
  <si>
    <t>Potion of Fire Giant Strength, Spell Scroll of Conjur Fey</t>
  </si>
  <si>
    <t>Met Caustilancer the Black Dragon (adult) and arranged a teaching position for him. Copied Synaptic Static from Nibbler (Chuck G.)</t>
  </si>
  <si>
    <t>Manual of Iron Golems</t>
  </si>
  <si>
    <t>Traded Tome of Leadership and Influence to Lorien for Manual of Iron Golems</t>
  </si>
  <si>
    <t>Killed 19 Thentian commoners in combat and told to lay low. No advertising the school for one year.</t>
  </si>
  <si>
    <t>CCC-SAC-01</t>
  </si>
  <si>
    <t>A Light in the Dark</t>
  </si>
  <si>
    <t>Efreeti Bottle</t>
  </si>
  <si>
    <t>Potion of Speed, Potion of Superior Healing</t>
  </si>
  <si>
    <t>Purchased component for Draconic Transformation for 500 and spent 200 for Heroe's Feast</t>
  </si>
  <si>
    <t>DDHC-TYP Ch. 7</t>
  </si>
  <si>
    <t>Tomb of Horrors</t>
  </si>
  <si>
    <t>Defender Longsword, Sword of Vengeance (Rapier), Berserker Axe, Spear of Backbiting, Ring of Regenderation, Rod of the Pact Keeper +3, Staff of Power, Manua,l of Bodily Health, Carpet (6x9), Candle of Invocation (Neutral), Ring of Fire Resistance, Flail +1</t>
  </si>
  <si>
    <t>7 Scrolls of Shield, Potion of Diminution, Scroll of Synaptic Static, Scroll of Steel Wind Strike, Scroll of Holy Weapon, Circle of Power, Scroll of Greater Restoration, Potion of Speed, Potions of VItality, Potions of Superior Healing</t>
  </si>
  <si>
    <t>Purchased 3 Potions of Supreme Healing, 2 Potions of Superior Healing</t>
  </si>
  <si>
    <t>CCC-GHC-8</t>
  </si>
  <si>
    <t>Tyr's Justice</t>
  </si>
  <si>
    <t>Captured by Yuan Ti for 61 days</t>
  </si>
  <si>
    <t>Downtime activities</t>
  </si>
  <si>
    <t>Purchased components and cast clone, spent 120 days and 100,000 gp using Manual of Iron Golems, clone reached maturity.</t>
  </si>
  <si>
    <t>Season 11 DM Reward UC</t>
  </si>
  <si>
    <t>DDAL-DRW14</t>
  </si>
  <si>
    <t>The City That Should Not Be</t>
  </si>
  <si>
    <t>Belt of Stone Giant Strength, Bracers of Defense</t>
  </si>
  <si>
    <t>Potion of Comprehnsion, Potion of Vitality, Spell Scroll of Sending, Spell Scroll of Teleportation Circle</t>
  </si>
  <si>
    <t>Bond of Fellowship</t>
  </si>
  <si>
    <t>Spent 14 days and 2150 gp copying spells from previously collected spellbooks. Bought scrolls of Arcane Eye and Tasha's Mind Whip and copied into spellbook for 2 days and 950 gp. Bought scrolls of Mold Earth and Passwall and copied them into my spell book during the adventure for 1325 gp. Received a scroll of teleportation circle and scribed it into my spellbook for 250 gp.</t>
  </si>
  <si>
    <t>DDAL-07-09</t>
  </si>
  <si>
    <t xml:space="preserve">Unusual Opposition </t>
  </si>
  <si>
    <t>Bitter Wraith (Frostbrand Rapier)</t>
  </si>
  <si>
    <t>Potion of Greater Healing, Potion of Speed</t>
  </si>
  <si>
    <t>Gave up Wand of Smiles and Stygian Scale Mail to a hag in exchange for a magic elixer.</t>
  </si>
  <si>
    <t>Larry E.</t>
  </si>
  <si>
    <t>Grig Fiddle</t>
  </si>
  <si>
    <t>Traded Belt of Stone Giant Strength to Sir John of Cormanthor for Grig Fiddle</t>
  </si>
  <si>
    <t>Alkazar's Appendix</t>
  </si>
  <si>
    <t>Dwarven Plate, Ring of Acid Resistance, Animated Shield, Rod of Absorption, Staff of Withering, Longbow +2, Wand of Polymorph, Red Elemental Gem</t>
  </si>
  <si>
    <t>Potion of Healing, Potion of Animal Friendship, Scroll of Continual Flame, Red Elemental Gem, Potion of Climbing, Spell Scroll of Wish</t>
  </si>
  <si>
    <t>Used Scroll of Wish (Quinlin wished for Necrotic Resistance)</t>
  </si>
  <si>
    <t>Ghost Step Tattoo</t>
  </si>
  <si>
    <t>Traded Grig Fiddle to AL Trading Post for Ghost Step Tattoo</t>
  </si>
  <si>
    <t>DDAL-DRW15</t>
  </si>
  <si>
    <t>Frozen Whispers</t>
  </si>
  <si>
    <t>Randy R.</t>
  </si>
  <si>
    <t>"Discord" +2 Plate, Ring of Regeneration</t>
  </si>
  <si>
    <t>"Woe" +3 Longsword, Ring of Evasion</t>
  </si>
  <si>
    <t>Potion of Greater Healing, Scroll of Summon Fiend, Scroll of Summon Undead, Potion of Speed</t>
  </si>
  <si>
    <t>Compromised: Suspect of Thay</t>
  </si>
  <si>
    <t>Season 11 DM Reward (UC) x 5</t>
  </si>
  <si>
    <t>Nereid Shawl, Night Queen's Eyes, Mariner's scale mail, Quiver of the Centaurs, Lathai's saddle</t>
  </si>
  <si>
    <t>Season 11 DM Reward (R) x 6</t>
  </si>
  <si>
    <t>Darkthorn arrows (5), Faerie dragon's favor, Hag's clawblade, Siren's caress, Blink Dog's Guide to Transversing the Feywild, Sprite's rescue</t>
  </si>
  <si>
    <t>Season 11 DM Reward (VR) x 4</t>
  </si>
  <si>
    <t>Haregon's Freedom, Wildmane's shoes, Grig fiddle, Daphnaie armor</t>
  </si>
  <si>
    <t>Scroll of Illusory Dragon, potion of Fire Giant Strength, potion of heroism</t>
  </si>
  <si>
    <t>Champion of the Arena</t>
  </si>
  <si>
    <t>Scroll of Grasping Vine, Enhance Ability, Potion of Supreme Healing, Antitoxin</t>
  </si>
  <si>
    <t>Bought 2 Scrolls of Revivify, paid Solar for help in battle and to resurrect 3 Tortle villagers</t>
  </si>
  <si>
    <t>DDAL-DRW-17</t>
  </si>
  <si>
    <t>Expedition to the Supreme Forge</t>
  </si>
  <si>
    <t>Portable Hole, Ioune Stone of Intellect, Moontouched Greatsword</t>
  </si>
  <si>
    <t xml:space="preserve">Bought 2 death ward scrolls, 1 greater restoration scroll, 1 heroes feast </t>
  </si>
  <si>
    <t>Traded Belt of Fire Giant Strength to Sir Norixius for Ring of Shooting Stars</t>
  </si>
  <si>
    <t xml:space="preserve">DDAL-DRW-18 </t>
  </si>
  <si>
    <t>Against the Machine</t>
  </si>
  <si>
    <t>Anstruth Harp, Necklace of Fireballs (9)</t>
  </si>
  <si>
    <t>Scroll of Cone of Cold, Scroll of Silence, Potion of Invulnerability, Potion of Heroism</t>
  </si>
  <si>
    <t>On the Run</t>
  </si>
  <si>
    <t>Plate Barding +1</t>
  </si>
  <si>
    <t>Traded Ring of Feather Falling to AL Trading Post for Plate Barding +1</t>
  </si>
  <si>
    <t>Canopic Being</t>
  </si>
  <si>
    <t>Sun Blade, Crystal Ball of True Seeing, Staff of Fate, Ring of Spell Storing, Ioune Stone of Awareness, Watchful Helm, Hat of Disguise, Eyes of Minute Seeing</t>
  </si>
  <si>
    <t>CCC-HULB3-3</t>
  </si>
  <si>
    <t>The Darkest Vein</t>
  </si>
  <si>
    <t>Dreamwhirl +3 Lance</t>
  </si>
  <si>
    <t>Planar Secrets</t>
  </si>
  <si>
    <t>Can spend 50 downtime days to make a hidden demiplane or connect two demiplanes you have created.</t>
  </si>
  <si>
    <t>DDAL00-02E</t>
  </si>
  <si>
    <t>Rod of Absorption</t>
  </si>
  <si>
    <t>Szass Tam's Essence (Boon of High Magic)</t>
  </si>
  <si>
    <t>Gained an additional 9th level spell slot</t>
  </si>
  <si>
    <t>Moon Blade</t>
  </si>
  <si>
    <t>Recieved Blackrazor from completion of White Plume Mountain. Used House Moonstar Traded Downtime Activity to trade Blackrazor for a Moon Blade</t>
  </si>
  <si>
    <t>Traded Moon Blade to Morty for Staff of the Magi</t>
  </si>
  <si>
    <t>Tome of the Stilled Tongue</t>
  </si>
  <si>
    <t>Traded Hide +3 to Morty for Tome of the Stilled Tongue</t>
  </si>
  <si>
    <t>Robe of the Archmage (gray)</t>
  </si>
  <si>
    <t>Traded Defender Longsword to Darrendrian for Robe of the Archmage (gray)</t>
  </si>
  <si>
    <t>DDAL06-03</t>
  </si>
  <si>
    <t>Crypt of the Death Giants</t>
  </si>
  <si>
    <t>Belt of Storm Giant Strength</t>
  </si>
  <si>
    <t>Potion of Speed, Scroll of Project Image, Scroll of Antimagic Field, Scroll of Teleport</t>
  </si>
  <si>
    <t>Hall of Omens</t>
  </si>
  <si>
    <t>Spent 200 DTD in the Hall of Omens gaining an additional portent</t>
  </si>
  <si>
    <t>Traded Belt of Storm Giant Strength to Darrendrian for Robe of the Archmagi (White)</t>
  </si>
  <si>
    <t>Edoardo L.</t>
  </si>
  <si>
    <t>Vorpal Longsword</t>
  </si>
  <si>
    <t>Traded Robe of the Archmagi (Gray) to S'arrok for Vorpal Longsword</t>
  </si>
  <si>
    <t>DDAL07-16</t>
  </si>
  <si>
    <t>Pools of Cerulean</t>
  </si>
  <si>
    <t>Vorpal Scimitar</t>
  </si>
  <si>
    <t>Potion of Speed, Scroll of Dominate Monster</t>
  </si>
  <si>
    <t>DDAL07-17</t>
  </si>
  <si>
    <t>Cauldron of Sapphire</t>
  </si>
  <si>
    <t>Staff of the Magi, Cap of Water Breathing</t>
  </si>
  <si>
    <t xml:space="preserve">Scroll of Greater Restoration </t>
  </si>
  <si>
    <t>Atropal in a cage</t>
  </si>
  <si>
    <t>Permanently gave up 5 hit dice to power the opal pendant to hold an atropal</t>
  </si>
  <si>
    <t>DDAL07-18</t>
  </si>
  <si>
    <t>Turn Back the Endless Night</t>
  </si>
  <si>
    <t>Scarab of Protection</t>
  </si>
  <si>
    <t>Potion of Supreme Healing, Potion of Fly, Scroll of Teleport</t>
  </si>
  <si>
    <t>Trade with Trading Post</t>
  </si>
  <si>
    <t>Absorbing Tattoo (Force)</t>
  </si>
  <si>
    <t>Traded Ring of Regeneration to Trading Post for Absorbing Tattoo (Force)</t>
  </si>
  <si>
    <t>Dreamwalker: 18</t>
  </si>
  <si>
    <t>Used Dreamwalker downtime activity to recieve a new portent: 18</t>
  </si>
  <si>
    <t>DDAL-DRW19</t>
  </si>
  <si>
    <t>Fall the Cold Night</t>
  </si>
  <si>
    <t>Gem Dragon Touched Focus, Sapphire Buckler</t>
  </si>
  <si>
    <t>Potion of Speed, Scroll of Daylight, Oil of Sharpness</t>
  </si>
  <si>
    <t>Traded Moon-Touched Greatsword to Norixius for Pipe of Smoke Monsters (Guardian)</t>
  </si>
  <si>
    <t>DDAL-DRW20</t>
  </si>
  <si>
    <t>Death of Szass Tam</t>
  </si>
  <si>
    <t>Blood Fury Tattoo, Kyrzin's Ooze</t>
  </si>
  <si>
    <t>Potion of Invisibility, Potion of Vitality</t>
  </si>
  <si>
    <t>Scroll Eater</t>
  </si>
  <si>
    <t>Used 18 Dreamwalker portent</t>
  </si>
  <si>
    <t>PO-BK-1-07</t>
  </si>
  <si>
    <t>Beyond This Portal</t>
  </si>
  <si>
    <t>Rod of Absorption (10 charges), Potion of Flying, Potion of Supreme Healing</t>
  </si>
  <si>
    <t>DDAL05-18</t>
  </si>
  <si>
    <t>Mysterious Isle</t>
  </si>
  <si>
    <t>Greatsword +3</t>
  </si>
  <si>
    <t>Season 11b DM Rewards (UC x 3, R x 2, VR x 1)</t>
  </si>
  <si>
    <t>Emerald Pen, Periapt of Health, Bag of Tricks (tan), Dragon Wing Longbow, Gem of Seeing, Sapphire Buckler</t>
  </si>
  <si>
    <t>Season 12a DM Rewards (UC x 3, R x 3)</t>
  </si>
  <si>
    <t>Pistol +1, Spellwrought Tattoo (3rd), Wildspace Orrery, Armor of Radiant Resistant Halfplate, Mantle of Spell Resistance, Mace of Smiting</t>
  </si>
  <si>
    <t>Scribing a Scroll</t>
  </si>
  <si>
    <t>Spent 240 days and 250,000 gp to scribe a scroll of Wish.</t>
  </si>
  <si>
    <t>DDAL-DRW08</t>
  </si>
  <si>
    <t>The Harrowing of Hell</t>
  </si>
  <si>
    <t>Scarab of Protection (Maelstrom flavor), Oathbow (Infernal flavor), Chime of Opening (8 charges)</t>
  </si>
  <si>
    <t>Knight of the Giant Queen</t>
  </si>
  <si>
    <t>Wren (Erik T.) cast Scroll of Wish for Slashing resistance. Bought scroll of Death Ward.</t>
  </si>
  <si>
    <t>DDAL07-15</t>
  </si>
  <si>
    <t>Streams of Crimson</t>
  </si>
  <si>
    <t>Kai N.</t>
  </si>
  <si>
    <t>Efreeti Chain</t>
  </si>
  <si>
    <t>Iron Golem destroyed</t>
  </si>
  <si>
    <t>PO-BK-02-10</t>
  </si>
  <si>
    <t>A Grim and Ravenous Arrival</t>
  </si>
  <si>
    <t>Potion of Red Dragon's Majesty, Arrow of Dragon Slaying</t>
  </si>
  <si>
    <t xml:space="preserve">Kaxora (Ryan L.) Wished for Bludgeoning resistance. </t>
  </si>
  <si>
    <t>Armor of Necrotic Resistance</t>
  </si>
  <si>
    <t>Kagonesti Forest Shroud</t>
  </si>
  <si>
    <t>Gerald R.</t>
  </si>
  <si>
    <t>Ascendent Dragon's Wrath Longsword (Amethyst)</t>
  </si>
  <si>
    <t xml:space="preserve">Traded Staff of the Magi to Eriol Quickfoot for Ascendent Dragon's Wrath Longsword (Amethyst). </t>
  </si>
  <si>
    <t>Traded Lance +3 to Arvistan for Arcane Grimoire +3</t>
  </si>
  <si>
    <t>Dreamwalker: 5</t>
  </si>
  <si>
    <t>Used Dreamwalker downtime activity to receive a new portent: 5</t>
  </si>
  <si>
    <t>Agatha</t>
  </si>
  <si>
    <t>Warlock - Great Old One</t>
  </si>
  <si>
    <t>Charms, Boons, and Blessings:</t>
  </si>
  <si>
    <t>Charlatan (BG)</t>
  </si>
  <si>
    <t>Rob of the Archmagi</t>
  </si>
  <si>
    <t>Find Familiar Components</t>
  </si>
  <si>
    <t>Scroll of Circle of Death</t>
  </si>
  <si>
    <t>Tyr's Blessing of Luck (unattuned)</t>
  </si>
  <si>
    <t>CCC-BMG-24 PHLAN 2-3 The Royal We (8/13/2020)</t>
  </si>
  <si>
    <t>Rod fo the Pact Keeper +3</t>
  </si>
  <si>
    <t>Scroll of Freedom of Movement</t>
  </si>
  <si>
    <t>Potion of Vitality</t>
  </si>
  <si>
    <t>Blessing of Magic Resistance</t>
  </si>
  <si>
    <t>PS-DC-GLITCH-01 Roots, Bloody Roots</t>
  </si>
  <si>
    <t>Ring of Invisibility</t>
  </si>
  <si>
    <t>Scroll of Clairvoyance</t>
  </si>
  <si>
    <t>Way of the Dragon Charm</t>
  </si>
  <si>
    <t>JTRC-12, Buried Dynasty (6 out of 6 charges)</t>
  </si>
  <si>
    <t>Effect:</t>
  </si>
  <si>
    <t>Dark Shard Amulet</t>
  </si>
  <si>
    <t>Scroll of Forcecage</t>
  </si>
  <si>
    <t>Scroll of Catnap</t>
  </si>
  <si>
    <t>Scroll of Greater Invisibility</t>
  </si>
  <si>
    <t>Scroll of Plane Shift</t>
  </si>
  <si>
    <t>Scroll of Power Word Pain</t>
  </si>
  <si>
    <t>Scroll of Hex</t>
  </si>
  <si>
    <t>DDAL 05-07</t>
  </si>
  <si>
    <t>Chelimbor's Descent</t>
  </si>
  <si>
    <t>Wand of Web</t>
  </si>
  <si>
    <t>Spent 50gp on 5x Find Familiar components</t>
  </si>
  <si>
    <t>Tier up with DTD's</t>
  </si>
  <si>
    <t>Wand of Wonder</t>
  </si>
  <si>
    <t>Bought studded leather. +1 Rod of the Pact Keeper renown item.</t>
  </si>
  <si>
    <t>Traded Wand of Wonder to Abserd for Ring of Spell Storing</t>
  </si>
  <si>
    <t>DDEX 1-3</t>
  </si>
  <si>
    <t>Shadows Over the Moonsea</t>
  </si>
  <si>
    <t>Paul</t>
  </si>
  <si>
    <t>DDAL 07-07</t>
  </si>
  <si>
    <t>Rotting Roots</t>
  </si>
  <si>
    <t>Connor P.</t>
  </si>
  <si>
    <t>Traded Wand of Webs to Darrendrian for Broom of Flying</t>
  </si>
  <si>
    <t>Patrick W.</t>
  </si>
  <si>
    <t>Wand of Fireballs</t>
  </si>
  <si>
    <t>Traded Rope of Entanglement to Sister Edwina for Wand of Fireballs</t>
  </si>
  <si>
    <t>DDAL 09-06</t>
  </si>
  <si>
    <t>Infernal Insurgency</t>
  </si>
  <si>
    <t>Justin C.</t>
  </si>
  <si>
    <t>1 Soul Coin</t>
  </si>
  <si>
    <t>Purchased Hellhound Puppy for 25gp and fed it to Ördög</t>
  </si>
  <si>
    <t>DDAL 09-08</t>
  </si>
  <si>
    <t>DDAL 09-10</t>
  </si>
  <si>
    <t>Tipping the Scales</t>
  </si>
  <si>
    <t xml:space="preserve">Traded Wand of Fireballs for Rod of the Pact Keeper +2 </t>
  </si>
  <si>
    <t>Gratitude of the Von Finkelsteins x2 - Scroll of Dream</t>
  </si>
  <si>
    <t>CCC-ROZK 01-02</t>
  </si>
  <si>
    <t>Zhentarim's Lament</t>
  </si>
  <si>
    <t xml:space="preserve">Sambi C. </t>
  </si>
  <si>
    <t>Nature of the Weave</t>
  </si>
  <si>
    <t>Ring of Evasion from Zhentarim membership. Spent 50 DTD's learning nature of the weave, got expertise in Arcana.</t>
  </si>
  <si>
    <t>DDAL 05-08</t>
  </si>
  <si>
    <t>Durlag’s Tower</t>
  </si>
  <si>
    <t>Keith F.</t>
  </si>
  <si>
    <t>Quasit essence</t>
  </si>
  <si>
    <t>Bought silver cage for 100 gp (Soul Cage component). Bought 10x Find Familiar components for 100 gp.</t>
  </si>
  <si>
    <t>Traded Staff of Thunder and Lightning to Lorien for Bad of Devouring</t>
  </si>
  <si>
    <t>CCC-TRI-23</t>
  </si>
  <si>
    <t>Sub Rosa</t>
  </si>
  <si>
    <t>Studded Leather +2</t>
  </si>
  <si>
    <t>Carlos L.</t>
  </si>
  <si>
    <t>Traded Studded Leather +2 to Bilbo Baggins for Staff of Power</t>
  </si>
  <si>
    <t xml:space="preserve">DDAL-TOA-15 </t>
  </si>
  <si>
    <t>Maze of Shadows Part 1</t>
  </si>
  <si>
    <t>Purchased Revivify Scroll with components, Greater Restoration Scroll, Freedom of movement scroll. Bought Hag's Eye for 200 gp</t>
  </si>
  <si>
    <t>Maze of Shadows Part 2</t>
  </si>
  <si>
    <t>Unlocked Oathbinder, in reserve until Tier 4</t>
  </si>
  <si>
    <t>David T.</t>
  </si>
  <si>
    <t>Traded Tome of Understanding to Audra Illumine for Rod of the Pact Keeper +3</t>
  </si>
  <si>
    <t>CCC-ALMOG-03 TALES 03-01</t>
  </si>
  <si>
    <t>Jeff S.</t>
  </si>
  <si>
    <t>Dropped Ring of Evasion</t>
  </si>
  <si>
    <t xml:space="preserve">Trade </t>
  </si>
  <si>
    <t>Traded Belt of Fire Giant Strength to Lorien for Staff of Thunder and Lightning. Dropped Staff of Thunder and Lightning and acquired Ring of Evasion from Zhentarrim</t>
  </si>
  <si>
    <t>CCC-TRI-24</t>
  </si>
  <si>
    <t>Knight Errand</t>
  </si>
  <si>
    <t>DDAL 09-12</t>
  </si>
  <si>
    <t>The Breath of Life</t>
  </si>
  <si>
    <t>7 Soul Coins</t>
  </si>
  <si>
    <t>DDAL 09-13</t>
  </si>
  <si>
    <t>The Swarmed Heart</t>
  </si>
  <si>
    <t>5 Soul Coins</t>
  </si>
  <si>
    <t>DDAL 09-14</t>
  </si>
  <si>
    <t>The Vast Emptiness of Grace</t>
  </si>
  <si>
    <t>2 Soul Coins</t>
  </si>
  <si>
    <t>DDAL 05-14</t>
  </si>
  <si>
    <t>Reeducation</t>
  </si>
  <si>
    <t>Gael</t>
  </si>
  <si>
    <t>DDAL 07-11</t>
  </si>
  <si>
    <t>A Lesson in Love</t>
  </si>
  <si>
    <t>Justin Y.</t>
  </si>
  <si>
    <t>DDHC-TOA-13</t>
  </si>
  <si>
    <t>The Risen Mists</t>
  </si>
  <si>
    <t xml:space="preserve">Jesse S. </t>
  </si>
  <si>
    <t>Bought 1 scroll of greater restoration. Unlocked Spare (legendary flame tongue Longsword that casts Vicious Mockery) available at Tier 4.</t>
  </si>
  <si>
    <t xml:space="preserve">DDAL00-12c </t>
  </si>
  <si>
    <t>The Soft Touch</t>
  </si>
  <si>
    <t>Kristy</t>
  </si>
  <si>
    <t>CCC-HULB 03-01</t>
  </si>
  <si>
    <t>Hangin' with Hags</t>
  </si>
  <si>
    <t>CCC-TRI-28</t>
  </si>
  <si>
    <t>Siege of the Yellow Rose</t>
  </si>
  <si>
    <t>Robe of Stars (Cosmic Chasuble)</t>
  </si>
  <si>
    <t>CCC-FRS-003</t>
  </si>
  <si>
    <t>A Tale of Two Towers</t>
  </si>
  <si>
    <t>Aegis of the Raven Queen Shield +3</t>
  </si>
  <si>
    <t>-1 minutes on Candle of Invocation</t>
  </si>
  <si>
    <t>Traded Aegis of the Raven Queen Shield to Darrendrian for Tome of Understanding</t>
  </si>
  <si>
    <t>CCC-ROZK-0103</t>
  </si>
  <si>
    <t xml:space="preserve">John K. </t>
  </si>
  <si>
    <t>You've Got a Friend in Me</t>
  </si>
  <si>
    <t>Blackwater Twist: You bartered away your own beauty to the Blackwater Three in exchange for secret knowledge. Something about you, be it physical or spiritual, becomes twisted and hideous. For the remainder of this adventure, and for the next adventure in which your character participates, you have disadvantage on Charisma saving throws, and Charisma (Deception or Persuasion) checks.</t>
  </si>
  <si>
    <t>Ecology of the Terrasque, Honorary Bullywog, Royal Order of Terrasque Herders</t>
  </si>
  <si>
    <t>Lost Tales of Myth Drannor: Forgotten Foes</t>
  </si>
  <si>
    <t>Manny Y.</t>
  </si>
  <si>
    <t>CCC-FC3-03</t>
  </si>
  <si>
    <t>JGD-01</t>
  </si>
  <si>
    <t>Left Black and Blue, a Red War Story</t>
  </si>
  <si>
    <t>CCC-ROZK 01-01</t>
  </si>
  <si>
    <t>Jeff K.</t>
  </si>
  <si>
    <t xml:space="preserve">Heroes of Reclamation Day: You ran toward danger and saved innocent lives. The people of Phlan will tell tales of your bravery, and business owners wish to show you the city’s gratitude. You receive a 10% discount on goods sold within the city. An Ally in the Ebon Tide: You convinced the Blackwind, Ezechiel Irnestul, to sign on with either the Zhentarim or the Lords’ Alliance. He survives, and his Ebon Tide may prove useful someday soon. </t>
  </si>
  <si>
    <t>Purchased 2 Scrolls of Catnap for 600gp. Won a free beer every day for a year at the Laughing Goblin in Phlan</t>
  </si>
  <si>
    <t>DDAL 09-17</t>
  </si>
  <si>
    <t>In the Hand</t>
  </si>
  <si>
    <t>Potion of Supreme Healing, Potion of Vitality, 1 Soul Coin</t>
  </si>
  <si>
    <t>Traded Wand of Pyrotecnics to Morty for Cloak of Many Fashions</t>
  </si>
  <si>
    <t>CCC-BMG-41 HULB 4-2</t>
  </si>
  <si>
    <t>Voices from the Deep</t>
  </si>
  <si>
    <t>Cody B.</t>
  </si>
  <si>
    <t>CCC-BMG-42 HULB 4-3</t>
  </si>
  <si>
    <t>Call of the Deep</t>
  </si>
  <si>
    <t>Bought Find Familiar components x10</t>
  </si>
  <si>
    <t>CCC-BMG-24 PHLAN 2-3</t>
  </si>
  <si>
    <t>The Royal We</t>
  </si>
  <si>
    <t>Tyr's Blessing of Luck</t>
  </si>
  <si>
    <t>FOWP - Onyx Dog, Dark Shard Amulet</t>
  </si>
  <si>
    <t>CCC-BMG-38-HULB-3-2</t>
  </si>
  <si>
    <t>Advantage on each save once: WIS, INT, CHA</t>
  </si>
  <si>
    <t>Traded Tome of Clear Thought to Morty for Studded Leather +2</t>
  </si>
  <si>
    <t>CCC-BMG-37-HULB-3-3</t>
  </si>
  <si>
    <t>Darkest Vein</t>
  </si>
  <si>
    <t>Jose S.</t>
  </si>
  <si>
    <t>Dreamwhirl (Lance +3)</t>
  </si>
  <si>
    <t>Planar Studies</t>
  </si>
  <si>
    <t>CCC-TRY-15-YUL1-4</t>
  </si>
  <si>
    <t>The Dark of the Hive</t>
  </si>
  <si>
    <t>Read three books about the Far Realm</t>
  </si>
  <si>
    <t>Bought 10 potions of greater healing for 50 gp each.</t>
  </si>
  <si>
    <t>Bought 2 scrolls of Tongues</t>
  </si>
  <si>
    <t>CCC-DWB-GNA-1</t>
  </si>
  <si>
    <t>Gallery of the Nightmare Artist</t>
  </si>
  <si>
    <t>Daern's Instant Fortress</t>
  </si>
  <si>
    <t>CCC-MIND01-03</t>
  </si>
  <si>
    <t>Dream Walkers</t>
  </si>
  <si>
    <t>Bought 3 potions of greater healing</t>
  </si>
  <si>
    <t>Scroll of Comprehend Languages, Scroll of Animate Dead</t>
  </si>
  <si>
    <t>Used Mental Fortitude - Int save</t>
  </si>
  <si>
    <t>Ring of Regeneration, Plate +2 (unique)</t>
  </si>
  <si>
    <t>Potion of Invulnerability, Scroll of Sunburst</t>
  </si>
  <si>
    <t>Bought 10 scrolls of Hex</t>
  </si>
  <si>
    <t>JTRC-12</t>
  </si>
  <si>
    <t>Buried Dynasty</t>
  </si>
  <si>
    <t>Adamantine Splint, Mirror of Life Trapping (1 compartment), Slippers of Spider Climbing, Wind Fan, Dust of Disappearance</t>
  </si>
  <si>
    <t>Elixer of Health, Potion of Supreme Healing</t>
  </si>
  <si>
    <t>Way of the Dragon Charm (6 Charges)</t>
  </si>
  <si>
    <t>Traded Tome of Leadership and Influence to Raguel for Anstruth Harp</t>
  </si>
  <si>
    <t>Traded Glamoured Studded Leather to Chef Ture for Staff of the Python</t>
  </si>
  <si>
    <t>PS-DC-GLITCH-01</t>
  </si>
  <si>
    <t>Roots, Bloody Roots</t>
  </si>
  <si>
    <t xml:space="preserve">Iron Horn of Valhalla, Wand of Conducting </t>
  </si>
  <si>
    <t xml:space="preserve">used 2 scrolls of see invis. 1 death ward, 1 superior healing </t>
  </si>
  <si>
    <t xml:space="preserve">DDAL00-02f </t>
  </si>
  <si>
    <t>The Definition of Heroism (Lost Tales of Myth Drannor)</t>
  </si>
  <si>
    <t>Lorien</t>
  </si>
  <si>
    <t>Watchers Paladin</t>
  </si>
  <si>
    <t>Acolyte</t>
  </si>
  <si>
    <t>Plate Barding +2</t>
  </si>
  <si>
    <t>Tome of Leadership and Influence (unused)</t>
  </si>
  <si>
    <t xml:space="preserve">Scroll of Find Greater Steed </t>
  </si>
  <si>
    <t>Ioun Stone of Mastery</t>
  </si>
  <si>
    <t xml:space="preserve">Scroll of Revivify </t>
  </si>
  <si>
    <t>Scroll of Banishing Smite</t>
  </si>
  <si>
    <t>Scroll of Enlarge/Reduce</t>
  </si>
  <si>
    <t>Scroll of Alter Self</t>
  </si>
  <si>
    <t>Story Awards</t>
  </si>
  <si>
    <t>DDAL 09-01</t>
  </si>
  <si>
    <t>Escape from Elturguard</t>
  </si>
  <si>
    <t>Amulet of Proof Against Detection</t>
  </si>
  <si>
    <t>CCC-BLD 01-02</t>
  </si>
  <si>
    <t>Ryan M.</t>
  </si>
  <si>
    <t>Dropped Amulet of Proof vs Det. Used 20 DTD's to level up. Longsword +1 renown item. Sold longsword and chainmail for 39 gp, bought splint for 200 gp.</t>
  </si>
  <si>
    <t>DDAL-DRW 02</t>
  </si>
  <si>
    <t>Blood in the Water</t>
  </si>
  <si>
    <t>Learned proficiency with the Lyre</t>
  </si>
  <si>
    <t>Van T.</t>
  </si>
  <si>
    <t>Used 20 DTD's to escape Ravenloft, dropped Bowl of Commanding Water Elementals</t>
  </si>
  <si>
    <t>Cheryl</t>
  </si>
  <si>
    <t>Elven Chain</t>
  </si>
  <si>
    <t>Traded Ring of Spell Storing to Darrendrian for Elven Chain</t>
  </si>
  <si>
    <t>Plate +1</t>
  </si>
  <si>
    <t>Traded Elven Chain to Fei Chen for +1 plate</t>
  </si>
  <si>
    <t>Traded +1 plate to Darrendrian for +2 Longsword</t>
  </si>
  <si>
    <t>DDAL 09-05</t>
  </si>
  <si>
    <t>Dropped Winged Boots, +1 Shield renown item</t>
  </si>
  <si>
    <t>Traded Gem of Seeing to Anfer for Belt of Hill Giant Strength</t>
  </si>
  <si>
    <t>Glamored Studded Leather</t>
  </si>
  <si>
    <t>Dropped +1 Shield</t>
  </si>
  <si>
    <t>CCC-ANIME-1-2</t>
  </si>
  <si>
    <t>Let's Find the Sword, GO!</t>
  </si>
  <si>
    <t>Traded +2 Longsword to Wandering Swordsman for Ring of Spell Storing</t>
  </si>
  <si>
    <t>CCC-TRI-22</t>
  </si>
  <si>
    <t>On the Baron's Trail</t>
  </si>
  <si>
    <t>Longsword +1 renown item.</t>
  </si>
  <si>
    <t>Traded Bag of Devouring to Agatha for Staff of Thunder and Lightning</t>
  </si>
  <si>
    <t>Traded Staff of Thunder and Lightning to Agatha for Belt of Fire Giant Strength</t>
  </si>
  <si>
    <t>Traded Belt of Hill Giant Strength to Arvistan for Opal of the Ild Rune</t>
  </si>
  <si>
    <t>Darrian D.</t>
  </si>
  <si>
    <t>CCC-BMG-13 PHLAN1-2</t>
  </si>
  <si>
    <t>CharisSophia</t>
  </si>
  <si>
    <t>Bought Scroll of Find Greater Steed for 500 gp, cast for Pegasus mount</t>
  </si>
  <si>
    <t xml:space="preserve">Aaron M. </t>
  </si>
  <si>
    <t>Longsword +3</t>
  </si>
  <si>
    <t>Traded Belt of Fire Giant Strength to Morinth for +3 Longsword</t>
  </si>
  <si>
    <t>Traded Glamoured Studded Leather to Anfer for Sun Blade</t>
  </si>
  <si>
    <t>Traded Tome of Understanding to for Plate +2</t>
  </si>
  <si>
    <t>Traded Sun Blade to Arvistan Brightwave for Bracers of Defense</t>
  </si>
  <si>
    <t>DDAL00-11e</t>
  </si>
  <si>
    <t>A Fire Grows in Cania</t>
  </si>
  <si>
    <t>Staff of Frost</t>
  </si>
  <si>
    <t>Coldfusion</t>
  </si>
  <si>
    <t>Favor of Seer - exhanged for Scroll of Enlarge/Reduce</t>
  </si>
  <si>
    <t>Bought scroll of Find Greater Steed</t>
  </si>
  <si>
    <t>Craig H.</t>
  </si>
  <si>
    <t>Shield +3</t>
  </si>
  <si>
    <t>Traded Staff of Thunder and Lightning to Warden for Shield +3</t>
  </si>
  <si>
    <t>DDHC TYP</t>
  </si>
  <si>
    <t>Tomb of Horror</t>
  </si>
  <si>
    <t>Ian</t>
  </si>
  <si>
    <t>7 spell scrolls (1&amp;2 level wizard): 4 Enlarge/Reduce, 3 Alter Self</t>
  </si>
  <si>
    <t>Bought 1 Scroll of Find Greater Steed, 2 Scrolls of Revivify, 3 Scrolls of Enlarge/Reduce, 3 Scrolls of Alter Self. Dropped Ring of Protection</t>
  </si>
  <si>
    <t>Traded Longsword +3 to Darrendrian for Staff of Power</t>
  </si>
  <si>
    <t>DDAL09-12</t>
  </si>
  <si>
    <t>Galabraga is ancient even by hag standards, she has made countless bargains with all manner of creatures to her benefit. One does not live as long as she without having the occasional double cross or deal gone wrong, but woe to those that try. Galabraga is extremely irritated by having to have a new Simulacrum made. She was visiting her numerous daughters residing in Minauros when the character destroyed her Simulacrum. As such, she requests her daughters haunt the characters’ dreams until such time as they die. Galabraga allows her daughters to keep the souls for their service, see Nightmare Haunting (Night Hag). Characters who have assisted in destroying her Simulacrum in any way earn this story award. If the characters provide Galabraga a new Simulacrum and 5 Soul Coins for their insolence as well as her pain and suffering, may remove the story award.</t>
  </si>
  <si>
    <t xml:space="preserve">Spent 800gp for Splint barding. Spent 300gp and 1 soul coin to make a Hag's daughters stop haunting my dreams. Spent 500gp and 5 DTD's in a bargain with Mahadi. </t>
  </si>
  <si>
    <t>DDAL09-13</t>
  </si>
  <si>
    <t xml:space="preserve">Violet F. </t>
  </si>
  <si>
    <t>DDAL09-14</t>
  </si>
  <si>
    <t>Wards Got! You’ve successfully retrieved the wards of suffering from the bowels of a long-lost temple to Ilmater. With the protection they afford, Dara stands a much better chance of surviving her ordeal in the Canyon of Screams.</t>
  </si>
  <si>
    <t>Traded Shield +3 to Darrendrian for Plate Barding +2</t>
  </si>
  <si>
    <t>Twilight Fades: Characters have put an end to the Sorrowsworn and their source, but have also revealed its existence to the inhabitants of Dusklight. With their newfound knowledge, numerous settlers have left, leaving it a shell of what it once was.</t>
  </si>
  <si>
    <t>Sold Splint Barding for 400 gp</t>
  </si>
  <si>
    <t>DDAL09-15</t>
  </si>
  <si>
    <t>Maddening Screams</t>
  </si>
  <si>
    <t>Faith and Trust</t>
  </si>
  <si>
    <t>You've Got a Friend in Me: You have proven yourself an ally to not only your own faction, but to those who banded together to fight the necromancer, Marzellus Marshward. You are always welcome at the Waypoint Bindery, on the northwestern shore of the Moonsea. In addition, you can use the Waypoint to pass word on to your faction, even if your faction representative it not present at the time, and messages will be passed to you should they arrive but your faction contact is not currently at the bindery. Finally, Krenez, the founder of the Waypoint, will always have a bed and a meal for you should you need it, free of charge.</t>
  </si>
  <si>
    <t>Bought Scroll of Catnap for 300gp</t>
  </si>
  <si>
    <t>DDHC-DMM</t>
  </si>
  <si>
    <t>Level 21</t>
  </si>
  <si>
    <t>Mace of Smiting +1</t>
  </si>
  <si>
    <t>Torm's Blessing: Blessing of Protection if I convert to Torm</t>
  </si>
  <si>
    <t>DM Rewards x3</t>
  </si>
  <si>
    <t>DDAL00-11f</t>
  </si>
  <si>
    <t>Twice as Nice for Half the Price</t>
  </si>
  <si>
    <t>Surrendered the Cookie Bag to Pipyap. Pipyap showers the characters with crumbs and other debris from the bag as he retrieves one spell scroll (conjuration only, and of 8th level or below) and one potion from magic item tables A through E. Each character chooses their own spell scroll and potion.</t>
  </si>
  <si>
    <t>Bought 3 Scrolls of Holy Weapon, 2 Scrolls of Find Greater Steed, and 10 Potions of Greater Healing. Used 1 DTD to cast spells. Spent 1 Soul Coin</t>
  </si>
  <si>
    <t>Tloque's Battleax</t>
  </si>
  <si>
    <t>Traded Staff of Power to Zandarax for Tloque's Battleaxe</t>
  </si>
  <si>
    <t>Traded Mace of Smiting to Zandarax for Dagger of Blindsight</t>
  </si>
  <si>
    <t>Traded Plate +2 to Arvistan for Manual of Quickness and Action</t>
  </si>
  <si>
    <t>Flying Carpet</t>
  </si>
  <si>
    <t>Traded Aegis of the Raven Queen Shield to Arvistan for Flying Carpet</t>
  </si>
  <si>
    <t>Traded Belt of Fire Giant Strength to Arvistan for Manual of Bodily Health</t>
  </si>
  <si>
    <t>Traded Flying Carpet to Zandarax for Dwarven Plate</t>
  </si>
  <si>
    <t>Holy Avenger Longsword</t>
  </si>
  <si>
    <t>Traded Ioun Stone of Mastery to Darrendrian for Holy Avenger Longsword</t>
  </si>
  <si>
    <t>Violet F.</t>
  </si>
  <si>
    <t>Traded Efreeti Chain to Darrendrian for Belt of Storm Giant Strength</t>
  </si>
  <si>
    <t>Bought 2 Scrolls of Holy Weapon</t>
  </si>
  <si>
    <t>Traded Holy Avenger Longsword to Darrendrian for Ioun Stone of Mastery</t>
  </si>
  <si>
    <t xml:space="preserve">Traded Belt of Storm Giant Strength to Darrendrian for Efreeti Chain </t>
  </si>
  <si>
    <t>Traded Manual of Bodily Health to Samus for Manual of Iron Golems</t>
  </si>
  <si>
    <t>Traded Manual of Iron Golems to Zandarax for Tome of Leadership and Influence</t>
  </si>
  <si>
    <t>Lance of Warning</t>
  </si>
  <si>
    <t>Darrendrian</t>
  </si>
  <si>
    <t>Paladin 6</t>
  </si>
  <si>
    <t>Tome</t>
  </si>
  <si>
    <t>Common</t>
  </si>
  <si>
    <t>Resistances:</t>
  </si>
  <si>
    <t>Sorceror 10</t>
  </si>
  <si>
    <t>Manual</t>
  </si>
  <si>
    <t>Boots of Flying</t>
  </si>
  <si>
    <t>Time Dragon longsword</t>
  </si>
  <si>
    <t>Necrotic</t>
  </si>
  <si>
    <t>Wish from Wren (Erik T)</t>
  </si>
  <si>
    <t>DDEP 06-03 Hecatomb</t>
  </si>
  <si>
    <t>Fighter 4</t>
  </si>
  <si>
    <t>Ornament</t>
  </si>
  <si>
    <t>Blood Fury Tattoo</t>
  </si>
  <si>
    <t>Fire</t>
  </si>
  <si>
    <t>Boon of Immortality</t>
  </si>
  <si>
    <t>DDAL 09-20 "Thanks of Ilmater"</t>
  </si>
  <si>
    <t>Defender Longsword</t>
  </si>
  <si>
    <t>Sword</t>
  </si>
  <si>
    <t>Plate +3</t>
  </si>
  <si>
    <t xml:space="preserve">Greater Healing Potion </t>
  </si>
  <si>
    <t>Acid</t>
  </si>
  <si>
    <t>Wish from scroll (self)</t>
  </si>
  <si>
    <t>Boon of Recovery</t>
  </si>
  <si>
    <t>PS-DC-WHT-01 Shattered</t>
  </si>
  <si>
    <t>Chime of Opening</t>
  </si>
  <si>
    <t>Armor</t>
  </si>
  <si>
    <t xml:space="preserve">Superior Healing Potion </t>
  </si>
  <si>
    <t>Lightning</t>
  </si>
  <si>
    <t>Supreme Healing Potion</t>
  </si>
  <si>
    <t>Scroll of Dominate Monster</t>
  </si>
  <si>
    <t xml:space="preserve">Force </t>
  </si>
  <si>
    <t>Wish from Morn (Ryan L.)</t>
  </si>
  <si>
    <t>Vergadain's Firespirits</t>
  </si>
  <si>
    <t>Scroll of Freedom of Mvmt</t>
  </si>
  <si>
    <t>Sapphire Buckler</t>
  </si>
  <si>
    <t xml:space="preserve">Sherman S. </t>
  </si>
  <si>
    <t xml:space="preserve">Tom H. </t>
  </si>
  <si>
    <t>Traded Gloves of Thievery to Rolyn for Winged Boots</t>
  </si>
  <si>
    <t>DDAL 05-04</t>
  </si>
  <si>
    <t>In Dire Need</t>
  </si>
  <si>
    <t>SEER's Delivery Service, Hero of Citidel Adbar, Ire of the Front Giants</t>
  </si>
  <si>
    <t>Bought cold weather gear for 5gp, sold Longsword and Chainmail for 44gp. +1 Longsword renown item.</t>
  </si>
  <si>
    <t>Dropped Winged Boots</t>
  </si>
  <si>
    <t>Rob M.</t>
  </si>
  <si>
    <t>Necklace of Adaptation, (Mantle of Spell Resistance)</t>
  </si>
  <si>
    <t>Epic reward: traded Necklace of Adaptation to Pipyap for casting 4th level spell, cast Find Greater Steed to aqcuire Pegasus mount named Mr. Fizzlebottom</t>
  </si>
  <si>
    <t>DDEP 00-01</t>
  </si>
  <si>
    <t>The Red War</t>
  </si>
  <si>
    <t>DDEP 03</t>
  </si>
  <si>
    <t>Blood Above Blood Below</t>
  </si>
  <si>
    <t>Michael F.</t>
  </si>
  <si>
    <t>Rimesplitter (+2 Greataxe)</t>
  </si>
  <si>
    <t>Dropped +1 Longsword.</t>
  </si>
  <si>
    <t>Traded Rimesplitter to Fei Chen for +2 Longsword</t>
  </si>
  <si>
    <t>DDEP 07-02</t>
  </si>
  <si>
    <t>Drums of the Dead: Book 2</t>
  </si>
  <si>
    <t>AC</t>
  </si>
  <si>
    <t>Traded Elven chainmail to Lorien for Ring of Spell Storing</t>
  </si>
  <si>
    <t>Staff of Thunder &amp; Lightning</t>
  </si>
  <si>
    <t>Vergadain's Spirits</t>
  </si>
  <si>
    <t>Spent 60 DTD's and 100gp to brew 1 barrel of Vergadain's Firespirits</t>
  </si>
  <si>
    <t>Spent 200gp on Heroe's Feast.  Traded mithral splintmail to Rolyn for +1 Shield</t>
  </si>
  <si>
    <t xml:space="preserve">Traded +2 Longsword to Lorien for +1 plate. </t>
  </si>
  <si>
    <t>Traded mithral splintmail to Rolyn for +1 Shield</t>
  </si>
  <si>
    <t>11/23/0219</t>
  </si>
  <si>
    <t>DDEP 05-02</t>
  </si>
  <si>
    <t>Ark of the Mountains</t>
  </si>
  <si>
    <t>Chris V.</t>
  </si>
  <si>
    <t>Frontbrand Scimitar, (Staff of Thunder and Lightning, Animated Shield, Ring of Shooting Stars)</t>
  </si>
  <si>
    <t>Traded Cloak of Displacement for Belt of Hill Giant Strength (traded at table, 0 DTD's)</t>
  </si>
  <si>
    <t>CCC-QCC-2018-01</t>
  </si>
  <si>
    <t>Albert S.</t>
  </si>
  <si>
    <t>9 Lives Stealer Scimitar</t>
  </si>
  <si>
    <t>Dropped Fronstbrand Scimitar</t>
  </si>
  <si>
    <t>DDAL 05-09</t>
  </si>
  <si>
    <t>Durlog's Tomb</t>
  </si>
  <si>
    <t>Skaggoxx (+3 battleaxe)</t>
  </si>
  <si>
    <t>Traded Skaggoxx to Thelma Scrollroller for Belt of Fire Giant Strength.</t>
  </si>
  <si>
    <t>Traded Staff of Thunder and Lightning to Marina for +3 Shield.</t>
  </si>
  <si>
    <t>Jake W.</t>
  </si>
  <si>
    <t>Traded Belt of Fire Giant Strength to Goombus for Staff of Power.</t>
  </si>
  <si>
    <t>HULB 03-01</t>
  </si>
  <si>
    <t>DEX tome</t>
  </si>
  <si>
    <t>CHA tome</t>
  </si>
  <si>
    <t>Traded DEX tome to Agnes Illumine for CHA tome.</t>
  </si>
  <si>
    <t>Elven chainmail</t>
  </si>
  <si>
    <t>Traded Belt of Hill Giant Strength to Anfer for Elven Chain.</t>
  </si>
  <si>
    <t>CCC-GOC-01-03</t>
  </si>
  <si>
    <t>Winds of Rot</t>
  </si>
  <si>
    <t>Carpet of Flying (5x7)</t>
  </si>
  <si>
    <t xml:space="preserve">Dropped Elven Chain to pick up Carpet of Flying. </t>
  </si>
  <si>
    <t>Traded Carpet of Flying to Marina for Belt of Fire Giant Strength</t>
  </si>
  <si>
    <t>CCC-TRI-10 BHC 1-1</t>
  </si>
  <si>
    <t>Dropped Plate +1</t>
  </si>
  <si>
    <t>CCC-BMG-39 HULB 3-3</t>
  </si>
  <si>
    <t>Noah G.</t>
  </si>
  <si>
    <t>HULB 4-1</t>
  </si>
  <si>
    <t>Whispers from the Deep</t>
  </si>
  <si>
    <t>CCC-ROZK-0102</t>
  </si>
  <si>
    <t>4 healing potions</t>
  </si>
  <si>
    <t>Bought 4 healing potions for 200 gp. Bought 4th level spell scroll for 500 gp, cast Find Greater Steed to summon Mr. Fizzlebottom</t>
  </si>
  <si>
    <t>DDHC-MORD-03</t>
  </si>
  <si>
    <t>To Wake the Leviathan</t>
  </si>
  <si>
    <t>White Dragon Scalemail, Gem of Water Elemental, Sentinel Shield, Ring of Cold Resistance, (Boots of Winterland)</t>
  </si>
  <si>
    <t>Traded Gem of Water Elemental to Arvistan Brightwave for Choraller's Companion</t>
  </si>
  <si>
    <t>Carl R.</t>
  </si>
  <si>
    <t>Traded Sentinel Shield to Don Karnage for Broom of Flying</t>
  </si>
  <si>
    <t>Traded Broom of Flying to Agatha for Wand of Webs</t>
  </si>
  <si>
    <t>DDAL 08-16</t>
  </si>
  <si>
    <t>A Change of Address</t>
  </si>
  <si>
    <t>DDAL 00-11f</t>
  </si>
  <si>
    <t>Ioun Stone of Mastery, Mantle of Spell Resistance</t>
  </si>
  <si>
    <t>10 potions of greater healing (5 consumed)</t>
  </si>
  <si>
    <t>Bought 10 protions of greater healing for 1000 gp. Bought Hero's snack from Fai Chen for 150 gp. Pegasus Mr. Fizzlebottom died, summoned Nightmare named Mr. Sizzlebottom while in Nessus. Table trade Ring of Cold Resistance to Wren (Erik Tukey) for Mantle of Spell Resistance. Wish spells by Wren (Erik Tukey) granted resistance to Fire and Necrotic damage.</t>
  </si>
  <si>
    <t>Traded Wand of Webs to Arvistan Brightwave for Trident of Fish Command</t>
  </si>
  <si>
    <t>Traded Trident of Fish Command to Arvistan Brightwave for Wand of Webs</t>
  </si>
  <si>
    <t xml:space="preserve">Nina B. </t>
  </si>
  <si>
    <t>Traded Ioun Stone of Mastery to Brielle Akamiir for Belt of Storm Giant Strength</t>
  </si>
  <si>
    <t>DDAL 00-10</t>
  </si>
  <si>
    <t>Trust and Understanding</t>
  </si>
  <si>
    <t>Mike R.</t>
  </si>
  <si>
    <t>Ioun Stone of Greater Absorbtion</t>
  </si>
  <si>
    <t>5 potions of greater healing, 1 potion of superior healing</t>
  </si>
  <si>
    <t>Bought 5 potions of Greater Healing for 500. Bought 3 scrolls of Revivify with components for 1800 gp. Dropped White Dragon Scale Mail</t>
  </si>
  <si>
    <t>Traded Ring of Spell Storing to Zelene Silrathas for Periapt of Proof Against Poison</t>
  </si>
  <si>
    <t>Gregory H.</t>
  </si>
  <si>
    <t>Traded Belt of Fire Giant Strength to Yongbi for Manual of Bodily Health</t>
  </si>
  <si>
    <t>DDAL 06-03</t>
  </si>
  <si>
    <t>Carl M.</t>
  </si>
  <si>
    <t>Traded Ioun Stone of Greater Absorption to Snowball for Scarab of Protection</t>
  </si>
  <si>
    <t>Traded Scarab of Protection to Darnys for Holy Avenger Longsword</t>
  </si>
  <si>
    <t>Eduardo R.</t>
  </si>
  <si>
    <t>Cloak of Invisibility</t>
  </si>
  <si>
    <t>Traded Oathbinder to Missmeseeks for Cloak of Invisibility</t>
  </si>
  <si>
    <t>Ioun Stone of Insight</t>
  </si>
  <si>
    <t>Traded Staff of Power to Winkle Paddlegear for Ioun Stone of Insight</t>
  </si>
  <si>
    <t>DDAL00-12d</t>
  </si>
  <si>
    <t>Devil's Song</t>
  </si>
  <si>
    <t>Ollamh Harp</t>
  </si>
  <si>
    <t>3 Soul Coins</t>
  </si>
  <si>
    <t>Traded Ollamh Harp to Portia Porridgepot for Plate +3</t>
  </si>
  <si>
    <t>DDAL 05-19</t>
  </si>
  <si>
    <t>Eye of Xxiphu</t>
  </si>
  <si>
    <t>Staff of Power, Tome of Clear Thought, Eye of Xxiphu</t>
  </si>
  <si>
    <t>Traded Staff of Power to Lorien for Longsword +3</t>
  </si>
  <si>
    <t>DDAL 07-17</t>
  </si>
  <si>
    <t>Spent 6800 on 2 Scrolls of Revivify, 2 Scrolls of Holy Weapon, 2 Scrolls of Greater Invisibility, 2 Scrolls of Greater Restoration, and 4 Scrolls of Alter Self. Wish spells granted resistance to Lightning and Acid damage</t>
  </si>
  <si>
    <t>DDAL 05-18</t>
  </si>
  <si>
    <t>The Mysterious Isle</t>
  </si>
  <si>
    <t>Plate Barding +2, Rod of the Pact Keeper +2</t>
  </si>
  <si>
    <t>Spell Scroll of 7th level spell of my choice - Crown of Stars</t>
  </si>
  <si>
    <t>Dropped Shield +3 and Staff of the Magi</t>
  </si>
  <si>
    <t>Traded Plate Barding +2 to Lorien for Shield +3</t>
  </si>
  <si>
    <t>Traded Rod of the Pact Keeper +3 to Sibila for Tome of Understanding</t>
  </si>
  <si>
    <t>Traded Tome of Understanding to Agatha for Aegis of the Raven Queen Shield</t>
  </si>
  <si>
    <t>DDAL00-02</t>
  </si>
  <si>
    <t>Lost Tales of Myth Drannor: Definition of Heroism</t>
  </si>
  <si>
    <t>Bought 4 potions of Greater Healing for 400.</t>
  </si>
  <si>
    <t>Cape of the Mountbank</t>
  </si>
  <si>
    <t>DDAL08-18</t>
  </si>
  <si>
    <t>Moving Day!</t>
  </si>
  <si>
    <t>Bought Scroll of Holy Weapon for 1000gp, 2 Scrolls of Catnap for 300gp.</t>
  </si>
  <si>
    <t>DDEP06-03</t>
  </si>
  <si>
    <t>Hecatomb</t>
  </si>
  <si>
    <t>Lost Lore of the Illithilich</t>
  </si>
  <si>
    <t>Bought Poition of Supreme Healing for 5,000 gp, 20 Potions of Greater Healing for 2,000 gp, 3 Scrolls of Holy Weapon for 3,000 gp, 2 Scrolls of Freedom of Movement</t>
  </si>
  <si>
    <t>Whip +2</t>
  </si>
  <si>
    <t>Traded Periapt of Proof Against Poison to Indy for Whip +2</t>
  </si>
  <si>
    <t>DDAL 09-19</t>
  </si>
  <si>
    <t>Fang and Claw</t>
  </si>
  <si>
    <t>Rohan B.</t>
  </si>
  <si>
    <t>Shield +2, Scarab of Protection</t>
  </si>
  <si>
    <t>Ice Pact</t>
  </si>
  <si>
    <t>Bought 2 Scrolls of Find Greater Steed, 6 Scrolls of Holy Weapon</t>
  </si>
  <si>
    <t>DDAL 09-20</t>
  </si>
  <si>
    <t>Where Devils Fear to Tread</t>
  </si>
  <si>
    <t>Ashton M.</t>
  </si>
  <si>
    <t>Death Shield Defender Greatsword, Rod of the Pact Keeper +2</t>
  </si>
  <si>
    <t>Thanks of Ilmater</t>
  </si>
  <si>
    <t>DDAL 07-15</t>
  </si>
  <si>
    <t>The Opal Pendant</t>
  </si>
  <si>
    <t>Bought 4 Scrolls of Freedom of Movement, 2 Scrolls of Holy Weapon, 1 Scroll of Revivify, 4 Scrolls of Death Ward, 2 Scrolls of Greater Restoration, 1 Scroll of Find Greater Steed, and 2 Scrolls of Enlarge/Reduce for a total of 9100 gp.</t>
  </si>
  <si>
    <t>DDAL 00-01</t>
  </si>
  <si>
    <t xml:space="preserve">Window to the Past </t>
  </si>
  <si>
    <t>Rod of Security, Adamantine Plate</t>
  </si>
  <si>
    <t>Touched by the Worm, Ally of Thay, Enmity of Thay</t>
  </si>
  <si>
    <t>Traded Adamantine Armor to Buckley for Eyes of the Eagle</t>
  </si>
  <si>
    <t>Traded Holy Avenger to Lorien for Ioun Stone of Mastery</t>
  </si>
  <si>
    <t>Traded Belt of Storm Giant Strength to Lorien for Efreeti Chain</t>
  </si>
  <si>
    <t>Traded Ioun Stone of Mastery to Lorien for Holy Avenger Longsword</t>
  </si>
  <si>
    <t>Traded Efreeti Chain barding to Lorien for Belt of Storm GIant Strength</t>
  </si>
  <si>
    <t>Traded Eyes of the Eagle to Orakhar for Broom of Flying</t>
  </si>
  <si>
    <t>Traded Wand of Lightning Bolts to Zandarax for Periapt of Proof Against Poison</t>
  </si>
  <si>
    <t>Scarab of Protection, Oathbow, Chime of Opening</t>
  </si>
  <si>
    <t>Potion of Vitality, Potion of Storm Giant Strength</t>
  </si>
  <si>
    <t>Bought 1 Potions of Supreme Healing, 6 Scrolls of Holy Weapon</t>
  </si>
  <si>
    <t>DDAL 07-16</t>
  </si>
  <si>
    <t>Traded Oathbow to Aramil for Rod of Absorption</t>
  </si>
  <si>
    <t>Traded Scarab of Protection to Jillian for Blood Fury Tattoo</t>
  </si>
  <si>
    <t>KC K.</t>
  </si>
  <si>
    <t>DDAL-DRW-19</t>
  </si>
  <si>
    <t>Mickey T.</t>
  </si>
  <si>
    <t>Ascendent Gem Dragon-Touched Focus, Sapphire Buckler</t>
  </si>
  <si>
    <t>Potion of Speed, Oil of Sharpness, Scroll of Daylight</t>
  </si>
  <si>
    <t>Robe of the Archmage (Gray)</t>
  </si>
  <si>
    <t>Traded Belt of Storm Giant Strength to Aiden Moonshadow for Robe of the Archmage (Gray)</t>
  </si>
  <si>
    <t>Traded Robe of the Archmage (Gray) to Zandarax for Defender Longsword</t>
  </si>
  <si>
    <t>Hide Armor +3</t>
  </si>
  <si>
    <t>Traded Holy Avenger Longsword to Duke for Hide Armor +3</t>
  </si>
  <si>
    <t>Traded Hide Armor +3 to Duke for Holy Avenger Longsword</t>
  </si>
  <si>
    <t>Dario C.</t>
  </si>
  <si>
    <t>Traded Ascendant Dragon-Touched Focus to Valenor Vyshaan to Robe of the Archmagi (White)</t>
  </si>
  <si>
    <t>Traded Robe of the Archmage (White) to Zandarax for Belt of Storm GIant Strength</t>
  </si>
  <si>
    <t>DDAL 08-17</t>
  </si>
  <si>
    <t>The Tower of Ahghairon</t>
  </si>
  <si>
    <t xml:space="preserve">Cubic Gate </t>
  </si>
  <si>
    <t>Bought 4 potions of supreme healing and 2 scrolls of holy weapon. Morn (Ryan L.) cast Wish for Force resistance.</t>
  </si>
  <si>
    <t>DDAL-DRW-20</t>
  </si>
  <si>
    <t>The Death of Szazz Tam</t>
  </si>
  <si>
    <t>Armin</t>
  </si>
  <si>
    <t>Plate +3 (Crystal), Boon of Recovery</t>
  </si>
  <si>
    <t>PS-DC-ELEMENT-DEATH-01</t>
  </si>
  <si>
    <t>Rocky Road</t>
  </si>
  <si>
    <t>Plate +3, Boon of Resilience, Half-plate of Gleaming</t>
  </si>
  <si>
    <t>PS-DC-STRAT-TALES-05</t>
  </si>
  <si>
    <t>War of the Roses</t>
  </si>
  <si>
    <t>John G.</t>
  </si>
  <si>
    <t>Sword of Answering (unbreakable)</t>
  </si>
  <si>
    <t>Morty</t>
  </si>
  <si>
    <t>Firbolg</t>
  </si>
  <si>
    <t>Druid</t>
  </si>
  <si>
    <t>Efreeti Chain (Pegasus Barding)</t>
  </si>
  <si>
    <t>Healing Potion</t>
  </si>
  <si>
    <t>Adamantine Plate</t>
  </si>
  <si>
    <t>Staff of the Woodlands</t>
  </si>
  <si>
    <t>Potion of Cold Resistance</t>
  </si>
  <si>
    <t>Rod of Security</t>
  </si>
  <si>
    <t>Half-plate of Poison Resistance</t>
  </si>
  <si>
    <t>Hide +3</t>
  </si>
  <si>
    <t>Wand of Pyrotecnics</t>
  </si>
  <si>
    <t>Tome of Clear Thought (unused)</t>
  </si>
  <si>
    <t>DDHC SKT</t>
  </si>
  <si>
    <t>DD AL06-01</t>
  </si>
  <si>
    <t>A Thousand Tiny Deaths</t>
  </si>
  <si>
    <t>Mike P.</t>
  </si>
  <si>
    <t>Received +1 Quarterstaff renown item</t>
  </si>
  <si>
    <t>DDAL08-10</t>
  </si>
  <si>
    <t>The Skull Square Murders</t>
  </si>
  <si>
    <t>Traded Amulet of Health to Dino for Staff of the Woodlands</t>
  </si>
  <si>
    <t>CCC-STORM-02</t>
  </si>
  <si>
    <t>Swamp of Sorrow: Bloodpurge Village</t>
  </si>
  <si>
    <t>Used one DTD to Awaken a tree named Mr. Oak</t>
  </si>
  <si>
    <t xml:space="preserve">Met Bitter Blossom and learned the story of Bitter Root </t>
  </si>
  <si>
    <t>DDAL00-02c</t>
  </si>
  <si>
    <t>Tales of Myth Drannor: Spawn of the Maimed Virulence</t>
  </si>
  <si>
    <t>Favor of Gwyrrn</t>
  </si>
  <si>
    <t>CCC-TRI-27</t>
  </si>
  <si>
    <t>In the Vault of Stars</t>
  </si>
  <si>
    <t>Used 1 DTD to Awaken a tree named Chris Pine</t>
  </si>
  <si>
    <t xml:space="preserve">Rohan B. </t>
  </si>
  <si>
    <t>Used 1 DTD to Awaken a tree named Thora Birch. Dropped Tan Bag of Tricks</t>
  </si>
  <si>
    <t>DDAL09-06</t>
  </si>
  <si>
    <t xml:space="preserve">Infernal Insurgency </t>
  </si>
  <si>
    <t>There are two smaller pens to either side of the tent entrance with “FOR SALE” signs. The left one reads, “Hell Puppies. Loyal and Evil. A Fiend’s Best Friend.” The sign on the right simply reads, “Cats.” Z’Neth insists that all cats come from one of the layers of the Hells. Each animal costs 25 gp and behave as normal dogs and cats except for their red coloring and penchant for staring into flames.</t>
  </si>
  <si>
    <t>Purchased Infernal Kitty and Infernal Puppy for 25 gp each. Cast Awaken on the Kitty.</t>
  </si>
  <si>
    <t>CCC-NBDD 01-02</t>
  </si>
  <si>
    <t>Where Can She Be?</t>
  </si>
  <si>
    <t>Used 1 DTD to Awaken Ripple's (Hal's) raptor.</t>
  </si>
  <si>
    <t>CCC-FAD-01</t>
  </si>
  <si>
    <t>Out the Back</t>
  </si>
  <si>
    <t>Thora Birch left the adventure after nearly being killed. Awakened a new tree named Elijah Wood.</t>
  </si>
  <si>
    <t>Magma Mephit familiar</t>
  </si>
  <si>
    <t>Met a Koala named Eugene and Awakened him.</t>
  </si>
  <si>
    <t>Edoardo R.</t>
  </si>
  <si>
    <t>Ioun Stone of Protection</t>
  </si>
  <si>
    <t>Traded Mantle of Spell Resistance to Zwela Moonshadow for Ioun Stone of Protection</t>
  </si>
  <si>
    <t>DDAL09-07</t>
  </si>
  <si>
    <t>The Diabolical Dive</t>
  </si>
  <si>
    <t>1 Soul Coin, 1 Potion of Invisibility</t>
  </si>
  <si>
    <t>Savior of my Enemy's enemy</t>
  </si>
  <si>
    <t>Wand of Pyrotechnics</t>
  </si>
  <si>
    <t>Traded Cloak of Many Fashions to Agatha for Wand of Pyrotecnics</t>
  </si>
  <si>
    <t>CCC-HAL-03</t>
  </si>
  <si>
    <t>Six Swords Unbound</t>
  </si>
  <si>
    <t>Sixth Sword (+2 Rapier +2 Init)</t>
  </si>
  <si>
    <t>A Moon Coin and a Note</t>
  </si>
  <si>
    <t>CCC-TRI-14</t>
  </si>
  <si>
    <t>The Voice in the Night (Part Three of the Yulash Series)</t>
  </si>
  <si>
    <t xml:space="preserve">Cody B. </t>
  </si>
  <si>
    <t>Traded Sixth Sword to Leonardo for Necklace of Prayer Beads</t>
  </si>
  <si>
    <t>Paid Planatar 200 gp (1000 total) to cast Raise Dead</t>
  </si>
  <si>
    <t>Zebulon T.</t>
  </si>
  <si>
    <t>Traded Tome of Clear Thought to Lim Dul for Tome of Understanding</t>
  </si>
  <si>
    <t>CCC-GHC-09</t>
  </si>
  <si>
    <t>Swamp of Death</t>
  </si>
  <si>
    <t>Joe F.</t>
  </si>
  <si>
    <t>Scroll of Wind Walk</t>
  </si>
  <si>
    <t>Spellbook with demon names: Gaggazoth, the Cleaver of the Horned King (tanarukk), Valgurrek the Gluttonous (barigura), Thurzroggad, Scyth of the Six Fingered Lord (babau).</t>
  </si>
  <si>
    <t>DDAL 08-14</t>
  </si>
  <si>
    <t>Rescue from Vanrakdoom</t>
  </si>
  <si>
    <t>The Red War (Slot 0)</t>
  </si>
  <si>
    <t>Essence of Zsasz Tamm</t>
  </si>
  <si>
    <t>Traded Tome of Leadership and Influence to Arvistan Brightwave for Ioun Stone of Leadership</t>
  </si>
  <si>
    <t>DDAL00-02f</t>
  </si>
  <si>
    <t>The Definition of Heroism</t>
  </si>
  <si>
    <t>Arielle L.</t>
  </si>
  <si>
    <t>Bought 3 Scrolls of Greater Restoration, 3 Scrolls of Freedom of Movement</t>
  </si>
  <si>
    <t>Half plate +2, Studded Leather +2, Horn of Valhalla (Bronze), Glaive +3, Robe of Stars</t>
  </si>
  <si>
    <t>Traded Robe of Stars to Zandarax for Bracelet of Rock Magic</t>
  </si>
  <si>
    <t>Christian V.</t>
  </si>
  <si>
    <t>Spent 100 gp on spell components</t>
  </si>
  <si>
    <t>Traded Studded Leather +2 to Agatha for Tome of Clear Thought</t>
  </si>
  <si>
    <t xml:space="preserve">Cauldron of Saphire </t>
  </si>
  <si>
    <t>Atropal in a Cage</t>
  </si>
  <si>
    <t xml:space="preserve">Tom P. </t>
  </si>
  <si>
    <t>Traded Glaive +3 to Kiernan for Dwarven Thrower</t>
  </si>
  <si>
    <t>Traded Dwarven Thrower to Noraggen for Tloque's Battleax</t>
  </si>
  <si>
    <t>Traded Tloque's Battleaxe to Darrendrian for Shield +3</t>
  </si>
  <si>
    <t>Opal Pendant</t>
  </si>
  <si>
    <t>Bought 15 Potions of Greater Healing</t>
  </si>
  <si>
    <t>CCC-GHC-BK03-09</t>
  </si>
  <si>
    <t>A Convergance of Gods</t>
  </si>
  <si>
    <t>DDAL00-01</t>
  </si>
  <si>
    <t>Windows to the Past</t>
  </si>
  <si>
    <t>Adamantine Plate, Rod of Security</t>
  </si>
  <si>
    <t>Ally of Thay</t>
  </si>
  <si>
    <t>Bought 8 Potions of Superior Healing and 2 Potions of Supreme Healing and 1 Scroll of Greater Restoration</t>
  </si>
  <si>
    <t>Traded Staff of the Magi to Zandarax for Moon Blade</t>
  </si>
  <si>
    <t>Traded Tome of the Stilled Tongue to Zandarax for Hide +3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</si>
</sst>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yyyy-mm-dd"/>
    <numFmt numFmtId="166" formatCode="m/d"/>
    <numFmt numFmtId="167" formatCode="m/d/yy"/>
  </numFmts>
  <fonts count="32">
    <font>
      <sz val="10.0"/>
      <color rgb="FF000000"/>
      <name val="Arial"/>
      <scheme val="minor"/>
    </font>
    <font>
      <b/>
      <sz val="14.0"/>
      <color theme="1"/>
      <name val="Arial"/>
      <scheme val="minor"/>
    </font>
    <font>
      <color theme="1"/>
      <name val="Arial"/>
      <scheme val="minor"/>
    </font>
    <font>
      <b/>
      <color theme="1"/>
      <name val="Arial"/>
      <scheme val="minor"/>
    </font>
    <font>
      <color rgb="FF00FF00"/>
      <name val="Arial"/>
      <scheme val="minor"/>
    </font>
    <font>
      <sz val="10.0"/>
      <color theme="1"/>
      <name val="Arial"/>
      <scheme val="minor"/>
    </font>
    <font>
      <color rgb="FF34A853"/>
      <name val="Arial"/>
      <scheme val="minor"/>
    </font>
    <font>
      <b/>
      <sz val="10.0"/>
      <color rgb="FF000000"/>
      <name val="Arial"/>
      <scheme val="minor"/>
    </font>
    <font>
      <color rgb="FF0000FF"/>
      <name val="Arial"/>
      <scheme val="minor"/>
    </font>
    <font>
      <b/>
      <sz val="11.0"/>
      <color theme="1"/>
      <name val="Arial"/>
      <scheme val="minor"/>
    </font>
    <font>
      <color theme="1"/>
      <name val="Arial"/>
    </font>
    <font>
      <color rgb="FFFF9900"/>
      <name val="Arial"/>
      <scheme val="minor"/>
    </font>
    <font>
      <color rgb="FF9900FF"/>
      <name val="Arial"/>
      <scheme val="minor"/>
    </font>
    <font>
      <color theme="7"/>
      <name val="Arial"/>
      <scheme val="minor"/>
    </font>
    <font>
      <color rgb="FF000000"/>
      <name val="Arial"/>
      <scheme val="minor"/>
    </font>
    <font>
      <color rgb="FFFF0000"/>
      <name val="Arial"/>
      <scheme val="minor"/>
    </font>
    <font>
      <b/>
      <color rgb="FF404040"/>
      <name val="&quot;Proxima Nova&quot;"/>
    </font>
    <font>
      <color theme="1"/>
      <name val="Roboto"/>
    </font>
    <font>
      <color rgb="FF00FF00"/>
      <name val="Arial"/>
    </font>
    <font>
      <color rgb="FF000000"/>
      <name val="Arial"/>
    </font>
    <font>
      <color rgb="FF444950"/>
      <name val="Arial"/>
      <scheme val="minor"/>
    </font>
    <font>
      <b/>
      <sz val="10.0"/>
      <color rgb="FF000000"/>
      <name val="Inconsolata"/>
    </font>
    <font>
      <color theme="7"/>
      <name val="Arial"/>
    </font>
    <font>
      <sz val="10.0"/>
      <color theme="1"/>
      <name val="Lato"/>
    </font>
    <font>
      <sz val="11.0"/>
      <color rgb="FF2C3E50"/>
      <name val="Lato"/>
    </font>
    <font>
      <color rgb="FF0000FF"/>
      <name val="Arial"/>
    </font>
    <font>
      <sz val="11.0"/>
      <color theme="1"/>
      <name val="Arial"/>
      <scheme val="minor"/>
    </font>
    <font>
      <color rgb="FF444444"/>
      <name val="Roboto"/>
    </font>
    <font>
      <color theme="6"/>
      <name val="Arial"/>
      <scheme val="minor"/>
    </font>
    <font>
      <color rgb="FFFBBC04"/>
      <name val="Arial"/>
      <scheme val="minor"/>
    </font>
    <font>
      <color rgb="FF404040"/>
      <name val="Arial"/>
    </font>
    <font>
      <sz val="11.0"/>
      <color rgb="FF3C4043"/>
      <name val="Roboto"/>
    </font>
  </fonts>
  <fills count="7">
    <fill>
      <patternFill patternType="none"/>
    </fill>
    <fill>
      <patternFill patternType="lightGray"/>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F1F0F0"/>
        <bgColor rgb="FFF1F0F0"/>
      </patternFill>
    </fill>
  </fills>
  <borders count="1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readingOrder="0"/>
    </xf>
    <xf borderId="2" fillId="2" fontId="3" numFmtId="0" xfId="0" applyAlignment="1" applyBorder="1" applyFont="1">
      <alignment readingOrder="0"/>
    </xf>
    <xf borderId="3" fillId="2" fontId="3" numFmtId="0" xfId="0" applyBorder="1" applyFont="1"/>
    <xf borderId="0" fillId="0" fontId="3" numFmtId="0" xfId="0" applyFont="1"/>
    <xf borderId="0" fillId="0" fontId="3" numFmtId="0" xfId="0" applyAlignment="1" applyFont="1">
      <alignment horizontal="right" readingOrder="0"/>
    </xf>
    <xf borderId="4" fillId="2" fontId="3" numFmtId="0" xfId="0" applyAlignment="1" applyBorder="1" applyFont="1">
      <alignment readingOrder="0"/>
    </xf>
    <xf borderId="5" fillId="2" fontId="3" numFmtId="0" xfId="0" applyAlignment="1" applyBorder="1" applyFont="1">
      <alignment readingOrder="0"/>
    </xf>
    <xf borderId="6" fillId="2" fontId="3" numFmtId="0" xfId="0" applyAlignment="1" applyBorder="1" applyFont="1">
      <alignment readingOrder="0"/>
    </xf>
    <xf borderId="6" fillId="2" fontId="2" numFmtId="0" xfId="0" applyBorder="1" applyFont="1"/>
    <xf borderId="7" fillId="2" fontId="2" numFmtId="0" xfId="0" applyBorder="1" applyFont="1"/>
    <xf borderId="6" fillId="2" fontId="3" numFmtId="0" xfId="0" applyBorder="1" applyFont="1"/>
    <xf borderId="7" fillId="2" fontId="3" numFmtId="0" xfId="0" applyBorder="1" applyFont="1"/>
    <xf borderId="8" fillId="2" fontId="2" numFmtId="0" xfId="0" applyBorder="1" applyFont="1"/>
    <xf borderId="0" fillId="2" fontId="3" numFmtId="0" xfId="0" applyAlignment="1" applyFont="1">
      <alignment readingOrder="0"/>
    </xf>
    <xf borderId="9" fillId="2" fontId="3" numFmtId="0" xfId="0" applyAlignment="1" applyBorder="1" applyFont="1">
      <alignment readingOrder="0"/>
    </xf>
    <xf borderId="0" fillId="0" fontId="3" numFmtId="0" xfId="0" applyAlignment="1" applyFont="1">
      <alignment readingOrder="0"/>
    </xf>
    <xf borderId="4" fillId="0" fontId="4" numFmtId="0" xfId="0" applyAlignment="1" applyBorder="1" applyFont="1">
      <alignment readingOrder="0"/>
    </xf>
    <xf borderId="4" fillId="0" fontId="2" numFmtId="0" xfId="0" applyBorder="1" applyFont="1"/>
    <xf borderId="10" fillId="0" fontId="2" numFmtId="0" xfId="0" applyAlignment="1" applyBorder="1" applyFont="1">
      <alignment readingOrder="0"/>
    </xf>
    <xf borderId="10" fillId="0" fontId="5" numFmtId="0" xfId="0" applyAlignment="1" applyBorder="1" applyFont="1">
      <alignment readingOrder="0"/>
    </xf>
    <xf borderId="4" fillId="0" fontId="6" numFmtId="0" xfId="0" applyAlignment="1" applyBorder="1" applyFont="1">
      <alignment readingOrder="0"/>
    </xf>
    <xf borderId="10" fillId="0" fontId="4" numFmtId="0" xfId="0" applyAlignment="1" applyBorder="1" applyFont="1">
      <alignment readingOrder="0"/>
    </xf>
    <xf borderId="10" fillId="0" fontId="2" numFmtId="0" xfId="0" applyBorder="1" applyFont="1"/>
    <xf borderId="11" fillId="2" fontId="2" numFmtId="0" xfId="0" applyBorder="1" applyFont="1"/>
    <xf borderId="12" fillId="2" fontId="3" numFmtId="0" xfId="0" applyAlignment="1" applyBorder="1" applyFont="1">
      <alignment readingOrder="0"/>
    </xf>
    <xf borderId="13" fillId="2" fontId="7" numFmtId="0" xfId="0" applyBorder="1" applyFont="1"/>
    <xf borderId="0" fillId="0" fontId="7" numFmtId="0" xfId="0" applyFont="1"/>
    <xf borderId="4" fillId="3" fontId="4" numFmtId="0" xfId="0" applyAlignment="1" applyBorder="1" applyFill="1" applyFont="1">
      <alignment readingOrder="0"/>
    </xf>
    <xf borderId="4" fillId="3" fontId="2" numFmtId="0" xfId="0" applyBorder="1" applyFont="1"/>
    <xf borderId="4" fillId="3" fontId="2" numFmtId="0" xfId="0" applyAlignment="1" applyBorder="1" applyFont="1">
      <alignment readingOrder="0"/>
    </xf>
    <xf borderId="4" fillId="3" fontId="8" numFmtId="0" xfId="0" applyAlignment="1" applyBorder="1" applyFont="1">
      <alignment readingOrder="0"/>
    </xf>
    <xf borderId="4" fillId="0" fontId="8" numFmtId="0" xfId="0" applyAlignment="1" applyBorder="1" applyFont="1">
      <alignment readingOrder="0"/>
    </xf>
    <xf borderId="4" fillId="0" fontId="2" numFmtId="0" xfId="0" applyAlignment="1" applyBorder="1" applyFont="1">
      <alignment readingOrder="0"/>
    </xf>
    <xf borderId="14" fillId="0" fontId="2" numFmtId="0" xfId="0" applyAlignment="1" applyBorder="1" applyFont="1">
      <alignment readingOrder="0"/>
    </xf>
    <xf borderId="4" fillId="2" fontId="9" numFmtId="0" xfId="0" applyAlignment="1" applyBorder="1" applyFont="1">
      <alignment readingOrder="0"/>
    </xf>
    <xf borderId="0" fillId="0" fontId="9" numFmtId="0" xfId="0" applyFont="1"/>
    <xf borderId="0" fillId="0" fontId="2" numFmtId="164" xfId="0" applyAlignment="1" applyFont="1" applyNumberFormat="1">
      <alignment readingOrder="0"/>
    </xf>
    <xf borderId="0" fillId="3" fontId="2" numFmtId="164" xfId="0" applyAlignment="1" applyFont="1" applyNumberFormat="1">
      <alignment readingOrder="0"/>
    </xf>
    <xf borderId="0" fillId="3" fontId="2" numFmtId="0" xfId="0" applyAlignment="1" applyFont="1">
      <alignment readingOrder="0"/>
    </xf>
    <xf borderId="0" fillId="3" fontId="2" numFmtId="0" xfId="0" applyFont="1"/>
    <xf borderId="0" fillId="3" fontId="10" numFmtId="0" xfId="0" applyAlignment="1" applyFont="1">
      <alignment horizontal="left" readingOrder="0"/>
    </xf>
    <xf borderId="4" fillId="0" fontId="11" numFmtId="0" xfId="0" applyAlignment="1" applyBorder="1" applyFont="1">
      <alignment readingOrder="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4" fillId="4" fontId="6" numFmtId="0" xfId="0" applyAlignment="1" applyBorder="1" applyFill="1" applyFont="1">
      <alignment readingOrder="0"/>
    </xf>
    <xf borderId="0" fillId="0" fontId="2" numFmtId="0" xfId="0" applyAlignment="1" applyFont="1">
      <alignment readingOrder="0" shrinkToFit="0" vertical="center" wrapText="0"/>
    </xf>
    <xf borderId="0" fillId="0" fontId="6" numFmtId="0" xfId="0" applyAlignment="1" applyFont="1">
      <alignment readingOrder="0" shrinkToFit="0" vertical="center" wrapText="0"/>
    </xf>
    <xf borderId="0" fillId="0" fontId="8" numFmtId="0" xfId="0" applyAlignment="1" applyFont="1">
      <alignment readingOrder="0" shrinkToFit="0" vertical="center" wrapText="0"/>
    </xf>
    <xf borderId="0" fillId="0" fontId="12" numFmtId="0" xfId="0" applyAlignment="1" applyFont="1">
      <alignment readingOrder="0" shrinkToFit="0" vertical="center" wrapText="0"/>
    </xf>
    <xf borderId="4" fillId="3" fontId="6" numFmtId="0" xfId="0" applyAlignment="1" applyBorder="1" applyFont="1">
      <alignment readingOrder="0"/>
    </xf>
    <xf borderId="0" fillId="0" fontId="13" numFmtId="0" xfId="0" applyAlignment="1" applyFont="1">
      <alignment readingOrder="0" shrinkToFit="0" vertical="center" wrapText="0"/>
    </xf>
    <xf borderId="0" fillId="0" fontId="8" numFmtId="0" xfId="0" applyAlignment="1" applyFont="1">
      <alignment readingOrder="0" shrinkToFit="0" vertical="center" wrapText="0"/>
    </xf>
    <xf borderId="4" fillId="4" fontId="8" numFmtId="0" xfId="0" applyAlignment="1" applyBorder="1" applyFont="1">
      <alignment readingOrder="0"/>
    </xf>
    <xf borderId="0" fillId="0" fontId="8" numFmtId="0" xfId="0" applyAlignment="1" applyFont="1">
      <alignment readingOrder="0"/>
    </xf>
    <xf borderId="0" fillId="0" fontId="6" numFmtId="0" xfId="0" applyAlignment="1" applyFont="1">
      <alignment readingOrder="0"/>
    </xf>
    <xf borderId="0" fillId="0" fontId="2" numFmtId="0" xfId="0" applyFont="1"/>
    <xf borderId="0" fillId="4" fontId="14" numFmtId="0" xfId="0" applyAlignment="1" applyFont="1">
      <alignment readingOrder="0"/>
    </xf>
    <xf borderId="0" fillId="0" fontId="15" numFmtId="0" xfId="0" applyAlignment="1" applyFont="1">
      <alignment readingOrder="0"/>
    </xf>
    <xf borderId="0" fillId="3" fontId="16" numFmtId="0" xfId="0" applyAlignment="1" applyFont="1">
      <alignment readingOrder="0"/>
    </xf>
    <xf borderId="0" fillId="3" fontId="17" numFmtId="0" xfId="0" applyAlignment="1" applyFont="1">
      <alignment horizontal="left" readingOrder="0"/>
    </xf>
    <xf borderId="3" fillId="2" fontId="3" numFmtId="0" xfId="0" applyAlignment="1" applyBorder="1" applyFont="1">
      <alignment readingOrder="0"/>
    </xf>
    <xf borderId="10" fillId="0" fontId="12" numFmtId="0" xfId="0" applyAlignment="1" applyBorder="1" applyFont="1">
      <alignment readingOrder="0"/>
    </xf>
    <xf borderId="4" fillId="5" fontId="8" numFmtId="0" xfId="0" applyAlignment="1" applyBorder="1" applyFill="1" applyFont="1">
      <alignment readingOrder="0"/>
    </xf>
    <xf borderId="4" fillId="3" fontId="13" numFmtId="0" xfId="0" applyAlignment="1" applyBorder="1" applyFont="1">
      <alignment readingOrder="0"/>
    </xf>
    <xf borderId="4" fillId="0" fontId="13" numFmtId="0" xfId="0" applyAlignment="1" applyBorder="1" applyFont="1">
      <alignment readingOrder="0"/>
    </xf>
    <xf borderId="0" fillId="4" fontId="2" numFmtId="164" xfId="0" applyAlignment="1" applyFont="1" applyNumberFormat="1">
      <alignment readingOrder="0"/>
    </xf>
    <xf borderId="0" fillId="4" fontId="2" numFmtId="0" xfId="0" applyAlignment="1" applyFont="1">
      <alignment readingOrder="0"/>
    </xf>
    <xf borderId="0" fillId="4" fontId="2" numFmtId="0" xfId="0" applyFont="1"/>
    <xf borderId="0" fillId="4" fontId="10" numFmtId="0" xfId="0" applyAlignment="1" applyFont="1">
      <alignment horizontal="left" readingOrder="0"/>
    </xf>
    <xf borderId="0" fillId="3" fontId="2" numFmtId="165" xfId="0" applyAlignment="1" applyFont="1" applyNumberFormat="1">
      <alignment readingOrder="0"/>
    </xf>
    <xf borderId="4" fillId="0" fontId="12" numFmtId="0" xfId="0" applyAlignment="1" applyBorder="1" applyFont="1">
      <alignment readingOrder="0"/>
    </xf>
    <xf borderId="0" fillId="0" fontId="2" numFmtId="166" xfId="0" applyAlignment="1" applyFont="1" applyNumberFormat="1">
      <alignment readingOrder="0"/>
    </xf>
    <xf borderId="4" fillId="4" fontId="12" numFmtId="0" xfId="0" applyAlignment="1" applyBorder="1" applyFont="1">
      <alignment readingOrder="0"/>
    </xf>
    <xf borderId="4" fillId="0" fontId="14" numFmtId="0" xfId="0" applyAlignment="1" applyBorder="1" applyFont="1">
      <alignment readingOrder="0"/>
    </xf>
    <xf borderId="4" fillId="3" fontId="12" numFmtId="0" xfId="0" applyAlignment="1" applyBorder="1" applyFont="1">
      <alignment readingOrder="0"/>
    </xf>
    <xf borderId="4" fillId="4" fontId="18" numFmtId="0" xfId="0" applyAlignment="1" applyBorder="1" applyFont="1">
      <alignment horizontal="left" readingOrder="0"/>
    </xf>
    <xf borderId="4" fillId="4" fontId="13" numFmtId="0" xfId="0" applyAlignment="1" applyBorder="1" applyFont="1">
      <alignment readingOrder="0"/>
    </xf>
    <xf borderId="0" fillId="4" fontId="19" numFmtId="0" xfId="0" applyAlignment="1" applyFont="1">
      <alignment horizontal="left" readingOrder="0"/>
    </xf>
    <xf borderId="0" fillId="6" fontId="20" numFmtId="0" xfId="0" applyAlignment="1" applyFill="1" applyFont="1">
      <alignment readingOrder="0"/>
    </xf>
    <xf borderId="0" fillId="3" fontId="10" numFmtId="0" xfId="0" applyAlignment="1" applyFont="1">
      <alignment vertical="bottom"/>
    </xf>
    <xf borderId="0" fillId="3" fontId="19" numFmtId="0" xfId="0" applyAlignment="1" applyFont="1">
      <alignment horizontal="left" readingOrder="0"/>
    </xf>
    <xf borderId="0" fillId="3" fontId="2" numFmtId="0" xfId="0" applyAlignment="1" applyFont="1">
      <alignment readingOrder="0" shrinkToFit="0" wrapText="0"/>
    </xf>
    <xf borderId="0" fillId="0" fontId="10" numFmtId="0" xfId="0" applyAlignment="1" applyFont="1">
      <alignment vertical="bottom"/>
    </xf>
    <xf borderId="12" fillId="0" fontId="10" numFmtId="0" xfId="0" applyAlignment="1" applyBorder="1" applyFont="1">
      <alignment vertical="bottom"/>
    </xf>
    <xf borderId="15" fillId="0" fontId="10" numFmtId="0" xfId="0" applyAlignment="1" applyBorder="1" applyFont="1">
      <alignment vertical="bottom"/>
    </xf>
    <xf borderId="12" fillId="2" fontId="10" numFmtId="0" xfId="0" applyAlignment="1" applyBorder="1" applyFont="1">
      <alignment vertical="bottom"/>
    </xf>
    <xf borderId="12" fillId="2" fontId="10" numFmtId="0" xfId="0" applyAlignment="1" applyBorder="1" applyFont="1">
      <alignment vertical="bottom"/>
    </xf>
    <xf borderId="13" fillId="2" fontId="10" numFmtId="0" xfId="0" applyAlignment="1" applyBorder="1" applyFont="1">
      <alignment vertical="bottom"/>
    </xf>
    <xf borderId="13" fillId="0" fontId="10" numFmtId="0" xfId="0" applyAlignment="1" applyBorder="1" applyFont="1">
      <alignment vertical="bottom"/>
    </xf>
    <xf borderId="13" fillId="0" fontId="10" numFmtId="0" xfId="0" applyAlignment="1" applyBorder="1" applyFont="1">
      <alignment vertical="bottom"/>
    </xf>
    <xf borderId="13" fillId="2" fontId="21" numFmtId="0" xfId="0" applyBorder="1" applyFont="1"/>
    <xf borderId="13" fillId="3" fontId="10" numFmtId="0" xfId="0" applyAlignment="1" applyBorder="1" applyFont="1">
      <alignment vertical="bottom"/>
    </xf>
    <xf borderId="9" fillId="0" fontId="10" numFmtId="0" xfId="0" applyAlignment="1" applyBorder="1" applyFont="1">
      <alignment vertical="bottom"/>
    </xf>
    <xf borderId="8" fillId="0" fontId="10" numFmtId="0" xfId="0" applyAlignment="1" applyBorder="1" applyFont="1">
      <alignment vertical="bottom"/>
    </xf>
    <xf borderId="10" fillId="0" fontId="8" numFmtId="0" xfId="0" applyAlignment="1" applyBorder="1" applyFont="1">
      <alignment readingOrder="0"/>
    </xf>
    <xf borderId="14" fillId="0" fontId="8" numFmtId="0" xfId="0" applyAlignment="1" applyBorder="1" applyFont="1">
      <alignment readingOrder="0"/>
    </xf>
    <xf borderId="2" fillId="0" fontId="2" numFmtId="0" xfId="0" applyAlignment="1" applyBorder="1" applyFont="1">
      <alignment readingOrder="0"/>
    </xf>
    <xf borderId="0" fillId="5" fontId="2" numFmtId="0" xfId="0" applyFont="1"/>
    <xf borderId="0" fillId="3" fontId="0" numFmtId="0" xfId="0" applyAlignment="1" applyFont="1">
      <alignment readingOrder="0"/>
    </xf>
    <xf borderId="0" fillId="0" fontId="2" numFmtId="165" xfId="0" applyAlignment="1" applyFont="1" applyNumberFormat="1">
      <alignment readingOrder="0"/>
    </xf>
    <xf borderId="14" fillId="0" fontId="13" numFmtId="0" xfId="0" applyAlignment="1" applyBorder="1" applyFont="1">
      <alignment readingOrder="0"/>
    </xf>
    <xf borderId="0" fillId="3" fontId="22" numFmtId="0" xfId="0" applyAlignment="1" applyFont="1">
      <alignment horizontal="left" readingOrder="0"/>
    </xf>
    <xf borderId="0" fillId="0" fontId="13" numFmtId="0" xfId="0" applyAlignment="1" applyFont="1">
      <alignment readingOrder="0"/>
    </xf>
    <xf borderId="0" fillId="0" fontId="2" numFmtId="0" xfId="0" applyAlignment="1" applyFont="1">
      <alignment readingOrder="0"/>
    </xf>
    <xf borderId="16" fillId="4" fontId="23" numFmtId="0" xfId="0" applyAlignment="1" applyBorder="1" applyFont="1">
      <alignment readingOrder="0" vertical="top"/>
    </xf>
    <xf borderId="16" fillId="4" fontId="24" numFmtId="0" xfId="0" applyAlignment="1" applyBorder="1" applyFont="1">
      <alignment vertical="top"/>
    </xf>
    <xf borderId="0" fillId="4" fontId="23" numFmtId="0" xfId="0" applyAlignment="1" applyFont="1">
      <alignment readingOrder="0"/>
    </xf>
    <xf borderId="0" fillId="3" fontId="8" numFmtId="0" xfId="0" applyAlignment="1" applyFont="1">
      <alignment readingOrder="0"/>
    </xf>
    <xf borderId="4" fillId="0" fontId="2" numFmtId="164" xfId="0" applyAlignment="1" applyBorder="1" applyFont="1" applyNumberFormat="1">
      <alignment readingOrder="0"/>
    </xf>
    <xf borderId="4" fillId="3" fontId="2" numFmtId="164" xfId="0" applyAlignment="1" applyBorder="1" applyFont="1" applyNumberFormat="1">
      <alignment readingOrder="0"/>
    </xf>
    <xf borderId="0" fillId="4" fontId="25" numFmtId="0" xfId="0" applyAlignment="1" applyFont="1">
      <alignment readingOrder="0" vertical="bottom"/>
    </xf>
    <xf borderId="0" fillId="3" fontId="10" numFmtId="164" xfId="0" applyAlignment="1" applyFont="1" applyNumberFormat="1">
      <alignment readingOrder="0" vertical="bottom"/>
    </xf>
    <xf borderId="0" fillId="3" fontId="10" numFmtId="0" xfId="0" applyAlignment="1" applyFont="1">
      <alignment readingOrder="0" vertical="bottom"/>
    </xf>
    <xf borderId="2" fillId="2" fontId="3" numFmtId="0" xfId="0" applyBorder="1" applyFont="1"/>
    <xf borderId="13" fillId="0" fontId="10" numFmtId="0" xfId="0" applyAlignment="1" applyBorder="1" applyFont="1">
      <alignment readingOrder="0" vertical="bottom"/>
    </xf>
    <xf borderId="12" fillId="2" fontId="21" numFmtId="0" xfId="0" applyBorder="1" applyFont="1"/>
    <xf borderId="13" fillId="3" fontId="10" numFmtId="0" xfId="0" applyAlignment="1" applyBorder="1" applyFont="1">
      <alignment readingOrder="0" vertical="bottom"/>
    </xf>
    <xf borderId="4" fillId="0" fontId="10" numFmtId="0" xfId="0" applyAlignment="1" applyBorder="1" applyFont="1">
      <alignment readingOrder="0" vertical="bottom"/>
    </xf>
    <xf borderId="0" fillId="0" fontId="26" numFmtId="0" xfId="0" applyAlignment="1" applyFont="1">
      <alignment readingOrder="0"/>
    </xf>
    <xf borderId="0" fillId="0" fontId="19" numFmtId="0" xfId="0" applyAlignment="1" applyFont="1">
      <alignment horizontal="left" readingOrder="0"/>
    </xf>
    <xf borderId="0" fillId="0" fontId="2" numFmtId="167" xfId="0" applyAlignment="1" applyFont="1" applyNumberFormat="1">
      <alignment readingOrder="0"/>
    </xf>
    <xf borderId="0" fillId="0" fontId="2" numFmtId="0" xfId="0" applyAlignment="1" applyFont="1">
      <alignment shrinkToFit="0" wrapText="0"/>
    </xf>
    <xf borderId="4" fillId="2" fontId="3" numFmtId="0" xfId="0" applyAlignment="1" applyBorder="1" applyFont="1">
      <alignment readingOrder="0" shrinkToFit="0" wrapText="0"/>
    </xf>
    <xf borderId="0" fillId="0" fontId="12" numFmtId="0" xfId="0" applyAlignment="1" applyFont="1">
      <alignment readingOrder="0"/>
    </xf>
    <xf borderId="4" fillId="0" fontId="2" numFmtId="0" xfId="0" applyAlignment="1" applyBorder="1" applyFont="1">
      <alignment shrinkToFit="0" wrapText="0"/>
    </xf>
    <xf borderId="4" fillId="3" fontId="2" numFmtId="0" xfId="0" applyAlignment="1" applyBorder="1" applyFont="1">
      <alignment shrinkToFit="0" wrapText="0"/>
    </xf>
    <xf borderId="4" fillId="0" fontId="8" numFmtId="0" xfId="0" applyAlignment="1" applyBorder="1" applyFont="1">
      <alignment readingOrder="0" shrinkToFit="0" wrapText="0"/>
    </xf>
    <xf borderId="4" fillId="2" fontId="9" numFmtId="0" xfId="0" applyAlignment="1" applyBorder="1" applyFont="1">
      <alignment readingOrder="0" shrinkToFit="0" wrapText="0"/>
    </xf>
    <xf borderId="0" fillId="0" fontId="2" numFmtId="0" xfId="0" applyAlignment="1" applyFont="1">
      <alignment readingOrder="0" shrinkToFit="0" wrapText="0"/>
    </xf>
    <xf borderId="0" fillId="4" fontId="27" numFmtId="0" xfId="0" applyAlignment="1" applyFont="1">
      <alignment horizontal="left" readingOrder="0"/>
    </xf>
    <xf borderId="0" fillId="3" fontId="19" numFmtId="0" xfId="0" applyAlignment="1" applyFont="1">
      <alignment horizontal="left" readingOrder="0" shrinkToFit="0" wrapText="0"/>
    </xf>
    <xf borderId="0" fillId="3" fontId="2" numFmtId="0" xfId="0" applyAlignment="1" applyFont="1">
      <alignment shrinkToFit="0" wrapText="0"/>
    </xf>
    <xf borderId="0" fillId="0" fontId="3" numFmtId="0" xfId="0" applyAlignment="1" applyFont="1">
      <alignment horizontal="right" readingOrder="0" shrinkToFit="0" wrapText="0"/>
    </xf>
    <xf borderId="0" fillId="4" fontId="5" numFmtId="0" xfId="0" applyAlignment="1" applyFont="1">
      <alignment readingOrder="0"/>
    </xf>
    <xf borderId="13" fillId="2" fontId="7" numFmtId="0" xfId="0" applyAlignment="1" applyBorder="1" applyFont="1">
      <alignment readingOrder="0"/>
    </xf>
    <xf borderId="4" fillId="5" fontId="12" numFmtId="0" xfId="0" applyAlignment="1" applyBorder="1" applyFont="1">
      <alignment readingOrder="0"/>
    </xf>
    <xf borderId="4" fillId="4" fontId="2" numFmtId="0" xfId="0" applyAlignment="1" applyBorder="1" applyFont="1">
      <alignment readingOrder="0"/>
    </xf>
    <xf borderId="4" fillId="4" fontId="2" numFmtId="164" xfId="0" applyAlignment="1" applyBorder="1" applyFont="1" applyNumberFormat="1">
      <alignment readingOrder="0"/>
    </xf>
    <xf borderId="5" fillId="2" fontId="9" numFmtId="0" xfId="0" applyAlignment="1" applyBorder="1" applyFont="1">
      <alignment readingOrder="0"/>
    </xf>
    <xf borderId="0" fillId="4" fontId="9" numFmtId="0" xfId="0" applyFont="1"/>
    <xf borderId="0" fillId="3" fontId="10" numFmtId="164" xfId="0" applyAlignment="1" applyFont="1" applyNumberFormat="1">
      <alignment horizontal="right" vertical="bottom"/>
    </xf>
    <xf borderId="0" fillId="3" fontId="10" numFmtId="0" xfId="0" applyAlignment="1" applyFont="1">
      <alignment horizontal="right" vertical="bottom"/>
    </xf>
    <xf borderId="0" fillId="3" fontId="10" numFmtId="0" xfId="0" applyAlignment="1" applyFont="1">
      <alignment readingOrder="0" shrinkToFit="0" vertical="bottom" wrapText="0"/>
    </xf>
    <xf borderId="0" fillId="3" fontId="2" numFmtId="4" xfId="0" applyAlignment="1" applyFont="1" applyNumberFormat="1">
      <alignment readingOrder="0"/>
    </xf>
    <xf borderId="0" fillId="3" fontId="2" numFmtId="4" xfId="0" applyAlignment="1" applyFont="1" applyNumberFormat="1">
      <alignment readingOrder="0" shrinkToFit="0" wrapText="0"/>
    </xf>
    <xf borderId="0" fillId="0" fontId="2" numFmtId="3" xfId="0" applyAlignment="1" applyFont="1" applyNumberFormat="1">
      <alignment readingOrder="0"/>
    </xf>
    <xf borderId="0" fillId="5" fontId="2" numFmtId="164" xfId="0" applyAlignment="1" applyFont="1" applyNumberFormat="1">
      <alignment readingOrder="0"/>
    </xf>
    <xf borderId="6" fillId="2" fontId="10" numFmtId="0" xfId="0" applyAlignment="1" applyBorder="1" applyFont="1">
      <alignment vertical="bottom"/>
    </xf>
    <xf borderId="7" fillId="2" fontId="10" numFmtId="0" xfId="0" applyAlignment="1" applyBorder="1" applyFont="1">
      <alignment vertical="bottom"/>
    </xf>
    <xf borderId="4" fillId="0" fontId="28" numFmtId="0" xfId="0" applyAlignment="1" applyBorder="1" applyFont="1">
      <alignment readingOrder="0"/>
    </xf>
    <xf borderId="9" fillId="5" fontId="2" numFmtId="0" xfId="0" applyAlignment="1" applyBorder="1" applyFont="1">
      <alignment readingOrder="0"/>
    </xf>
    <xf borderId="4" fillId="0" fontId="29" numFmtId="0" xfId="0" applyAlignment="1" applyBorder="1" applyFont="1">
      <alignment readingOrder="0"/>
    </xf>
    <xf borderId="0" fillId="0" fontId="10" numFmtId="0" xfId="0" applyAlignment="1" applyFont="1">
      <alignment readingOrder="0" vertical="bottom"/>
    </xf>
    <xf borderId="0" fillId="0" fontId="2" numFmtId="0" xfId="0" applyAlignment="1" applyFont="1">
      <alignment readingOrder="0"/>
    </xf>
    <xf borderId="0" fillId="4" fontId="19" numFmtId="0" xfId="0" applyAlignment="1" applyFont="1">
      <alignment readingOrder="0"/>
    </xf>
    <xf borderId="0" fillId="5" fontId="2" numFmtId="164" xfId="0" applyFont="1" applyNumberFormat="1"/>
    <xf borderId="0" fillId="5" fontId="2" numFmtId="0" xfId="0" applyFont="1"/>
    <xf borderId="0" fillId="5" fontId="2" numFmtId="0" xfId="0" applyAlignment="1" applyFont="1">
      <alignment readingOrder="0"/>
    </xf>
    <xf borderId="0" fillId="5" fontId="10" numFmtId="0" xfId="0" applyAlignment="1" applyFont="1">
      <alignment vertical="bottom"/>
    </xf>
    <xf borderId="0" fillId="5" fontId="2" numFmtId="3" xfId="0" applyAlignment="1" applyFont="1" applyNumberFormat="1">
      <alignment readingOrder="0"/>
    </xf>
    <xf borderId="0" fillId="5" fontId="10" numFmtId="0" xfId="0" applyAlignment="1" applyFont="1">
      <alignment readingOrder="0" vertical="bottom"/>
    </xf>
    <xf borderId="0" fillId="3" fontId="30" numFmtId="0" xfId="0" applyAlignment="1" applyFont="1">
      <alignment readingOrder="0"/>
    </xf>
    <xf borderId="4" fillId="0" fontId="3" numFmtId="0" xfId="0" applyAlignment="1" applyBorder="1" applyFont="1">
      <alignment readingOrder="0"/>
    </xf>
    <xf borderId="9" fillId="3" fontId="12" numFmtId="0" xfId="0" applyAlignment="1" applyBorder="1" applyFont="1">
      <alignment readingOrder="0"/>
    </xf>
    <xf borderId="4" fillId="3" fontId="11" numFmtId="0" xfId="0" applyAlignment="1" applyBorder="1" applyFont="1">
      <alignment readingOrder="0"/>
    </xf>
    <xf borderId="4" fillId="0" fontId="2" numFmtId="167" xfId="0" applyAlignment="1" applyBorder="1" applyFont="1" applyNumberFormat="1">
      <alignment readingOrder="0"/>
    </xf>
    <xf borderId="4" fillId="4" fontId="11" numFmtId="0" xfId="0" applyAlignment="1" applyBorder="1" applyFont="1">
      <alignment readingOrder="0"/>
    </xf>
    <xf borderId="0" fillId="3" fontId="31" numFmtId="0" xfId="0" applyAlignment="1" applyFont="1">
      <alignment horizontal="left" readingOrder="0"/>
    </xf>
    <xf borderId="12" fillId="2" fontId="7" numFmtId="0" xfId="0" applyBorder="1" applyFont="1"/>
    <xf borderId="0" fillId="3"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cthel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V2:Y9" displayName="Magic_Item_Bank" name="Magic_Item_Bank" id="1">
  <tableColumns count="4">
    <tableColumn name="Magic Item Bank" id="1"/>
    <tableColumn name="Column 1" id="2"/>
    <tableColumn name="Column 2" id="3"/>
    <tableColumn name="Column 3" id="4"/>
  </tableColumns>
  <tableStyleInfo name="Ecthel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1.xml"/><Relationship Id="rId3"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2.xml"/><Relationship Id="rId3" Type="http://schemas.openxmlformats.org/officeDocument/2006/relationships/vmlDrawing" Target="../drawings/vmlDrawing7.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3.xml"/><Relationship Id="rId3"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4.xml"/><Relationship Id="rId3"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5.xml"/><Relationship Id="rId3"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7.xml"/><Relationship Id="rId3" Type="http://schemas.openxmlformats.org/officeDocument/2006/relationships/vmlDrawing" Target="../drawings/vmlDrawing11.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8.xml"/><Relationship Id="rId3"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7.5"/>
    <col customWidth="1" min="23" max="23" width="25.38"/>
    <col customWidth="1" min="24" max="24" width="25.63"/>
    <col customWidth="1" min="25" max="25" width="25.88"/>
  </cols>
  <sheetData>
    <row r="1">
      <c r="A1" s="1" t="s">
        <v>0</v>
      </c>
    </row>
    <row r="2">
      <c r="A2" s="2" t="s">
        <v>1</v>
      </c>
      <c r="B2" s="2" t="s">
        <v>2</v>
      </c>
      <c r="C2" s="3" t="s">
        <v>3</v>
      </c>
      <c r="D2" s="4" t="s">
        <v>4</v>
      </c>
      <c r="E2" s="5">
        <f>SUM(E11:E102)+1</f>
        <v>4</v>
      </c>
      <c r="F2" s="6"/>
      <c r="J2" s="7" t="s">
        <v>5</v>
      </c>
      <c r="K2" s="8" t="s">
        <v>6</v>
      </c>
      <c r="L2" s="8" t="s">
        <v>7</v>
      </c>
      <c r="M2" s="8" t="s">
        <v>8</v>
      </c>
      <c r="O2" s="9" t="s">
        <v>9</v>
      </c>
      <c r="P2" s="10"/>
      <c r="Q2" s="11"/>
      <c r="R2" s="11"/>
      <c r="S2" s="11"/>
      <c r="T2" s="12"/>
      <c r="V2" s="9" t="s">
        <v>10</v>
      </c>
      <c r="W2" s="13"/>
      <c r="X2" s="14"/>
    </row>
    <row r="3">
      <c r="A3" s="2" t="s">
        <v>11</v>
      </c>
      <c r="C3" s="15"/>
      <c r="D3" s="16" t="s">
        <v>12</v>
      </c>
      <c r="E3" s="17">
        <f>SUM(H11:H102)+15-SUM(I11:I102)</f>
        <v>265</v>
      </c>
      <c r="F3" s="18"/>
      <c r="K3" s="19"/>
      <c r="L3" s="20"/>
      <c r="M3" s="20"/>
      <c r="O3" s="21">
        <v>2.0</v>
      </c>
      <c r="P3" s="21" t="s">
        <v>13</v>
      </c>
      <c r="Q3" s="22"/>
      <c r="R3" s="22"/>
      <c r="S3" s="21"/>
      <c r="T3" s="21"/>
      <c r="V3" s="23" t="s">
        <v>14</v>
      </c>
      <c r="W3" s="24"/>
      <c r="X3" s="25"/>
    </row>
    <row r="4">
      <c r="C4" s="26"/>
      <c r="D4" s="27" t="s">
        <v>15</v>
      </c>
      <c r="E4" s="28">
        <f>SUM(F11:F102)-SUM(G11:G102)</f>
        <v>5</v>
      </c>
      <c r="F4" s="29"/>
      <c r="K4" s="30"/>
      <c r="L4" s="31"/>
      <c r="M4" s="31"/>
      <c r="O4" s="32">
        <v>1.0</v>
      </c>
      <c r="P4" s="32" t="s">
        <v>16</v>
      </c>
      <c r="Q4" s="32"/>
      <c r="R4" s="32"/>
      <c r="S4" s="31"/>
      <c r="T4" s="31"/>
      <c r="V4" s="33"/>
      <c r="W4" s="30"/>
      <c r="X4" s="31"/>
    </row>
    <row r="5">
      <c r="K5" s="34"/>
      <c r="L5" s="20"/>
      <c r="M5" s="20"/>
      <c r="O5" s="35"/>
      <c r="P5" s="35"/>
      <c r="Q5" s="35"/>
      <c r="R5" s="35"/>
      <c r="S5" s="20"/>
      <c r="T5" s="20"/>
      <c r="V5" s="34"/>
      <c r="W5" s="20"/>
      <c r="X5" s="20"/>
    </row>
    <row r="6">
      <c r="M6" s="31"/>
      <c r="O6" s="32"/>
      <c r="P6" s="32"/>
      <c r="Q6" s="32"/>
      <c r="R6" s="32"/>
      <c r="S6" s="31"/>
      <c r="T6" s="31"/>
      <c r="V6" s="33"/>
      <c r="W6" s="31"/>
      <c r="X6" s="31"/>
    </row>
    <row r="7">
      <c r="O7" s="35"/>
      <c r="P7" s="35"/>
      <c r="Q7" s="36"/>
      <c r="R7" s="36"/>
      <c r="S7" s="20"/>
      <c r="T7" s="20"/>
      <c r="V7" s="34"/>
      <c r="W7" s="20"/>
      <c r="X7" s="20"/>
    </row>
    <row r="8">
      <c r="J8" s="7" t="s">
        <v>17</v>
      </c>
      <c r="K8" s="19"/>
      <c r="L8" s="34"/>
      <c r="M8" s="20"/>
      <c r="O8" s="32"/>
      <c r="P8" s="32"/>
      <c r="Q8" s="32"/>
      <c r="R8" s="32"/>
      <c r="S8" s="31"/>
      <c r="T8" s="31"/>
      <c r="V8" s="33"/>
      <c r="W8" s="31"/>
      <c r="X8" s="31"/>
    </row>
    <row r="9">
      <c r="O9" s="35"/>
      <c r="P9" s="35"/>
      <c r="Q9" s="35"/>
      <c r="R9" s="35"/>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39">
        <v>44828.0</v>
      </c>
      <c r="B11" s="2" t="s">
        <v>31</v>
      </c>
      <c r="C11" s="2" t="s">
        <v>32</v>
      </c>
      <c r="D11" s="2" t="s">
        <v>33</v>
      </c>
      <c r="E11" s="2">
        <v>1.0</v>
      </c>
      <c r="F11" s="2">
        <v>10.0</v>
      </c>
    </row>
    <row r="12">
      <c r="A12" s="39">
        <v>44842.0</v>
      </c>
      <c r="C12" s="2" t="s">
        <v>34</v>
      </c>
      <c r="E12" s="2">
        <v>1.0</v>
      </c>
      <c r="G12" s="2">
        <v>10.0</v>
      </c>
    </row>
    <row r="13">
      <c r="A13" s="39">
        <v>44842.0</v>
      </c>
      <c r="B13" s="2" t="s">
        <v>35</v>
      </c>
      <c r="C13" s="2" t="s">
        <v>36</v>
      </c>
      <c r="D13" s="2" t="s">
        <v>37</v>
      </c>
      <c r="E13" s="2">
        <v>1.0</v>
      </c>
      <c r="F13" s="2">
        <v>10.0</v>
      </c>
      <c r="H13" s="2">
        <v>250.0</v>
      </c>
      <c r="J13" s="2" t="s">
        <v>38</v>
      </c>
      <c r="K13" s="2" t="s">
        <v>39</v>
      </c>
    </row>
    <row r="14">
      <c r="A14" s="39">
        <v>44842.0</v>
      </c>
      <c r="C14" s="2" t="s">
        <v>40</v>
      </c>
      <c r="G14" s="2">
        <v>5.0</v>
      </c>
      <c r="J14" s="2" t="s">
        <v>14</v>
      </c>
      <c r="M14" s="2" t="s">
        <v>41</v>
      </c>
    </row>
    <row r="15">
      <c r="A15" s="39"/>
    </row>
    <row r="16">
      <c r="A16" s="40"/>
      <c r="B16" s="41"/>
      <c r="C16" s="41"/>
      <c r="D16" s="41"/>
      <c r="E16" s="41"/>
      <c r="F16" s="41"/>
      <c r="G16" s="41"/>
      <c r="H16" s="41"/>
      <c r="I16" s="41"/>
      <c r="J16" s="41"/>
      <c r="K16" s="41"/>
      <c r="L16" s="42"/>
      <c r="M16" s="42"/>
      <c r="N16" s="41"/>
      <c r="O16" s="42"/>
      <c r="P16" s="42"/>
      <c r="Q16" s="42"/>
      <c r="R16" s="42"/>
      <c r="S16" s="42"/>
      <c r="T16" s="42"/>
      <c r="U16" s="42"/>
      <c r="V16" s="42"/>
      <c r="W16" s="42"/>
      <c r="X16" s="42"/>
      <c r="Y16" s="42"/>
      <c r="Z16" s="42"/>
      <c r="AA16" s="42"/>
      <c r="AB16" s="42"/>
      <c r="AC16" s="42"/>
      <c r="AD16" s="42"/>
    </row>
    <row r="17">
      <c r="A17" s="40"/>
      <c r="B17" s="42"/>
      <c r="C17" s="41"/>
      <c r="D17" s="41"/>
      <c r="E17" s="42"/>
      <c r="F17" s="42"/>
      <c r="G17" s="42"/>
      <c r="H17" s="41"/>
      <c r="I17" s="42"/>
      <c r="J17" s="42"/>
      <c r="K17" s="41"/>
      <c r="L17" s="42"/>
      <c r="M17" s="42"/>
      <c r="N17" s="41"/>
      <c r="O17" s="42"/>
      <c r="P17" s="42"/>
      <c r="Q17" s="42"/>
      <c r="R17" s="42"/>
      <c r="S17" s="42"/>
      <c r="T17" s="42"/>
      <c r="U17" s="42"/>
      <c r="V17" s="42"/>
      <c r="W17" s="42"/>
      <c r="X17" s="42"/>
      <c r="Y17" s="42"/>
      <c r="Z17" s="42"/>
      <c r="AA17" s="42"/>
      <c r="AB17" s="42"/>
      <c r="AC17" s="42"/>
      <c r="AD17" s="42"/>
    </row>
    <row r="18">
      <c r="A18" s="40"/>
      <c r="B18" s="43"/>
      <c r="C18" s="41"/>
      <c r="D18" s="41"/>
      <c r="E18" s="41"/>
      <c r="F18" s="41"/>
      <c r="G18" s="41"/>
      <c r="H18" s="42"/>
      <c r="I18" s="41"/>
      <c r="J18" s="42"/>
      <c r="K18" s="42"/>
      <c r="L18" s="42"/>
      <c r="M18" s="42"/>
      <c r="N18" s="42"/>
      <c r="O18" s="42"/>
      <c r="P18" s="42"/>
      <c r="Q18" s="42"/>
      <c r="R18" s="42"/>
      <c r="S18" s="42"/>
      <c r="T18" s="42"/>
      <c r="U18" s="42"/>
      <c r="V18" s="42"/>
      <c r="W18" s="42"/>
      <c r="X18" s="42"/>
      <c r="Y18" s="42"/>
      <c r="Z18" s="42"/>
      <c r="AA18" s="42"/>
      <c r="AB18" s="42"/>
      <c r="AC18" s="42"/>
      <c r="AD18" s="42"/>
    </row>
    <row r="19">
      <c r="A19" s="40"/>
      <c r="B19" s="41"/>
      <c r="C19" s="41"/>
      <c r="D19" s="41"/>
      <c r="E19" s="41"/>
      <c r="F19" s="41"/>
      <c r="G19" s="41"/>
      <c r="H19" s="42"/>
      <c r="I19" s="41"/>
      <c r="J19" s="42"/>
      <c r="K19" s="41"/>
      <c r="L19" s="42"/>
      <c r="M19" s="42"/>
      <c r="N19" s="42"/>
      <c r="O19" s="42"/>
      <c r="P19" s="42"/>
      <c r="Q19" s="42"/>
      <c r="R19" s="42"/>
      <c r="S19" s="42"/>
      <c r="T19" s="42"/>
      <c r="U19" s="42"/>
      <c r="V19" s="42"/>
      <c r="W19" s="42"/>
      <c r="X19" s="42"/>
      <c r="Y19" s="42"/>
      <c r="Z19" s="42"/>
      <c r="AA19" s="42"/>
      <c r="AB19" s="42"/>
      <c r="AC19" s="42"/>
      <c r="AD19" s="42"/>
    </row>
    <row r="20">
      <c r="A20" s="40"/>
      <c r="B20" s="42"/>
      <c r="C20" s="41"/>
      <c r="D20" s="42"/>
      <c r="E20" s="42"/>
      <c r="F20" s="42"/>
      <c r="G20" s="42"/>
      <c r="H20" s="41"/>
      <c r="I20" s="42"/>
      <c r="J20" s="42"/>
      <c r="K20" s="41"/>
      <c r="L20" s="42"/>
      <c r="M20" s="42"/>
      <c r="N20" s="41"/>
      <c r="O20" s="42"/>
      <c r="P20" s="42"/>
      <c r="Q20" s="42"/>
      <c r="R20" s="42"/>
      <c r="S20" s="42"/>
      <c r="T20" s="42"/>
      <c r="U20" s="42"/>
      <c r="V20" s="42"/>
      <c r="W20" s="42"/>
      <c r="X20" s="42"/>
      <c r="Y20" s="42"/>
      <c r="Z20" s="42"/>
      <c r="AA20" s="42"/>
      <c r="AB20" s="42"/>
      <c r="AC20" s="42"/>
      <c r="AD20" s="42"/>
    </row>
    <row r="2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6.63"/>
    <col customWidth="1" min="23" max="23" width="25.38"/>
    <col customWidth="1" min="24" max="24" width="25.63"/>
    <col customWidth="1" min="25" max="25" width="25.88"/>
  </cols>
  <sheetData>
    <row r="1">
      <c r="A1" s="1" t="s">
        <v>42</v>
      </c>
    </row>
    <row r="2">
      <c r="A2" s="2" t="s">
        <v>43</v>
      </c>
      <c r="B2" s="2" t="s">
        <v>44</v>
      </c>
      <c r="C2" s="3" t="s">
        <v>3</v>
      </c>
      <c r="D2" s="4" t="s">
        <v>4</v>
      </c>
      <c r="E2" s="5">
        <f>SUM(E11:E101)+1</f>
        <v>4</v>
      </c>
      <c r="F2" s="6"/>
      <c r="J2" s="7" t="s">
        <v>5</v>
      </c>
      <c r="K2" s="8" t="s">
        <v>6</v>
      </c>
      <c r="L2" s="8" t="s">
        <v>7</v>
      </c>
      <c r="M2" s="8" t="s">
        <v>8</v>
      </c>
      <c r="O2" s="9" t="s">
        <v>9</v>
      </c>
      <c r="P2" s="10"/>
      <c r="Q2" s="11"/>
      <c r="R2" s="11"/>
      <c r="S2" s="11"/>
      <c r="T2" s="12"/>
      <c r="V2" s="9" t="s">
        <v>10</v>
      </c>
      <c r="W2" s="13"/>
      <c r="X2" s="14"/>
    </row>
    <row r="3">
      <c r="A3" s="2" t="s">
        <v>45</v>
      </c>
      <c r="C3" s="15"/>
      <c r="D3" s="16" t="s">
        <v>12</v>
      </c>
      <c r="E3" s="17">
        <f>SUM(H11:H101)+15-SUM(I11:I101)</f>
        <v>601</v>
      </c>
      <c r="F3" s="18"/>
      <c r="K3" s="19"/>
      <c r="L3" s="20"/>
      <c r="M3" s="20"/>
      <c r="O3" s="21">
        <v>1.0</v>
      </c>
      <c r="P3" s="21" t="s">
        <v>46</v>
      </c>
      <c r="Q3" s="22"/>
      <c r="R3" s="22"/>
      <c r="S3" s="21"/>
      <c r="T3" s="21"/>
      <c r="V3" s="44"/>
      <c r="W3" s="24" t="s">
        <v>47</v>
      </c>
      <c r="X3" s="25"/>
    </row>
    <row r="4">
      <c r="C4" s="26"/>
      <c r="D4" s="27" t="s">
        <v>15</v>
      </c>
      <c r="E4" s="28">
        <f>SUM(F11:F101)-SUM(G11:G101)</f>
        <v>60</v>
      </c>
      <c r="F4" s="29"/>
      <c r="K4" s="30"/>
      <c r="L4" s="31"/>
      <c r="M4" s="31"/>
      <c r="O4" s="32">
        <v>2.0</v>
      </c>
      <c r="P4" s="32" t="s">
        <v>13</v>
      </c>
      <c r="Q4" s="32"/>
      <c r="R4" s="32"/>
      <c r="S4" s="31"/>
      <c r="T4" s="31"/>
      <c r="V4" s="33"/>
      <c r="W4" s="30" t="s">
        <v>48</v>
      </c>
      <c r="X4" s="31"/>
    </row>
    <row r="5">
      <c r="K5" s="34"/>
      <c r="L5" s="20"/>
      <c r="M5" s="20"/>
      <c r="O5" s="35">
        <v>1.0</v>
      </c>
      <c r="P5" s="35" t="s">
        <v>49</v>
      </c>
      <c r="Q5" s="35"/>
      <c r="R5" s="35"/>
      <c r="S5" s="20"/>
      <c r="T5" s="20"/>
      <c r="V5" s="34"/>
      <c r="W5" s="34" t="s">
        <v>50</v>
      </c>
      <c r="X5" s="20"/>
    </row>
    <row r="6">
      <c r="M6" s="31"/>
      <c r="O6" s="32">
        <v>1.0</v>
      </c>
      <c r="P6" s="32" t="s">
        <v>51</v>
      </c>
      <c r="Q6" s="32"/>
      <c r="R6" s="32"/>
      <c r="S6" s="31"/>
      <c r="T6" s="31"/>
      <c r="V6" s="33"/>
      <c r="W6" s="31"/>
      <c r="X6" s="31"/>
    </row>
    <row r="7">
      <c r="O7" s="35">
        <v>1.0</v>
      </c>
      <c r="P7" s="35" t="s">
        <v>52</v>
      </c>
      <c r="Q7" s="36"/>
      <c r="R7" s="36"/>
      <c r="S7" s="20"/>
      <c r="T7" s="20"/>
      <c r="V7" s="34"/>
      <c r="W7" s="20"/>
      <c r="X7" s="20"/>
    </row>
    <row r="8">
      <c r="J8" s="7" t="s">
        <v>17</v>
      </c>
      <c r="K8" s="19"/>
      <c r="L8" s="34"/>
      <c r="M8" s="20"/>
      <c r="O8" s="32">
        <v>1.0</v>
      </c>
      <c r="P8" s="32" t="s">
        <v>53</v>
      </c>
      <c r="Q8" s="32"/>
      <c r="R8" s="32"/>
      <c r="S8" s="31"/>
      <c r="T8" s="31"/>
      <c r="V8" s="33"/>
      <c r="W8" s="31"/>
      <c r="X8" s="31"/>
    </row>
    <row r="9">
      <c r="O9" s="35"/>
      <c r="P9" s="35"/>
      <c r="Q9" s="35"/>
      <c r="R9" s="35"/>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39"/>
      <c r="C11" s="2" t="s">
        <v>54</v>
      </c>
      <c r="E11" s="2">
        <v>3.0</v>
      </c>
      <c r="F11" s="2">
        <v>30.0</v>
      </c>
      <c r="K11" s="2" t="s">
        <v>55</v>
      </c>
    </row>
    <row r="12">
      <c r="A12" s="39">
        <v>44530.0</v>
      </c>
      <c r="B12" s="2" t="s">
        <v>56</v>
      </c>
      <c r="C12" s="2" t="s">
        <v>57</v>
      </c>
      <c r="D12" s="2" t="s">
        <v>58</v>
      </c>
      <c r="F12" s="2">
        <v>10.0</v>
      </c>
    </row>
    <row r="13">
      <c r="A13" s="39">
        <v>44578.0</v>
      </c>
      <c r="B13" s="2" t="s">
        <v>56</v>
      </c>
      <c r="C13" s="2" t="s">
        <v>59</v>
      </c>
      <c r="D13" s="2" t="s">
        <v>58</v>
      </c>
      <c r="F13" s="2">
        <v>10.0</v>
      </c>
      <c r="H13" s="2">
        <v>451.0</v>
      </c>
      <c r="J13" s="2" t="s">
        <v>50</v>
      </c>
      <c r="K13" s="2" t="s">
        <v>60</v>
      </c>
    </row>
    <row r="14">
      <c r="A14" s="39">
        <v>44235.0</v>
      </c>
      <c r="B14" s="2" t="s">
        <v>56</v>
      </c>
      <c r="C14" s="2" t="s">
        <v>59</v>
      </c>
      <c r="D14" s="2" t="s">
        <v>58</v>
      </c>
      <c r="F14" s="2">
        <v>10.0</v>
      </c>
      <c r="H14" s="2">
        <v>135.0</v>
      </c>
      <c r="J14" s="2" t="s">
        <v>61</v>
      </c>
      <c r="K14" s="2" t="s">
        <v>62</v>
      </c>
    </row>
    <row r="15">
      <c r="A15" s="40"/>
      <c r="B15" s="41"/>
      <c r="C15" s="41"/>
      <c r="D15" s="41"/>
      <c r="E15" s="41"/>
      <c r="F15" s="41"/>
      <c r="G15" s="41"/>
      <c r="H15" s="41"/>
      <c r="I15" s="41"/>
      <c r="J15" s="41"/>
      <c r="K15" s="41"/>
      <c r="L15" s="42"/>
      <c r="M15" s="42"/>
      <c r="N15" s="41"/>
      <c r="O15" s="42"/>
      <c r="P15" s="42"/>
      <c r="Q15" s="42"/>
      <c r="R15" s="42"/>
      <c r="S15" s="42"/>
      <c r="T15" s="42"/>
      <c r="U15" s="42"/>
      <c r="V15" s="42"/>
      <c r="W15" s="42"/>
      <c r="X15" s="42"/>
      <c r="Y15" s="42"/>
      <c r="Z15" s="42"/>
      <c r="AA15" s="42"/>
      <c r="AB15" s="42"/>
      <c r="AC15" s="42"/>
      <c r="AD15" s="42"/>
    </row>
    <row r="16">
      <c r="A16" s="40"/>
      <c r="B16" s="42"/>
      <c r="C16" s="41"/>
      <c r="D16" s="41"/>
      <c r="E16" s="42"/>
      <c r="F16" s="42"/>
      <c r="G16" s="42"/>
      <c r="H16" s="41"/>
      <c r="I16" s="42"/>
      <c r="J16" s="42"/>
      <c r="K16" s="41"/>
      <c r="L16" s="42"/>
      <c r="M16" s="42"/>
      <c r="N16" s="41"/>
      <c r="O16" s="42"/>
      <c r="P16" s="42"/>
      <c r="Q16" s="42"/>
      <c r="R16" s="42"/>
      <c r="S16" s="42"/>
      <c r="T16" s="42"/>
      <c r="U16" s="42"/>
      <c r="V16" s="42"/>
      <c r="W16" s="42"/>
      <c r="X16" s="42"/>
      <c r="Y16" s="42"/>
      <c r="Z16" s="42"/>
      <c r="AA16" s="42"/>
      <c r="AB16" s="42"/>
      <c r="AC16" s="42"/>
      <c r="AD16" s="42"/>
    </row>
    <row r="17">
      <c r="A17" s="40"/>
      <c r="B17" s="43"/>
      <c r="C17" s="41"/>
      <c r="D17" s="41"/>
      <c r="E17" s="41"/>
      <c r="F17" s="41"/>
      <c r="G17" s="41"/>
      <c r="H17" s="42"/>
      <c r="I17" s="41"/>
      <c r="J17" s="42"/>
      <c r="K17" s="42"/>
      <c r="L17" s="42"/>
      <c r="M17" s="42"/>
      <c r="N17" s="42"/>
      <c r="O17" s="42"/>
      <c r="P17" s="42"/>
      <c r="Q17" s="42"/>
      <c r="R17" s="42"/>
      <c r="S17" s="42"/>
      <c r="T17" s="42"/>
      <c r="U17" s="42"/>
      <c r="V17" s="42"/>
      <c r="W17" s="42"/>
      <c r="X17" s="42"/>
      <c r="Y17" s="42"/>
      <c r="Z17" s="42"/>
      <c r="AA17" s="42"/>
      <c r="AB17" s="42"/>
      <c r="AC17" s="42"/>
      <c r="AD17" s="42"/>
    </row>
    <row r="18">
      <c r="A18" s="40"/>
      <c r="B18" s="41"/>
      <c r="C18" s="41"/>
      <c r="D18" s="41"/>
      <c r="E18" s="41"/>
      <c r="F18" s="41"/>
      <c r="G18" s="41"/>
      <c r="H18" s="42"/>
      <c r="I18" s="41"/>
      <c r="J18" s="42"/>
      <c r="K18" s="41"/>
      <c r="L18" s="42"/>
      <c r="M18" s="42"/>
      <c r="N18" s="42"/>
      <c r="O18" s="42"/>
      <c r="P18" s="42"/>
      <c r="Q18" s="42"/>
      <c r="R18" s="42"/>
      <c r="S18" s="42"/>
      <c r="T18" s="42"/>
      <c r="U18" s="42"/>
      <c r="V18" s="42"/>
      <c r="W18" s="42"/>
      <c r="X18" s="42"/>
      <c r="Y18" s="42"/>
      <c r="Z18" s="42"/>
      <c r="AA18" s="42"/>
      <c r="AB18" s="42"/>
      <c r="AC18" s="42"/>
      <c r="AD18" s="42"/>
    </row>
    <row r="19">
      <c r="A19" s="40"/>
      <c r="B19" s="42"/>
      <c r="C19" s="41"/>
      <c r="D19" s="42"/>
      <c r="E19" s="42"/>
      <c r="F19" s="42"/>
      <c r="G19" s="42"/>
      <c r="H19" s="41"/>
      <c r="I19" s="42"/>
      <c r="J19" s="42"/>
      <c r="K19" s="41"/>
      <c r="L19" s="42"/>
      <c r="M19" s="42"/>
      <c r="N19" s="41"/>
      <c r="O19" s="42"/>
      <c r="P19" s="42"/>
      <c r="Q19" s="42"/>
      <c r="R19" s="42"/>
      <c r="S19" s="42"/>
      <c r="T19" s="42"/>
      <c r="U19" s="42"/>
      <c r="V19" s="42"/>
      <c r="W19" s="42"/>
      <c r="X19" s="42"/>
      <c r="Y19" s="42"/>
      <c r="Z19" s="42"/>
      <c r="AA19" s="42"/>
      <c r="AB19" s="42"/>
      <c r="AC19" s="42"/>
      <c r="AD19" s="42"/>
    </row>
    <row r="20">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7.5"/>
    <col customWidth="1" min="23" max="23" width="29.63"/>
    <col customWidth="1" min="24" max="24" width="32.88"/>
    <col customWidth="1" min="25" max="25" width="25.88"/>
  </cols>
  <sheetData>
    <row r="1">
      <c r="A1" s="1" t="s">
        <v>63</v>
      </c>
    </row>
    <row r="2">
      <c r="A2" s="2" t="s">
        <v>64</v>
      </c>
      <c r="B2" s="2" t="s">
        <v>65</v>
      </c>
      <c r="C2" s="3" t="s">
        <v>3</v>
      </c>
      <c r="D2" s="4" t="s">
        <v>4</v>
      </c>
      <c r="E2" s="5">
        <f>SUM(E11:E102)+1</f>
        <v>7</v>
      </c>
      <c r="F2" s="6"/>
      <c r="J2" s="7" t="s">
        <v>5</v>
      </c>
      <c r="K2" s="8" t="s">
        <v>6</v>
      </c>
      <c r="L2" s="8" t="s">
        <v>7</v>
      </c>
      <c r="M2" s="8" t="s">
        <v>8</v>
      </c>
      <c r="O2" s="9" t="s">
        <v>9</v>
      </c>
      <c r="P2" s="10"/>
      <c r="Q2" s="11"/>
      <c r="R2" s="11"/>
      <c r="S2" s="11"/>
      <c r="T2" s="12"/>
      <c r="V2" s="45" t="s">
        <v>10</v>
      </c>
      <c r="W2" s="46" t="s">
        <v>66</v>
      </c>
      <c r="X2" s="46" t="s">
        <v>67</v>
      </c>
      <c r="Y2" s="47" t="s">
        <v>68</v>
      </c>
    </row>
    <row r="3">
      <c r="A3" s="2" t="s">
        <v>69</v>
      </c>
      <c r="C3" s="15"/>
      <c r="D3" s="16" t="s">
        <v>12</v>
      </c>
      <c r="E3" s="17">
        <f>SUM(H11:H102)+15-SUM(I11:I102)</f>
        <v>4965</v>
      </c>
      <c r="F3" s="18"/>
      <c r="K3" s="48" t="s">
        <v>70</v>
      </c>
      <c r="L3" s="20"/>
      <c r="M3" s="20"/>
      <c r="O3" s="21">
        <v>2.0</v>
      </c>
      <c r="P3" s="21" t="s">
        <v>71</v>
      </c>
      <c r="Q3" s="22">
        <v>1.0</v>
      </c>
      <c r="R3" s="22" t="s">
        <v>72</v>
      </c>
      <c r="S3" s="21"/>
      <c r="T3" s="21"/>
      <c r="V3" s="49" t="s">
        <v>73</v>
      </c>
      <c r="W3" s="50" t="s">
        <v>74</v>
      </c>
      <c r="X3" s="51" t="s">
        <v>75</v>
      </c>
      <c r="Y3" s="52" t="s">
        <v>76</v>
      </c>
    </row>
    <row r="4">
      <c r="C4" s="26"/>
      <c r="D4" s="27" t="s">
        <v>15</v>
      </c>
      <c r="E4" s="28">
        <f>SUM(F11:F102)-SUM(G11:G102)</f>
        <v>33</v>
      </c>
      <c r="F4" s="29"/>
      <c r="K4" s="53" t="s">
        <v>77</v>
      </c>
      <c r="L4" s="31"/>
      <c r="M4" s="31"/>
      <c r="O4" s="32">
        <v>1.0</v>
      </c>
      <c r="P4" s="32" t="s">
        <v>78</v>
      </c>
      <c r="Q4" s="32">
        <v>1.0</v>
      </c>
      <c r="R4" s="32" t="s">
        <v>79</v>
      </c>
      <c r="S4" s="31"/>
      <c r="T4" s="31"/>
      <c r="V4" s="49" t="s">
        <v>80</v>
      </c>
      <c r="W4" s="54" t="s">
        <v>81</v>
      </c>
      <c r="X4" s="55" t="s">
        <v>82</v>
      </c>
    </row>
    <row r="5">
      <c r="K5" s="56" t="s">
        <v>83</v>
      </c>
      <c r="L5" s="20"/>
      <c r="M5" s="20"/>
      <c r="O5" s="35">
        <v>1.0</v>
      </c>
      <c r="P5" s="35" t="s">
        <v>84</v>
      </c>
      <c r="Q5" s="35"/>
      <c r="R5" s="35"/>
      <c r="S5" s="20"/>
      <c r="T5" s="20"/>
      <c r="V5" s="49" t="s">
        <v>85</v>
      </c>
      <c r="W5" s="54" t="s">
        <v>86</v>
      </c>
      <c r="X5" s="51" t="s">
        <v>87</v>
      </c>
      <c r="Y5" s="54" t="s">
        <v>88</v>
      </c>
    </row>
    <row r="6">
      <c r="K6" s="57"/>
      <c r="L6" s="58"/>
      <c r="M6" s="31"/>
      <c r="O6" s="32">
        <v>1.0</v>
      </c>
      <c r="P6" s="32" t="s">
        <v>89</v>
      </c>
      <c r="Q6" s="32"/>
      <c r="R6" s="32"/>
      <c r="S6" s="31"/>
      <c r="T6" s="31"/>
      <c r="W6" s="54" t="s">
        <v>90</v>
      </c>
      <c r="X6" s="51" t="s">
        <v>91</v>
      </c>
      <c r="Y6" s="54" t="s">
        <v>92</v>
      </c>
    </row>
    <row r="7">
      <c r="K7" s="2" t="s">
        <v>93</v>
      </c>
      <c r="L7" s="2" t="s">
        <v>73</v>
      </c>
      <c r="O7" s="35">
        <v>0.0</v>
      </c>
      <c r="P7" s="35" t="s">
        <v>13</v>
      </c>
      <c r="Q7" s="36"/>
      <c r="R7" s="36"/>
      <c r="S7" s="20"/>
      <c r="T7" s="20"/>
      <c r="W7" s="54" t="s">
        <v>94</v>
      </c>
      <c r="X7" s="51" t="s">
        <v>95</v>
      </c>
      <c r="Y7" s="54" t="s">
        <v>96</v>
      </c>
    </row>
    <row r="8">
      <c r="J8" s="7" t="s">
        <v>17</v>
      </c>
      <c r="K8" s="56" t="s">
        <v>97</v>
      </c>
      <c r="L8" s="34" t="s">
        <v>98</v>
      </c>
      <c r="M8" s="34" t="s">
        <v>99</v>
      </c>
      <c r="O8" s="32">
        <v>1.0</v>
      </c>
      <c r="P8" s="32" t="s">
        <v>100</v>
      </c>
      <c r="Q8" s="32"/>
      <c r="R8" s="32"/>
      <c r="S8" s="31"/>
      <c r="T8" s="31"/>
      <c r="W8" s="54" t="s">
        <v>101</v>
      </c>
      <c r="X8" s="51" t="s">
        <v>102</v>
      </c>
      <c r="Y8" s="54" t="s">
        <v>103</v>
      </c>
    </row>
    <row r="9">
      <c r="O9" s="35">
        <v>1.0</v>
      </c>
      <c r="P9" s="35" t="s">
        <v>104</v>
      </c>
      <c r="Q9" s="35"/>
      <c r="R9" s="35"/>
      <c r="S9" s="20"/>
      <c r="T9" s="20"/>
      <c r="V9" s="54" t="s">
        <v>105</v>
      </c>
      <c r="W9" s="54" t="s">
        <v>106</v>
      </c>
      <c r="X9" s="54" t="s">
        <v>107</v>
      </c>
      <c r="Y9" s="54" t="s">
        <v>108</v>
      </c>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2"/>
      <c r="W10" s="59"/>
      <c r="X10" s="59"/>
      <c r="Y10" s="59"/>
      <c r="Z10" s="38"/>
      <c r="AA10" s="38"/>
      <c r="AB10" s="38"/>
      <c r="AC10" s="38"/>
      <c r="AD10" s="38"/>
    </row>
    <row r="11">
      <c r="A11" s="39">
        <v>45860.0</v>
      </c>
      <c r="B11" s="2" t="s">
        <v>109</v>
      </c>
      <c r="C11" s="2" t="s">
        <v>110</v>
      </c>
      <c r="D11" s="2" t="s">
        <v>111</v>
      </c>
      <c r="E11" s="2">
        <v>2.0</v>
      </c>
      <c r="F11" s="2">
        <v>10.0</v>
      </c>
      <c r="H11" s="2">
        <v>512.0</v>
      </c>
      <c r="I11" s="2">
        <v>490.0</v>
      </c>
      <c r="J11" s="2" t="s">
        <v>112</v>
      </c>
      <c r="K11" s="2" t="s">
        <v>113</v>
      </c>
      <c r="L11" s="2" t="s">
        <v>114</v>
      </c>
      <c r="M11" s="2" t="s">
        <v>115</v>
      </c>
    </row>
    <row r="12">
      <c r="A12" s="39">
        <v>45874.0</v>
      </c>
      <c r="B12" s="2" t="s">
        <v>116</v>
      </c>
      <c r="C12" s="2" t="s">
        <v>117</v>
      </c>
      <c r="D12" s="2" t="s">
        <v>111</v>
      </c>
      <c r="E12" s="2">
        <v>1.0</v>
      </c>
      <c r="F12" s="2">
        <v>10.0</v>
      </c>
      <c r="H12" s="2">
        <v>151.0</v>
      </c>
      <c r="J12" s="2" t="s">
        <v>118</v>
      </c>
      <c r="K12" s="2" t="s">
        <v>119</v>
      </c>
    </row>
    <row r="13">
      <c r="A13" s="39">
        <v>45881.0</v>
      </c>
      <c r="B13" s="2" t="s">
        <v>120</v>
      </c>
      <c r="C13" s="2" t="s">
        <v>121</v>
      </c>
      <c r="D13" s="2" t="s">
        <v>111</v>
      </c>
      <c r="E13" s="2">
        <v>1.0</v>
      </c>
      <c r="F13" s="2">
        <v>10.0</v>
      </c>
      <c r="H13" s="2">
        <v>262.0</v>
      </c>
      <c r="I13" s="2">
        <v>200.0</v>
      </c>
      <c r="J13" s="2" t="s">
        <v>122</v>
      </c>
      <c r="K13" s="60" t="s">
        <v>123</v>
      </c>
      <c r="M13" s="2" t="s">
        <v>124</v>
      </c>
      <c r="N13" s="61" t="s">
        <v>125</v>
      </c>
    </row>
    <row r="14">
      <c r="A14" s="40">
        <v>45881.0</v>
      </c>
      <c r="B14" s="42"/>
      <c r="C14" s="41" t="s">
        <v>126</v>
      </c>
      <c r="D14" s="42"/>
      <c r="E14" s="42"/>
      <c r="F14" s="42"/>
      <c r="G14" s="41"/>
      <c r="H14" s="41"/>
      <c r="I14" s="41"/>
      <c r="J14" s="41"/>
      <c r="K14" s="62"/>
      <c r="L14" s="42"/>
      <c r="M14" s="41" t="s">
        <v>127</v>
      </c>
      <c r="N14" s="42"/>
      <c r="O14" s="42"/>
      <c r="P14" s="42"/>
      <c r="Q14" s="42"/>
      <c r="R14" s="42"/>
      <c r="S14" s="42"/>
      <c r="T14" s="42"/>
      <c r="U14" s="42"/>
      <c r="V14" s="41"/>
      <c r="W14" s="42"/>
      <c r="X14" s="42"/>
      <c r="Y14" s="42"/>
      <c r="Z14" s="42"/>
      <c r="AA14" s="42"/>
      <c r="AB14" s="42"/>
      <c r="AC14" s="42"/>
      <c r="AD14" s="42"/>
    </row>
    <row r="15">
      <c r="A15" s="40">
        <v>45882.0</v>
      </c>
      <c r="B15" s="42"/>
      <c r="C15" s="41" t="s">
        <v>128</v>
      </c>
      <c r="D15" s="42"/>
      <c r="E15" s="42"/>
      <c r="F15" s="42"/>
      <c r="G15" s="41">
        <v>2.0</v>
      </c>
      <c r="H15" s="41"/>
      <c r="I15" s="41">
        <v>50.0</v>
      </c>
      <c r="J15" s="41" t="s">
        <v>85</v>
      </c>
      <c r="K15" s="62"/>
      <c r="L15" s="42"/>
      <c r="M15" s="41" t="s">
        <v>129</v>
      </c>
      <c r="N15" s="42"/>
      <c r="O15" s="42"/>
      <c r="P15" s="42"/>
      <c r="Q15" s="42"/>
      <c r="R15" s="42"/>
      <c r="S15" s="42"/>
      <c r="T15" s="42"/>
      <c r="U15" s="42"/>
      <c r="V15" s="41"/>
      <c r="W15" s="42"/>
      <c r="X15" s="42"/>
      <c r="Y15" s="42"/>
      <c r="Z15" s="42"/>
      <c r="AA15" s="42"/>
      <c r="AB15" s="42"/>
      <c r="AC15" s="42"/>
      <c r="AD15" s="42"/>
    </row>
    <row r="16">
      <c r="A16" s="40">
        <v>45882.0</v>
      </c>
      <c r="B16" s="42"/>
      <c r="C16" s="41" t="s">
        <v>128</v>
      </c>
      <c r="D16" s="42"/>
      <c r="E16" s="42"/>
      <c r="F16" s="42"/>
      <c r="G16" s="41">
        <v>5.0</v>
      </c>
      <c r="H16" s="41"/>
      <c r="I16" s="41">
        <v>200.0</v>
      </c>
      <c r="J16" s="41" t="s">
        <v>106</v>
      </c>
      <c r="K16" s="62"/>
      <c r="L16" s="42"/>
      <c r="M16" s="41" t="s">
        <v>130</v>
      </c>
      <c r="N16" s="42"/>
      <c r="O16" s="42"/>
      <c r="P16" s="42"/>
      <c r="Q16" s="42"/>
      <c r="R16" s="42"/>
      <c r="S16" s="42"/>
      <c r="T16" s="42"/>
      <c r="U16" s="42"/>
      <c r="V16" s="41"/>
      <c r="W16" s="42"/>
      <c r="X16" s="42"/>
      <c r="Y16" s="42"/>
      <c r="Z16" s="42"/>
      <c r="AA16" s="42"/>
      <c r="AB16" s="42"/>
      <c r="AC16" s="42"/>
      <c r="AD16" s="42"/>
    </row>
    <row r="17">
      <c r="A17" s="40">
        <v>45882.0</v>
      </c>
      <c r="B17" s="42"/>
      <c r="C17" s="41" t="s">
        <v>131</v>
      </c>
      <c r="D17" s="41"/>
      <c r="E17" s="41">
        <v>1.0</v>
      </c>
      <c r="F17" s="42"/>
      <c r="G17" s="41">
        <v>10.0</v>
      </c>
      <c r="H17" s="41"/>
      <c r="I17" s="42"/>
      <c r="J17" s="42"/>
      <c r="K17" s="41"/>
      <c r="L17" s="42"/>
      <c r="M17" s="42"/>
      <c r="N17" s="41"/>
      <c r="O17" s="42"/>
      <c r="P17" s="42"/>
      <c r="Q17" s="42"/>
      <c r="R17" s="42"/>
      <c r="S17" s="42"/>
      <c r="T17" s="42"/>
      <c r="U17" s="42"/>
      <c r="V17" s="41"/>
      <c r="W17" s="42"/>
      <c r="X17" s="42"/>
      <c r="Y17" s="42"/>
      <c r="Z17" s="42"/>
      <c r="AA17" s="42"/>
      <c r="AB17" s="42"/>
      <c r="AC17" s="42"/>
      <c r="AD17" s="42"/>
    </row>
    <row r="18">
      <c r="A18" s="40">
        <v>45888.0</v>
      </c>
      <c r="B18" s="43" t="s">
        <v>132</v>
      </c>
      <c r="C18" s="41" t="s">
        <v>133</v>
      </c>
      <c r="D18" s="41" t="s">
        <v>37</v>
      </c>
      <c r="E18" s="41">
        <v>1.0</v>
      </c>
      <c r="F18" s="41">
        <v>10.0</v>
      </c>
      <c r="G18" s="41"/>
      <c r="H18" s="41">
        <v>3965.0</v>
      </c>
      <c r="I18" s="41"/>
      <c r="J18" s="41" t="s">
        <v>134</v>
      </c>
      <c r="K18" s="42"/>
      <c r="L18" s="42"/>
      <c r="M18" s="41" t="s">
        <v>135</v>
      </c>
      <c r="N18" s="42"/>
      <c r="O18" s="42"/>
      <c r="P18" s="42"/>
      <c r="Q18" s="42"/>
      <c r="R18" s="42"/>
      <c r="S18" s="42"/>
      <c r="T18" s="42"/>
      <c r="U18" s="42"/>
      <c r="V18" s="41"/>
      <c r="W18" s="42"/>
      <c r="X18" s="42"/>
      <c r="Y18" s="42"/>
      <c r="Z18" s="42"/>
      <c r="AA18" s="42"/>
      <c r="AB18" s="42"/>
      <c r="AC18" s="42"/>
      <c r="AD18" s="42"/>
    </row>
    <row r="19">
      <c r="A19" s="40">
        <v>45924.0</v>
      </c>
      <c r="B19" s="63" t="s">
        <v>136</v>
      </c>
      <c r="C19" s="63" t="s">
        <v>137</v>
      </c>
      <c r="D19" s="41" t="s">
        <v>138</v>
      </c>
      <c r="E19" s="41"/>
      <c r="F19" s="41">
        <v>10.0</v>
      </c>
      <c r="G19" s="41"/>
      <c r="H19" s="41">
        <v>1000.0</v>
      </c>
      <c r="I19" s="41"/>
      <c r="J19" s="41" t="s">
        <v>139</v>
      </c>
      <c r="K19" s="41" t="s">
        <v>140</v>
      </c>
      <c r="L19" s="42"/>
      <c r="M19" s="42"/>
      <c r="N19" s="42"/>
      <c r="O19" s="42"/>
      <c r="P19" s="42"/>
      <c r="Q19" s="42"/>
      <c r="R19" s="42"/>
      <c r="S19" s="42"/>
      <c r="T19" s="42"/>
      <c r="U19" s="42"/>
      <c r="V19" s="41"/>
      <c r="W19" s="42"/>
      <c r="X19" s="42"/>
      <c r="Y19" s="42"/>
      <c r="Z19" s="42"/>
      <c r="AA19" s="42"/>
      <c r="AB19" s="42"/>
      <c r="AC19" s="42"/>
      <c r="AD19" s="42"/>
    </row>
    <row r="20">
      <c r="A20" s="40"/>
      <c r="B20" s="42"/>
      <c r="C20" s="41"/>
      <c r="D20" s="42"/>
      <c r="E20" s="42"/>
      <c r="F20" s="42"/>
      <c r="G20" s="42"/>
      <c r="H20" s="41"/>
      <c r="I20" s="42"/>
      <c r="J20" s="42"/>
      <c r="K20" s="41"/>
      <c r="L20" s="42"/>
      <c r="M20" s="42"/>
      <c r="N20" s="41"/>
      <c r="O20" s="42"/>
      <c r="P20" s="42"/>
      <c r="Q20" s="42"/>
      <c r="R20" s="42"/>
      <c r="S20" s="42"/>
      <c r="T20" s="42"/>
      <c r="U20" s="42"/>
      <c r="V20" s="41"/>
      <c r="W20" s="42"/>
      <c r="X20" s="42"/>
      <c r="Y20" s="42"/>
      <c r="Z20" s="42"/>
      <c r="AA20" s="42"/>
      <c r="AB20" s="42"/>
      <c r="AC20" s="42"/>
      <c r="AD20" s="42"/>
    </row>
    <row r="21">
      <c r="A21" s="42"/>
      <c r="B21" s="42"/>
      <c r="C21" s="42"/>
      <c r="D21" s="42"/>
      <c r="E21" s="42"/>
      <c r="F21" s="42"/>
      <c r="G21" s="42"/>
      <c r="H21" s="42"/>
      <c r="I21" s="42"/>
      <c r="J21" s="42"/>
      <c r="K21" s="42"/>
      <c r="L21" s="42"/>
      <c r="M21" s="42"/>
      <c r="N21" s="42"/>
      <c r="O21" s="42"/>
      <c r="P21" s="42"/>
      <c r="Q21" s="42"/>
      <c r="R21" s="42"/>
      <c r="S21" s="42"/>
      <c r="T21" s="42"/>
      <c r="U21" s="42"/>
      <c r="V21" s="41"/>
      <c r="W21" s="42"/>
      <c r="X21" s="42"/>
      <c r="Y21" s="42"/>
      <c r="Z21" s="42"/>
      <c r="AA21" s="42"/>
      <c r="AB21" s="42"/>
      <c r="AC21" s="42"/>
      <c r="AD21" s="42"/>
    </row>
  </sheetData>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7.5"/>
    <col customWidth="1" min="23" max="23" width="25.38"/>
    <col customWidth="1" min="24" max="24" width="25.63"/>
    <col customWidth="1" min="25" max="25" width="25.88"/>
  </cols>
  <sheetData>
    <row r="1">
      <c r="A1" s="1" t="s">
        <v>141</v>
      </c>
    </row>
    <row r="2">
      <c r="A2" s="2" t="s">
        <v>142</v>
      </c>
      <c r="B2" s="2" t="s">
        <v>143</v>
      </c>
      <c r="C2" s="3" t="s">
        <v>3</v>
      </c>
      <c r="D2" s="4" t="s">
        <v>4</v>
      </c>
      <c r="E2" s="64">
        <f>SUM(E11:E102)+5</f>
        <v>10</v>
      </c>
      <c r="F2" s="6"/>
      <c r="J2" s="7" t="s">
        <v>5</v>
      </c>
      <c r="K2" s="8" t="s">
        <v>6</v>
      </c>
      <c r="L2" s="8" t="s">
        <v>7</v>
      </c>
      <c r="M2" s="8" t="s">
        <v>8</v>
      </c>
      <c r="O2" s="9" t="s">
        <v>144</v>
      </c>
      <c r="P2" s="10"/>
      <c r="Q2" s="11"/>
      <c r="R2" s="11"/>
      <c r="S2" s="11"/>
      <c r="T2" s="12"/>
      <c r="V2" s="9" t="s">
        <v>10</v>
      </c>
      <c r="W2" s="13"/>
      <c r="X2" s="14"/>
    </row>
    <row r="3">
      <c r="A3" s="2" t="s">
        <v>145</v>
      </c>
      <c r="C3" s="15"/>
      <c r="D3" s="16" t="s">
        <v>12</v>
      </c>
      <c r="E3" s="17">
        <f>SUM(H12:H105)+15-SUM(I12:I105)</f>
        <v>5185</v>
      </c>
      <c r="F3" s="18"/>
      <c r="K3" s="34" t="s">
        <v>146</v>
      </c>
      <c r="L3" s="20"/>
      <c r="M3" s="20"/>
      <c r="O3" s="21">
        <v>6.0</v>
      </c>
      <c r="P3" s="21" t="s">
        <v>147</v>
      </c>
      <c r="Q3" s="22">
        <v>1.0</v>
      </c>
      <c r="R3" s="22" t="s">
        <v>148</v>
      </c>
      <c r="S3" s="21">
        <v>1.0</v>
      </c>
      <c r="T3" s="21" t="s">
        <v>149</v>
      </c>
      <c r="V3" s="34" t="s">
        <v>150</v>
      </c>
      <c r="W3" s="65" t="s">
        <v>151</v>
      </c>
      <c r="X3" s="25"/>
    </row>
    <row r="4">
      <c r="C4" s="26"/>
      <c r="D4" s="27" t="s">
        <v>15</v>
      </c>
      <c r="E4" s="28">
        <f>SUM(F12:F105)-SUM(G12:G105)</f>
        <v>23</v>
      </c>
      <c r="F4" s="29"/>
      <c r="K4" s="33" t="s">
        <v>152</v>
      </c>
      <c r="L4" s="31"/>
      <c r="M4" s="31"/>
      <c r="O4" s="32">
        <v>2.0</v>
      </c>
      <c r="P4" s="32" t="s">
        <v>153</v>
      </c>
      <c r="Q4" s="32">
        <v>1.0</v>
      </c>
      <c r="R4" s="32" t="s">
        <v>154</v>
      </c>
      <c r="S4" s="32">
        <v>1.0</v>
      </c>
      <c r="T4" s="32" t="s">
        <v>155</v>
      </c>
      <c r="V4" s="66" t="s">
        <v>156</v>
      </c>
      <c r="W4" s="67" t="s">
        <v>157</v>
      </c>
      <c r="X4" s="31"/>
    </row>
    <row r="5">
      <c r="K5" s="34" t="s">
        <v>158</v>
      </c>
      <c r="L5" s="20"/>
      <c r="M5" s="20"/>
      <c r="O5" s="35">
        <v>6.0</v>
      </c>
      <c r="P5" s="35" t="s">
        <v>46</v>
      </c>
      <c r="Q5" s="35">
        <v>3.0</v>
      </c>
      <c r="R5" s="35" t="s">
        <v>159</v>
      </c>
      <c r="S5" s="20"/>
      <c r="T5" s="20"/>
      <c r="V5" s="68" t="s">
        <v>160</v>
      </c>
      <c r="W5" s="68" t="s">
        <v>161</v>
      </c>
      <c r="X5" s="20"/>
    </row>
    <row r="6">
      <c r="K6" s="2" t="s">
        <v>162</v>
      </c>
      <c r="L6" s="2" t="s">
        <v>163</v>
      </c>
      <c r="M6" s="31"/>
      <c r="O6" s="32">
        <v>0.0</v>
      </c>
      <c r="P6" s="32" t="s">
        <v>164</v>
      </c>
      <c r="Q6" s="32">
        <v>1.0</v>
      </c>
      <c r="R6" s="32" t="s">
        <v>165</v>
      </c>
      <c r="S6" s="31"/>
      <c r="T6" s="31"/>
      <c r="V6" s="33" t="s">
        <v>166</v>
      </c>
      <c r="W6" s="33" t="s">
        <v>167</v>
      </c>
      <c r="X6" s="31"/>
    </row>
    <row r="7">
      <c r="O7" s="35">
        <v>2.0</v>
      </c>
      <c r="P7" s="35" t="s">
        <v>168</v>
      </c>
      <c r="Q7" s="36">
        <v>2.0</v>
      </c>
      <c r="R7" s="36" t="s">
        <v>169</v>
      </c>
      <c r="S7" s="20"/>
      <c r="T7" s="20"/>
      <c r="V7" s="34" t="s">
        <v>170</v>
      </c>
      <c r="W7" s="34" t="s">
        <v>171</v>
      </c>
      <c r="X7" s="20"/>
    </row>
    <row r="8">
      <c r="J8" s="7" t="s">
        <v>17</v>
      </c>
      <c r="K8" s="56" t="s">
        <v>146</v>
      </c>
      <c r="L8" s="56" t="s">
        <v>152</v>
      </c>
      <c r="M8" s="56" t="s">
        <v>158</v>
      </c>
      <c r="O8" s="32">
        <v>3.0</v>
      </c>
      <c r="P8" s="32" t="s">
        <v>13</v>
      </c>
      <c r="Q8" s="32">
        <v>4.0</v>
      </c>
      <c r="R8" s="32" t="s">
        <v>172</v>
      </c>
      <c r="S8" s="31"/>
      <c r="T8" s="31"/>
      <c r="V8" s="33" t="s">
        <v>173</v>
      </c>
      <c r="W8" s="33" t="s">
        <v>174</v>
      </c>
      <c r="X8" s="31"/>
    </row>
    <row r="9">
      <c r="O9" s="35">
        <v>1.0</v>
      </c>
      <c r="P9" s="35" t="s">
        <v>175</v>
      </c>
      <c r="Q9" s="35">
        <v>2.0</v>
      </c>
      <c r="R9" s="35" t="s">
        <v>176</v>
      </c>
      <c r="S9" s="20"/>
      <c r="T9" s="20"/>
      <c r="V9" s="34" t="s">
        <v>177</v>
      </c>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39">
        <v>6620100.0</v>
      </c>
      <c r="B11" s="2"/>
      <c r="C11" s="2" t="s">
        <v>178</v>
      </c>
      <c r="D11" s="2" t="s">
        <v>179</v>
      </c>
      <c r="E11" s="2">
        <v>1.0</v>
      </c>
      <c r="F11" s="2">
        <v>10.0</v>
      </c>
      <c r="H11" s="2">
        <v>2500.0</v>
      </c>
      <c r="J11" s="2" t="s">
        <v>180</v>
      </c>
    </row>
    <row r="12">
      <c r="A12" s="39">
        <v>45735.0</v>
      </c>
      <c r="B12" s="2" t="s">
        <v>181</v>
      </c>
      <c r="C12" s="2" t="s">
        <v>182</v>
      </c>
      <c r="D12" s="2" t="s">
        <v>58</v>
      </c>
      <c r="E12" s="2">
        <v>1.0</v>
      </c>
      <c r="F12" s="2">
        <v>10.0</v>
      </c>
      <c r="G12" s="2">
        <v>5.0</v>
      </c>
      <c r="H12" s="2">
        <v>1000.0</v>
      </c>
      <c r="J12" s="2" t="s">
        <v>183</v>
      </c>
      <c r="M12" s="2" t="s">
        <v>184</v>
      </c>
    </row>
    <row r="13">
      <c r="A13" s="39">
        <v>45735.0</v>
      </c>
      <c r="B13" s="2"/>
      <c r="C13" s="2" t="s">
        <v>40</v>
      </c>
      <c r="D13" s="2" t="s">
        <v>179</v>
      </c>
      <c r="E13" s="2"/>
      <c r="F13" s="2"/>
      <c r="G13" s="2">
        <v>5.0</v>
      </c>
      <c r="H13" s="2"/>
      <c r="J13" s="2" t="s">
        <v>146</v>
      </c>
      <c r="K13" s="2"/>
      <c r="M13" s="2" t="s">
        <v>185</v>
      </c>
    </row>
    <row r="14">
      <c r="A14" s="39">
        <v>45749.0</v>
      </c>
      <c r="B14" s="2" t="s">
        <v>186</v>
      </c>
      <c r="C14" s="2" t="s">
        <v>187</v>
      </c>
      <c r="D14" s="2" t="s">
        <v>188</v>
      </c>
      <c r="E14" s="2">
        <v>1.0</v>
      </c>
      <c r="F14" s="2">
        <v>10.0</v>
      </c>
      <c r="H14" s="2">
        <v>1250.0</v>
      </c>
      <c r="J14" s="2" t="s">
        <v>189</v>
      </c>
      <c r="K14" s="2" t="s">
        <v>148</v>
      </c>
    </row>
    <row r="15">
      <c r="A15" s="39">
        <v>45763.0</v>
      </c>
      <c r="B15" s="2" t="s">
        <v>190</v>
      </c>
      <c r="C15" s="2" t="s">
        <v>191</v>
      </c>
      <c r="D15" s="2" t="s">
        <v>192</v>
      </c>
      <c r="E15" s="2">
        <v>1.0</v>
      </c>
      <c r="F15" s="2">
        <v>10.0</v>
      </c>
      <c r="H15" s="2">
        <v>1000.0</v>
      </c>
      <c r="J15" s="2" t="s">
        <v>150</v>
      </c>
      <c r="K15" s="2" t="s">
        <v>193</v>
      </c>
    </row>
    <row r="16">
      <c r="A16" s="39">
        <v>45763.0</v>
      </c>
      <c r="B16" s="2"/>
      <c r="C16" s="2" t="s">
        <v>40</v>
      </c>
      <c r="D16" s="2" t="s">
        <v>179</v>
      </c>
      <c r="E16" s="2"/>
      <c r="F16" s="2"/>
      <c r="G16" s="2">
        <v>5.0</v>
      </c>
      <c r="H16" s="2"/>
      <c r="J16" s="2" t="s">
        <v>156</v>
      </c>
      <c r="M16" s="2" t="s">
        <v>194</v>
      </c>
    </row>
    <row r="17">
      <c r="A17" s="39">
        <v>45770.0</v>
      </c>
      <c r="B17" s="2" t="s">
        <v>195</v>
      </c>
      <c r="C17" s="2" t="s">
        <v>196</v>
      </c>
      <c r="D17" s="2" t="s">
        <v>197</v>
      </c>
      <c r="E17" s="2">
        <v>1.0</v>
      </c>
      <c r="F17" s="2">
        <v>10.0</v>
      </c>
      <c r="G17" s="2"/>
      <c r="H17" s="2">
        <v>1000.0</v>
      </c>
      <c r="J17" s="2" t="s">
        <v>158</v>
      </c>
    </row>
    <row r="18">
      <c r="A18" s="39">
        <v>45770.0</v>
      </c>
      <c r="B18" s="2"/>
      <c r="C18" s="2" t="s">
        <v>198</v>
      </c>
      <c r="D18" s="2"/>
      <c r="E18" s="2"/>
      <c r="F18" s="2"/>
      <c r="G18" s="2"/>
      <c r="H18" s="2"/>
      <c r="I18" s="2">
        <v>500.0</v>
      </c>
      <c r="J18" s="2"/>
      <c r="M18" s="2" t="s">
        <v>199</v>
      </c>
    </row>
    <row r="19">
      <c r="A19" s="69">
        <v>45770.0</v>
      </c>
      <c r="C19" s="70" t="s">
        <v>200</v>
      </c>
      <c r="D19" s="70"/>
      <c r="E19" s="70"/>
      <c r="F19" s="70"/>
      <c r="G19" s="70">
        <v>7.0</v>
      </c>
      <c r="H19" s="70"/>
      <c r="I19" s="70">
        <v>150.0</v>
      </c>
      <c r="J19" s="70"/>
      <c r="K19" s="70" t="s">
        <v>201</v>
      </c>
      <c r="L19" s="71"/>
      <c r="M19" s="70" t="s">
        <v>202</v>
      </c>
      <c r="N19" s="70"/>
      <c r="O19" s="71"/>
      <c r="P19" s="71"/>
      <c r="Q19" s="71"/>
      <c r="R19" s="71"/>
      <c r="S19" s="71"/>
      <c r="T19" s="71"/>
      <c r="U19" s="71"/>
      <c r="V19" s="71"/>
      <c r="W19" s="71"/>
      <c r="X19" s="71"/>
      <c r="Y19" s="71"/>
      <c r="Z19" s="71"/>
      <c r="AA19" s="71"/>
      <c r="AB19" s="71"/>
      <c r="AC19" s="71"/>
      <c r="AD19" s="71"/>
    </row>
    <row r="20">
      <c r="A20" s="69">
        <v>45819.0</v>
      </c>
      <c r="B20" s="70" t="s">
        <v>203</v>
      </c>
      <c r="C20" s="70" t="s">
        <v>204</v>
      </c>
      <c r="D20" s="70" t="s">
        <v>58</v>
      </c>
      <c r="E20" s="71"/>
      <c r="F20" s="70">
        <v>10.0</v>
      </c>
      <c r="G20" s="71"/>
      <c r="H20" s="70">
        <v>100.0</v>
      </c>
      <c r="I20" s="71"/>
      <c r="J20" s="70" t="s">
        <v>205</v>
      </c>
      <c r="K20" s="70"/>
      <c r="L20" s="71"/>
      <c r="M20" s="71"/>
      <c r="N20" s="70"/>
      <c r="O20" s="71"/>
      <c r="P20" s="71"/>
      <c r="Q20" s="71"/>
      <c r="R20" s="71"/>
      <c r="S20" s="71"/>
      <c r="T20" s="71"/>
      <c r="U20" s="71"/>
      <c r="V20" s="71"/>
      <c r="W20" s="71"/>
      <c r="X20" s="71"/>
      <c r="Y20" s="71"/>
      <c r="Z20" s="71"/>
      <c r="AA20" s="71"/>
      <c r="AB20" s="71"/>
      <c r="AC20" s="71"/>
      <c r="AD20" s="71"/>
    </row>
    <row r="21">
      <c r="A21" s="69">
        <v>45819.0</v>
      </c>
      <c r="C21" s="72" t="s">
        <v>200</v>
      </c>
      <c r="D21" s="70"/>
      <c r="E21" s="70"/>
      <c r="F21" s="70"/>
      <c r="G21" s="70">
        <v>7.0</v>
      </c>
      <c r="H21" s="71"/>
      <c r="I21" s="70">
        <v>250.0</v>
      </c>
      <c r="J21" s="71"/>
      <c r="K21" s="70" t="s">
        <v>206</v>
      </c>
      <c r="L21" s="71"/>
      <c r="M21" s="70" t="s">
        <v>207</v>
      </c>
      <c r="N21" s="71"/>
      <c r="O21" s="71"/>
      <c r="P21" s="71"/>
      <c r="Q21" s="71"/>
      <c r="R21" s="71"/>
      <c r="S21" s="71"/>
      <c r="T21" s="71"/>
      <c r="U21" s="71"/>
      <c r="V21" s="71"/>
      <c r="W21" s="71"/>
      <c r="X21" s="71"/>
      <c r="Y21" s="71"/>
      <c r="Z21" s="71"/>
      <c r="AA21" s="71"/>
      <c r="AB21" s="71"/>
      <c r="AC21" s="71"/>
      <c r="AD21" s="71"/>
    </row>
    <row r="22">
      <c r="A22" s="69">
        <v>45823.0</v>
      </c>
      <c r="B22" s="70" t="s">
        <v>208</v>
      </c>
      <c r="C22" s="70" t="s">
        <v>209</v>
      </c>
      <c r="D22" s="70" t="s">
        <v>210</v>
      </c>
      <c r="E22" s="70"/>
      <c r="F22" s="70">
        <v>10.0</v>
      </c>
      <c r="G22" s="70"/>
      <c r="H22" s="70">
        <v>655.0</v>
      </c>
      <c r="I22" s="70">
        <v>250.0</v>
      </c>
      <c r="J22" s="70" t="s">
        <v>211</v>
      </c>
      <c r="K22" s="70" t="s">
        <v>212</v>
      </c>
      <c r="L22" s="71"/>
      <c r="M22" s="70" t="s">
        <v>213</v>
      </c>
      <c r="N22" s="71"/>
      <c r="O22" s="71"/>
      <c r="P22" s="71"/>
      <c r="Q22" s="71"/>
      <c r="R22" s="71"/>
      <c r="S22" s="71"/>
      <c r="T22" s="71"/>
      <c r="U22" s="71"/>
      <c r="V22" s="71"/>
      <c r="W22" s="71"/>
      <c r="X22" s="71"/>
      <c r="Y22" s="71"/>
      <c r="Z22" s="71"/>
      <c r="AA22" s="71"/>
      <c r="AB22" s="71"/>
      <c r="AC22" s="71"/>
      <c r="AD22" s="71"/>
    </row>
    <row r="23">
      <c r="A23" s="69">
        <v>45823.0</v>
      </c>
      <c r="C23" s="70" t="s">
        <v>200</v>
      </c>
      <c r="D23" s="70"/>
      <c r="E23" s="70"/>
      <c r="F23" s="70"/>
      <c r="G23" s="70">
        <v>7.0</v>
      </c>
      <c r="H23" s="70"/>
      <c r="I23" s="70">
        <v>150.0</v>
      </c>
      <c r="J23" s="70"/>
      <c r="K23" s="70" t="s">
        <v>214</v>
      </c>
      <c r="L23" s="71"/>
      <c r="M23" s="70" t="s">
        <v>215</v>
      </c>
      <c r="N23" s="70"/>
      <c r="O23" s="71"/>
      <c r="P23" s="71"/>
      <c r="Q23" s="71"/>
      <c r="R23" s="71"/>
      <c r="S23" s="71"/>
      <c r="T23" s="71"/>
      <c r="U23" s="71"/>
      <c r="V23" s="71"/>
      <c r="W23" s="71"/>
      <c r="X23" s="71"/>
      <c r="Y23" s="71"/>
      <c r="Z23" s="71"/>
      <c r="AA23" s="71"/>
      <c r="AB23" s="71"/>
      <c r="AC23" s="71"/>
      <c r="AD23" s="71"/>
    </row>
    <row r="24">
      <c r="A24" s="69">
        <v>45826.0</v>
      </c>
      <c r="B24" s="70" t="s">
        <v>216</v>
      </c>
      <c r="C24" s="70" t="s">
        <v>217</v>
      </c>
      <c r="D24" s="70" t="s">
        <v>218</v>
      </c>
      <c r="E24" s="71"/>
      <c r="F24" s="70">
        <v>10.0</v>
      </c>
      <c r="G24" s="71"/>
      <c r="H24" s="70">
        <v>830.0</v>
      </c>
      <c r="I24" s="70">
        <v>300.0</v>
      </c>
      <c r="J24" s="70" t="s">
        <v>219</v>
      </c>
      <c r="K24" s="70" t="s">
        <v>220</v>
      </c>
      <c r="L24" s="71"/>
      <c r="M24" s="70" t="s">
        <v>221</v>
      </c>
      <c r="N24" s="71"/>
      <c r="O24" s="71"/>
      <c r="P24" s="71"/>
      <c r="Q24" s="71"/>
      <c r="R24" s="71"/>
      <c r="S24" s="71"/>
      <c r="T24" s="71"/>
      <c r="U24" s="71"/>
      <c r="V24" s="71"/>
      <c r="W24" s="71"/>
      <c r="X24" s="71"/>
      <c r="Y24" s="71"/>
      <c r="Z24" s="71"/>
      <c r="AA24" s="71"/>
      <c r="AB24" s="71"/>
      <c r="AC24" s="71"/>
      <c r="AD24" s="71"/>
    </row>
    <row r="25">
      <c r="A25" s="69">
        <v>45826.0</v>
      </c>
      <c r="C25" s="72" t="s">
        <v>200</v>
      </c>
      <c r="D25" s="70"/>
      <c r="E25" s="70"/>
      <c r="F25" s="70"/>
      <c r="G25" s="70">
        <v>7.0</v>
      </c>
      <c r="H25" s="71"/>
      <c r="I25" s="70">
        <v>250.0</v>
      </c>
      <c r="J25" s="71"/>
      <c r="K25" s="70" t="s">
        <v>222</v>
      </c>
      <c r="L25" s="71"/>
      <c r="M25" s="70" t="s">
        <v>223</v>
      </c>
      <c r="N25" s="71"/>
      <c r="O25" s="71"/>
      <c r="P25" s="71"/>
      <c r="Q25" s="71"/>
      <c r="R25" s="71"/>
      <c r="S25" s="71"/>
      <c r="T25" s="71"/>
      <c r="U25" s="71"/>
      <c r="V25" s="71"/>
      <c r="W25" s="71"/>
      <c r="X25" s="71"/>
      <c r="Y25" s="71"/>
      <c r="Z25" s="71"/>
      <c r="AA25" s="71"/>
      <c r="AB25" s="71"/>
      <c r="AC25" s="71"/>
      <c r="AD25" s="71"/>
    </row>
    <row r="26">
      <c r="A26" s="39">
        <v>45833.0</v>
      </c>
      <c r="B26" s="2" t="s">
        <v>224</v>
      </c>
      <c r="C26" s="2" t="s">
        <v>225</v>
      </c>
      <c r="D26" s="2" t="s">
        <v>226</v>
      </c>
      <c r="F26" s="2">
        <v>10.0</v>
      </c>
      <c r="H26" s="2">
        <v>1000.0</v>
      </c>
      <c r="I26" s="2">
        <v>100.0</v>
      </c>
      <c r="J26" s="2" t="s">
        <v>227</v>
      </c>
      <c r="K26" s="2" t="s">
        <v>155</v>
      </c>
      <c r="M26" s="2" t="s">
        <v>228</v>
      </c>
    </row>
    <row r="27">
      <c r="A27" s="69">
        <v>45833.0</v>
      </c>
      <c r="C27" s="70" t="s">
        <v>200</v>
      </c>
      <c r="D27" s="70"/>
      <c r="E27" s="70"/>
      <c r="F27" s="70"/>
      <c r="G27" s="70">
        <v>7.0</v>
      </c>
      <c r="H27" s="70"/>
      <c r="I27" s="70">
        <v>150.0</v>
      </c>
      <c r="J27" s="70"/>
      <c r="K27" s="70" t="s">
        <v>201</v>
      </c>
      <c r="L27" s="71"/>
      <c r="M27" s="70" t="s">
        <v>229</v>
      </c>
      <c r="N27" s="70"/>
      <c r="O27" s="71"/>
      <c r="P27" s="71"/>
      <c r="Q27" s="71"/>
      <c r="R27" s="71"/>
      <c r="S27" s="71"/>
      <c r="T27" s="71"/>
      <c r="U27" s="71"/>
      <c r="V27" s="71"/>
      <c r="W27" s="71"/>
      <c r="X27" s="71"/>
      <c r="Y27" s="71"/>
      <c r="Z27" s="71"/>
      <c r="AA27" s="71"/>
      <c r="AB27" s="71"/>
      <c r="AC27" s="71"/>
      <c r="AD27" s="71"/>
    </row>
    <row r="28">
      <c r="A28" s="39">
        <v>45840.0</v>
      </c>
      <c r="B28" s="2" t="s">
        <v>230</v>
      </c>
      <c r="C28" s="2" t="s">
        <v>231</v>
      </c>
      <c r="D28" s="2" t="s">
        <v>192</v>
      </c>
      <c r="H28" s="2">
        <v>1000.0</v>
      </c>
      <c r="I28" s="2">
        <v>315.0</v>
      </c>
      <c r="J28" s="2" t="s">
        <v>174</v>
      </c>
      <c r="K28" s="2" t="s">
        <v>232</v>
      </c>
      <c r="L28" s="2" t="s">
        <v>233</v>
      </c>
    </row>
    <row r="29">
      <c r="A29" s="39">
        <v>45840.0</v>
      </c>
      <c r="C29" s="72" t="s">
        <v>200</v>
      </c>
      <c r="D29" s="70"/>
      <c r="E29" s="70"/>
      <c r="F29" s="70"/>
      <c r="G29" s="70">
        <v>7.0</v>
      </c>
      <c r="H29" s="71"/>
      <c r="I29" s="70">
        <v>250.0</v>
      </c>
      <c r="J29" s="71"/>
      <c r="K29" s="70" t="s">
        <v>222</v>
      </c>
      <c r="L29" s="71"/>
      <c r="M29" s="70" t="s">
        <v>223</v>
      </c>
      <c r="N29" s="71"/>
      <c r="O29" s="71"/>
      <c r="P29" s="71"/>
      <c r="Q29" s="71"/>
      <c r="R29" s="71"/>
      <c r="S29" s="71"/>
      <c r="T29" s="71"/>
      <c r="U29" s="71"/>
      <c r="V29" s="71"/>
      <c r="W29" s="71"/>
      <c r="X29" s="71"/>
      <c r="Y29" s="71"/>
      <c r="Z29" s="71"/>
      <c r="AA29" s="71"/>
      <c r="AB29" s="71"/>
      <c r="AC29" s="71"/>
      <c r="AD29" s="7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7.5"/>
    <col customWidth="1" min="23" max="23" width="25.38"/>
    <col customWidth="1" min="24" max="24" width="25.63"/>
    <col customWidth="1" min="25" max="25" width="25.88"/>
  </cols>
  <sheetData>
    <row r="1">
      <c r="A1" s="1" t="s">
        <v>234</v>
      </c>
    </row>
    <row r="2">
      <c r="A2" s="2" t="s">
        <v>235</v>
      </c>
      <c r="B2" s="2" t="s">
        <v>236</v>
      </c>
      <c r="C2" s="3" t="s">
        <v>3</v>
      </c>
      <c r="D2" s="4" t="s">
        <v>4</v>
      </c>
      <c r="E2" s="5">
        <f>SUM(E11:E98)+5</f>
        <v>10</v>
      </c>
      <c r="F2" s="6"/>
      <c r="J2" s="7" t="s">
        <v>5</v>
      </c>
      <c r="K2" s="8" t="s">
        <v>6</v>
      </c>
      <c r="L2" s="8" t="s">
        <v>7</v>
      </c>
      <c r="M2" s="8" t="s">
        <v>8</v>
      </c>
      <c r="O2" s="9" t="s">
        <v>9</v>
      </c>
      <c r="P2" s="10"/>
      <c r="Q2" s="11"/>
      <c r="R2" s="11"/>
      <c r="S2" s="11"/>
      <c r="T2" s="12"/>
      <c r="V2" s="9" t="s">
        <v>10</v>
      </c>
      <c r="W2" s="13"/>
      <c r="X2" s="14"/>
    </row>
    <row r="3">
      <c r="A3" s="2" t="s">
        <v>237</v>
      </c>
      <c r="C3" s="15"/>
      <c r="D3" s="16" t="s">
        <v>12</v>
      </c>
      <c r="E3" s="17">
        <f>SUM(H11:H98)+15-SUM(I11:I98)</f>
        <v>15</v>
      </c>
      <c r="F3" s="18"/>
      <c r="K3" s="19"/>
      <c r="L3" s="20"/>
      <c r="M3" s="20"/>
      <c r="O3" s="21"/>
      <c r="P3" s="21"/>
      <c r="Q3" s="22"/>
      <c r="R3" s="22"/>
      <c r="S3" s="21"/>
      <c r="T3" s="21"/>
      <c r="V3" s="44"/>
      <c r="W3" s="24"/>
      <c r="X3" s="25"/>
    </row>
    <row r="4">
      <c r="C4" s="26"/>
      <c r="D4" s="27" t="s">
        <v>15</v>
      </c>
      <c r="E4" s="28">
        <f>SUM(F11:F98)-SUM(G11:G98)</f>
        <v>40</v>
      </c>
      <c r="F4" s="29"/>
      <c r="K4" s="30"/>
      <c r="L4" s="31"/>
      <c r="M4" s="31"/>
      <c r="O4" s="32"/>
      <c r="P4" s="32"/>
      <c r="Q4" s="32"/>
      <c r="R4" s="32"/>
      <c r="S4" s="31"/>
      <c r="T4" s="31"/>
      <c r="V4" s="33"/>
      <c r="W4" s="30"/>
      <c r="X4" s="31"/>
    </row>
    <row r="5">
      <c r="K5" s="34"/>
      <c r="L5" s="20"/>
      <c r="M5" s="20"/>
      <c r="O5" s="35"/>
      <c r="P5" s="35"/>
      <c r="Q5" s="35"/>
      <c r="R5" s="35"/>
      <c r="S5" s="20"/>
      <c r="T5" s="20"/>
      <c r="V5" s="34"/>
      <c r="W5" s="20"/>
      <c r="X5" s="20"/>
    </row>
    <row r="6">
      <c r="M6" s="31"/>
      <c r="O6" s="32"/>
      <c r="P6" s="32"/>
      <c r="Q6" s="32"/>
      <c r="R6" s="32"/>
      <c r="S6" s="31"/>
      <c r="T6" s="31"/>
      <c r="V6" s="33"/>
      <c r="W6" s="31"/>
      <c r="X6" s="31"/>
    </row>
    <row r="7">
      <c r="O7" s="35"/>
      <c r="P7" s="35"/>
      <c r="Q7" s="36"/>
      <c r="R7" s="36"/>
      <c r="S7" s="20"/>
      <c r="T7" s="20"/>
      <c r="V7" s="34"/>
      <c r="W7" s="20"/>
      <c r="X7" s="20"/>
    </row>
    <row r="8">
      <c r="J8" s="7" t="s">
        <v>17</v>
      </c>
      <c r="K8" s="19"/>
      <c r="L8" s="34"/>
      <c r="M8" s="20"/>
      <c r="O8" s="32"/>
      <c r="P8" s="32"/>
      <c r="Q8" s="32"/>
      <c r="R8" s="32"/>
      <c r="S8" s="31"/>
      <c r="T8" s="31"/>
      <c r="V8" s="33"/>
      <c r="W8" s="31"/>
      <c r="X8" s="31"/>
    </row>
    <row r="9">
      <c r="O9" s="35"/>
      <c r="P9" s="35"/>
      <c r="Q9" s="35"/>
      <c r="R9" s="35"/>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40">
        <v>45704.0</v>
      </c>
      <c r="B11" s="41" t="s">
        <v>238</v>
      </c>
      <c r="C11" s="42"/>
      <c r="D11" s="42"/>
      <c r="E11" s="41">
        <v>5.0</v>
      </c>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row>
    <row r="12">
      <c r="A12" s="40">
        <v>45704.0</v>
      </c>
      <c r="B12" s="41" t="s">
        <v>239</v>
      </c>
      <c r="C12" s="41" t="s">
        <v>240</v>
      </c>
      <c r="D12" s="41" t="s">
        <v>241</v>
      </c>
      <c r="E12" s="41"/>
      <c r="F12" s="41">
        <v>10.0</v>
      </c>
      <c r="G12" s="41"/>
      <c r="H12" s="41"/>
      <c r="I12" s="41"/>
      <c r="J12" s="41"/>
      <c r="K12" s="41"/>
      <c r="L12" s="42"/>
      <c r="M12" s="42"/>
      <c r="N12" s="41"/>
      <c r="O12" s="42"/>
      <c r="P12" s="42"/>
      <c r="Q12" s="42"/>
      <c r="R12" s="42"/>
      <c r="S12" s="42"/>
      <c r="T12" s="42"/>
      <c r="U12" s="42"/>
      <c r="V12" s="42"/>
      <c r="W12" s="42"/>
      <c r="X12" s="42"/>
      <c r="Y12" s="42"/>
      <c r="Z12" s="42"/>
      <c r="AA12" s="42"/>
      <c r="AB12" s="42"/>
      <c r="AC12" s="42"/>
      <c r="AD12" s="42"/>
    </row>
    <row r="13">
      <c r="A13" s="40">
        <v>45714.0</v>
      </c>
      <c r="B13" s="41" t="s">
        <v>242</v>
      </c>
      <c r="C13" s="41" t="s">
        <v>243</v>
      </c>
      <c r="D13" s="41" t="s">
        <v>197</v>
      </c>
      <c r="E13" s="42"/>
      <c r="F13" s="41">
        <v>10.0</v>
      </c>
      <c r="G13" s="42"/>
      <c r="H13" s="41"/>
      <c r="I13" s="42"/>
      <c r="J13" s="41" t="s">
        <v>244</v>
      </c>
      <c r="K13" s="41"/>
      <c r="L13" s="42"/>
      <c r="M13" s="42"/>
      <c r="N13" s="41"/>
      <c r="O13" s="42"/>
      <c r="P13" s="42"/>
      <c r="Q13" s="42"/>
      <c r="R13" s="42"/>
      <c r="S13" s="42"/>
      <c r="T13" s="42"/>
      <c r="U13" s="42"/>
      <c r="V13" s="42"/>
      <c r="W13" s="42"/>
      <c r="X13" s="42"/>
      <c r="Y13" s="42"/>
      <c r="Z13" s="42"/>
      <c r="AA13" s="42"/>
      <c r="AB13" s="42"/>
      <c r="AC13" s="42"/>
      <c r="AD13" s="42"/>
    </row>
    <row r="14">
      <c r="A14" s="73">
        <v>45728.0</v>
      </c>
      <c r="B14" s="43" t="s">
        <v>245</v>
      </c>
      <c r="C14" s="41" t="s">
        <v>246</v>
      </c>
      <c r="D14" s="41" t="s">
        <v>247</v>
      </c>
      <c r="E14" s="41"/>
      <c r="F14" s="41">
        <v>10.0</v>
      </c>
      <c r="G14" s="41"/>
      <c r="H14" s="42"/>
      <c r="I14" s="41"/>
      <c r="J14" s="41" t="s">
        <v>248</v>
      </c>
      <c r="K14" s="42"/>
      <c r="L14" s="42"/>
      <c r="M14" s="42"/>
      <c r="N14" s="42"/>
      <c r="O14" s="42"/>
      <c r="P14" s="42"/>
      <c r="Q14" s="42"/>
      <c r="R14" s="42"/>
      <c r="S14" s="42"/>
      <c r="T14" s="42"/>
      <c r="U14" s="42"/>
      <c r="V14" s="42"/>
      <c r="W14" s="42"/>
      <c r="X14" s="42"/>
      <c r="Y14" s="42"/>
      <c r="Z14" s="42"/>
      <c r="AA14" s="42"/>
      <c r="AB14" s="42"/>
      <c r="AC14" s="42"/>
      <c r="AD14" s="42"/>
    </row>
    <row r="15">
      <c r="A15" s="73">
        <v>45854.0</v>
      </c>
      <c r="B15" s="41" t="s">
        <v>249</v>
      </c>
      <c r="C15" s="41" t="s">
        <v>250</v>
      </c>
      <c r="D15" s="41" t="s">
        <v>251</v>
      </c>
      <c r="E15" s="41"/>
      <c r="F15" s="41">
        <v>10.0</v>
      </c>
      <c r="G15" s="41"/>
      <c r="H15" s="42"/>
      <c r="I15" s="41"/>
      <c r="J15" s="41" t="s">
        <v>252</v>
      </c>
      <c r="K15" s="41"/>
      <c r="L15" s="42"/>
      <c r="M15" s="42"/>
      <c r="N15" s="42"/>
      <c r="O15" s="42"/>
      <c r="P15" s="42"/>
      <c r="Q15" s="42"/>
      <c r="R15" s="42"/>
      <c r="S15" s="42"/>
      <c r="T15" s="42"/>
      <c r="U15" s="42"/>
      <c r="V15" s="42"/>
      <c r="W15" s="42"/>
      <c r="X15" s="42"/>
      <c r="Y15" s="42"/>
      <c r="Z15" s="42"/>
      <c r="AA15" s="42"/>
      <c r="AB15" s="42"/>
      <c r="AC15" s="42"/>
      <c r="AD15" s="42"/>
    </row>
    <row r="16">
      <c r="A16" s="40"/>
      <c r="B16" s="42"/>
      <c r="C16" s="41"/>
      <c r="D16" s="42"/>
      <c r="E16" s="42"/>
      <c r="F16" s="42"/>
      <c r="G16" s="42"/>
      <c r="H16" s="41"/>
      <c r="I16" s="42"/>
      <c r="J16" s="42"/>
      <c r="K16" s="41"/>
      <c r="L16" s="42"/>
      <c r="M16" s="42"/>
      <c r="N16" s="41"/>
      <c r="O16" s="42"/>
      <c r="P16" s="42"/>
      <c r="Q16" s="42"/>
      <c r="R16" s="42"/>
      <c r="S16" s="42"/>
      <c r="T16" s="42"/>
      <c r="U16" s="42"/>
      <c r="V16" s="42"/>
      <c r="W16" s="42"/>
      <c r="X16" s="42"/>
      <c r="Y16" s="42"/>
      <c r="Z16" s="42"/>
      <c r="AA16" s="42"/>
      <c r="AB16" s="42"/>
      <c r="AC16" s="42"/>
      <c r="AD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24.5"/>
    <col customWidth="1" min="16" max="16" width="5.25"/>
    <col customWidth="1" min="17" max="17" width="25.38"/>
    <col customWidth="1" min="18" max="18" width="5.88"/>
    <col customWidth="1" min="19" max="19" width="20.5"/>
    <col customWidth="1" min="20" max="21" width="6.25"/>
    <col customWidth="1" min="22" max="22" width="22.75"/>
    <col customWidth="1" min="23" max="23" width="25.38"/>
    <col customWidth="1" min="24" max="24" width="25.63"/>
    <col customWidth="1" min="25" max="25" width="25.88"/>
  </cols>
  <sheetData>
    <row r="1">
      <c r="A1" s="1" t="s">
        <v>253</v>
      </c>
    </row>
    <row r="2">
      <c r="A2" s="2" t="s">
        <v>235</v>
      </c>
      <c r="B2" s="2" t="s">
        <v>254</v>
      </c>
      <c r="C2" s="3" t="s">
        <v>3</v>
      </c>
      <c r="D2" s="4" t="s">
        <v>4</v>
      </c>
      <c r="E2" s="64">
        <f>SUM(E11:E99)+5</f>
        <v>9</v>
      </c>
      <c r="F2" s="6"/>
      <c r="J2" s="7" t="s">
        <v>5</v>
      </c>
      <c r="K2" s="8" t="s">
        <v>6</v>
      </c>
      <c r="L2" s="8" t="s">
        <v>7</v>
      </c>
      <c r="M2" s="8" t="s">
        <v>8</v>
      </c>
      <c r="O2" s="9" t="s">
        <v>255</v>
      </c>
      <c r="P2" s="11"/>
      <c r="Q2" s="11"/>
      <c r="R2" s="11"/>
      <c r="S2" s="11"/>
      <c r="T2" s="12"/>
      <c r="V2" s="9" t="s">
        <v>10</v>
      </c>
      <c r="W2" s="13"/>
      <c r="X2" s="14"/>
    </row>
    <row r="3">
      <c r="A3" s="2" t="s">
        <v>237</v>
      </c>
      <c r="B3" s="2" t="s">
        <v>256</v>
      </c>
      <c r="C3" s="15"/>
      <c r="D3" s="16" t="s">
        <v>12</v>
      </c>
      <c r="E3" s="17">
        <f>SUM(H11:H101)+15-SUM(I11:I101)</f>
        <v>4030</v>
      </c>
      <c r="F3" s="18"/>
      <c r="K3" s="34" t="s">
        <v>257</v>
      </c>
      <c r="L3" s="20"/>
      <c r="M3" s="20"/>
      <c r="O3" s="21"/>
      <c r="P3" s="22"/>
      <c r="Q3" s="22"/>
      <c r="R3" s="21"/>
      <c r="S3" s="21"/>
      <c r="T3" s="25"/>
      <c r="V3" s="44"/>
      <c r="W3" s="24"/>
      <c r="X3" s="25"/>
    </row>
    <row r="4">
      <c r="C4" s="26"/>
      <c r="D4" s="27" t="s">
        <v>15</v>
      </c>
      <c r="E4" s="28">
        <f>SUM(F11:F101)-SUM(G11:G101)</f>
        <v>35</v>
      </c>
      <c r="F4" s="29"/>
      <c r="K4" s="33" t="s">
        <v>258</v>
      </c>
      <c r="L4" s="31"/>
      <c r="M4" s="31"/>
      <c r="O4" s="32"/>
      <c r="P4" s="32"/>
      <c r="Q4" s="32"/>
      <c r="R4" s="31"/>
      <c r="S4" s="31"/>
      <c r="T4" s="31"/>
      <c r="V4" s="33"/>
      <c r="W4" s="30"/>
      <c r="X4" s="31"/>
    </row>
    <row r="5">
      <c r="K5" s="74" t="s">
        <v>259</v>
      </c>
      <c r="L5" s="20"/>
      <c r="M5" s="20"/>
      <c r="O5" s="35"/>
      <c r="P5" s="35"/>
      <c r="Q5" s="35"/>
      <c r="R5" s="20"/>
      <c r="S5" s="20"/>
      <c r="T5" s="20"/>
      <c r="V5" s="34"/>
      <c r="W5" s="20"/>
      <c r="X5" s="20"/>
    </row>
    <row r="6">
      <c r="M6" s="31"/>
      <c r="O6" s="32"/>
      <c r="P6" s="32"/>
      <c r="Q6" s="32"/>
      <c r="R6" s="31"/>
      <c r="S6" s="31"/>
      <c r="T6" s="31"/>
      <c r="V6" s="33"/>
      <c r="W6" s="31"/>
      <c r="X6" s="31"/>
    </row>
    <row r="7">
      <c r="O7" s="35"/>
      <c r="P7" s="36"/>
      <c r="Q7" s="36"/>
      <c r="R7" s="20"/>
      <c r="S7" s="20"/>
      <c r="T7" s="20"/>
      <c r="V7" s="34"/>
      <c r="W7" s="20"/>
      <c r="X7" s="20"/>
    </row>
    <row r="8">
      <c r="J8" s="7" t="s">
        <v>17</v>
      </c>
      <c r="K8" s="74" t="s">
        <v>259</v>
      </c>
      <c r="L8" s="34" t="s">
        <v>258</v>
      </c>
      <c r="M8" s="20"/>
      <c r="O8" s="32"/>
      <c r="P8" s="32"/>
      <c r="Q8" s="32"/>
      <c r="R8" s="31"/>
      <c r="S8" s="31"/>
      <c r="T8" s="31"/>
      <c r="V8" s="33"/>
      <c r="W8" s="31"/>
      <c r="X8" s="31"/>
    </row>
    <row r="9">
      <c r="O9" s="35"/>
      <c r="P9" s="35"/>
      <c r="Q9" s="35"/>
      <c r="R9" s="20"/>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V10" s="38"/>
      <c r="W10" s="38"/>
      <c r="X10" s="38"/>
      <c r="Y10" s="38"/>
      <c r="Z10" s="38"/>
      <c r="AA10" s="38"/>
      <c r="AB10" s="38"/>
      <c r="AC10" s="38"/>
      <c r="AD10" s="38"/>
    </row>
    <row r="11">
      <c r="A11" s="40">
        <v>44468.0</v>
      </c>
      <c r="B11" s="42"/>
      <c r="C11" s="41" t="s">
        <v>238</v>
      </c>
      <c r="D11" s="42"/>
      <c r="E11" s="41">
        <v>1.0</v>
      </c>
      <c r="F11" s="41">
        <v>10.0</v>
      </c>
      <c r="G11" s="42"/>
      <c r="H11" s="41">
        <v>240.0</v>
      </c>
      <c r="I11" s="42"/>
      <c r="J11" s="42"/>
      <c r="K11" s="42"/>
      <c r="L11" s="42"/>
      <c r="M11" s="42"/>
      <c r="N11" s="42"/>
      <c r="O11" s="42"/>
      <c r="P11" s="42"/>
      <c r="Q11" s="42"/>
      <c r="R11" s="42"/>
      <c r="S11" s="42"/>
      <c r="T11" s="42"/>
      <c r="U11" s="42"/>
      <c r="V11" s="42"/>
      <c r="W11" s="42"/>
      <c r="X11" s="42"/>
      <c r="Y11" s="42"/>
      <c r="Z11" s="42"/>
      <c r="AA11" s="42"/>
      <c r="AB11" s="42"/>
      <c r="AC11" s="42"/>
      <c r="AD11" s="42"/>
    </row>
    <row r="12">
      <c r="A12" s="40">
        <v>44468.0</v>
      </c>
      <c r="B12" s="42"/>
      <c r="C12" s="41" t="s">
        <v>238</v>
      </c>
      <c r="D12" s="42"/>
      <c r="E12" s="42"/>
      <c r="F12" s="42"/>
      <c r="G12" s="42"/>
      <c r="H12" s="42"/>
      <c r="I12" s="42"/>
      <c r="J12" s="41" t="s">
        <v>260</v>
      </c>
      <c r="K12" s="42"/>
      <c r="L12" s="42"/>
      <c r="M12" s="42"/>
      <c r="N12" s="42"/>
      <c r="O12" s="42"/>
      <c r="P12" s="42"/>
      <c r="Q12" s="42"/>
      <c r="R12" s="42"/>
      <c r="S12" s="42"/>
      <c r="T12" s="42"/>
      <c r="U12" s="42"/>
      <c r="V12" s="42"/>
      <c r="W12" s="42"/>
      <c r="X12" s="42"/>
      <c r="Y12" s="42"/>
      <c r="Z12" s="42"/>
      <c r="AA12" s="42"/>
      <c r="AB12" s="42"/>
      <c r="AC12" s="42"/>
      <c r="AD12" s="42"/>
    </row>
    <row r="13">
      <c r="A13" s="40">
        <v>44468.0</v>
      </c>
      <c r="B13" s="42"/>
      <c r="C13" s="41" t="s">
        <v>238</v>
      </c>
      <c r="D13" s="42"/>
      <c r="E13" s="42"/>
      <c r="F13" s="42"/>
      <c r="G13" s="42"/>
      <c r="H13" s="42"/>
      <c r="I13" s="42"/>
      <c r="J13" s="41" t="s">
        <v>261</v>
      </c>
      <c r="K13" s="42"/>
      <c r="L13" s="42"/>
      <c r="M13" s="42"/>
      <c r="N13" s="42"/>
      <c r="O13" s="42"/>
      <c r="P13" s="42"/>
      <c r="Q13" s="42"/>
      <c r="R13" s="42"/>
      <c r="S13" s="42"/>
      <c r="T13" s="42"/>
      <c r="U13" s="42"/>
      <c r="V13" s="42"/>
      <c r="W13" s="42"/>
      <c r="X13" s="42"/>
      <c r="Y13" s="42"/>
      <c r="Z13" s="42"/>
      <c r="AA13" s="42"/>
      <c r="AB13" s="42"/>
      <c r="AC13" s="42"/>
      <c r="AD13" s="42"/>
    </row>
    <row r="14">
      <c r="A14" s="40">
        <v>44468.0</v>
      </c>
      <c r="B14" s="42"/>
      <c r="C14" s="41" t="s">
        <v>40</v>
      </c>
      <c r="D14" s="42"/>
      <c r="E14" s="42"/>
      <c r="F14" s="42"/>
      <c r="G14" s="41">
        <v>5.0</v>
      </c>
      <c r="H14" s="42"/>
      <c r="I14" s="42"/>
      <c r="J14" s="41" t="s">
        <v>259</v>
      </c>
      <c r="K14" s="42"/>
      <c r="L14" s="42"/>
      <c r="M14" s="41" t="s">
        <v>262</v>
      </c>
      <c r="N14" s="42"/>
      <c r="O14" s="42"/>
      <c r="P14" s="42"/>
      <c r="Q14" s="42"/>
      <c r="R14" s="42"/>
      <c r="S14" s="42"/>
      <c r="T14" s="42"/>
      <c r="U14" s="42"/>
      <c r="V14" s="42"/>
      <c r="W14" s="42"/>
      <c r="X14" s="42"/>
      <c r="Y14" s="42"/>
      <c r="Z14" s="42"/>
      <c r="AA14" s="42"/>
      <c r="AB14" s="42"/>
      <c r="AC14" s="42"/>
      <c r="AD14" s="42"/>
    </row>
    <row r="15">
      <c r="A15" s="40"/>
      <c r="B15" s="41"/>
      <c r="C15" s="41"/>
      <c r="D15" s="41"/>
      <c r="E15" s="41"/>
      <c r="F15" s="41"/>
      <c r="G15" s="41"/>
      <c r="H15" s="41">
        <v>40.0</v>
      </c>
      <c r="I15" s="41">
        <v>45.0</v>
      </c>
      <c r="J15" s="41"/>
      <c r="K15" s="41"/>
      <c r="L15" s="42"/>
      <c r="M15" s="41" t="s">
        <v>263</v>
      </c>
      <c r="N15" s="41"/>
      <c r="O15" s="42"/>
      <c r="P15" s="42"/>
      <c r="Q15" s="42"/>
      <c r="R15" s="42"/>
      <c r="S15" s="42"/>
      <c r="T15" s="42"/>
      <c r="U15" s="42"/>
      <c r="V15" s="42"/>
      <c r="W15" s="42"/>
      <c r="X15" s="42"/>
      <c r="Y15" s="42"/>
      <c r="Z15" s="42"/>
      <c r="AA15" s="42"/>
      <c r="AB15" s="42"/>
      <c r="AC15" s="42"/>
      <c r="AD15" s="42"/>
    </row>
    <row r="16">
      <c r="A16" s="40"/>
      <c r="B16" s="42"/>
      <c r="C16" s="41"/>
      <c r="D16" s="41"/>
      <c r="E16" s="41">
        <v>1.0</v>
      </c>
      <c r="F16" s="42"/>
      <c r="G16" s="42"/>
      <c r="H16" s="41">
        <v>240.0</v>
      </c>
      <c r="I16" s="41"/>
      <c r="J16" s="42"/>
      <c r="K16" s="41"/>
      <c r="L16" s="42"/>
      <c r="M16" s="42"/>
      <c r="N16" s="41"/>
      <c r="O16" s="42"/>
      <c r="P16" s="42"/>
      <c r="Q16" s="42"/>
      <c r="R16" s="42"/>
      <c r="S16" s="42"/>
      <c r="T16" s="42"/>
      <c r="U16" s="42"/>
      <c r="V16" s="42"/>
      <c r="W16" s="42"/>
      <c r="X16" s="42"/>
      <c r="Y16" s="42"/>
      <c r="Z16" s="42"/>
      <c r="AA16" s="42"/>
      <c r="AB16" s="42"/>
      <c r="AC16" s="42"/>
      <c r="AD16" s="42"/>
    </row>
    <row r="17">
      <c r="A17" s="40"/>
      <c r="B17" s="43"/>
      <c r="C17" s="41"/>
      <c r="D17" s="41"/>
      <c r="E17" s="41">
        <v>1.0</v>
      </c>
      <c r="F17" s="41"/>
      <c r="G17" s="41"/>
      <c r="H17" s="41">
        <v>240.0</v>
      </c>
      <c r="I17" s="41"/>
      <c r="J17" s="41" t="s">
        <v>264</v>
      </c>
      <c r="K17" s="41" t="s">
        <v>265</v>
      </c>
      <c r="L17" s="42"/>
      <c r="M17" s="42"/>
      <c r="N17" s="42"/>
      <c r="O17" s="42"/>
      <c r="P17" s="42"/>
      <c r="Q17" s="42"/>
      <c r="R17" s="42"/>
      <c r="S17" s="42"/>
      <c r="T17" s="42"/>
      <c r="U17" s="42"/>
      <c r="V17" s="42"/>
      <c r="W17" s="42"/>
      <c r="X17" s="42"/>
      <c r="Y17" s="42"/>
      <c r="Z17" s="42"/>
      <c r="AA17" s="42"/>
      <c r="AB17" s="42"/>
      <c r="AC17" s="42"/>
      <c r="AD17" s="42"/>
    </row>
    <row r="18">
      <c r="A18" s="40">
        <v>44501.0</v>
      </c>
      <c r="B18" s="41" t="s">
        <v>266</v>
      </c>
      <c r="C18" s="41" t="s">
        <v>267</v>
      </c>
      <c r="D18" s="41" t="s">
        <v>33</v>
      </c>
      <c r="E18" s="41">
        <v>1.0</v>
      </c>
      <c r="F18" s="41">
        <v>10.0</v>
      </c>
      <c r="G18" s="41"/>
      <c r="H18" s="41">
        <v>1250.0</v>
      </c>
      <c r="I18" s="41">
        <v>450.0</v>
      </c>
      <c r="J18" s="41" t="s">
        <v>268</v>
      </c>
      <c r="K18" s="41"/>
      <c r="L18" s="41" t="s">
        <v>269</v>
      </c>
      <c r="M18" s="42"/>
      <c r="N18" s="42"/>
      <c r="O18" s="42"/>
      <c r="P18" s="42"/>
      <c r="Q18" s="42"/>
      <c r="R18" s="42"/>
      <c r="S18" s="42"/>
      <c r="T18" s="42"/>
      <c r="U18" s="42"/>
      <c r="V18" s="42"/>
      <c r="W18" s="42"/>
      <c r="X18" s="42"/>
      <c r="Y18" s="42"/>
      <c r="Z18" s="42"/>
      <c r="AA18" s="42"/>
      <c r="AB18" s="42"/>
      <c r="AC18" s="42"/>
      <c r="AD18" s="42"/>
    </row>
    <row r="19">
      <c r="A19" s="40">
        <v>45721.0</v>
      </c>
      <c r="B19" s="42"/>
      <c r="C19" s="41" t="s">
        <v>238</v>
      </c>
      <c r="D19" s="42"/>
      <c r="E19" s="42"/>
      <c r="F19" s="42"/>
      <c r="G19" s="42"/>
      <c r="H19" s="41"/>
      <c r="I19" s="42"/>
      <c r="J19" s="41" t="s">
        <v>258</v>
      </c>
      <c r="K19" s="41"/>
      <c r="L19" s="42"/>
      <c r="M19" s="42"/>
      <c r="N19" s="41"/>
      <c r="O19" s="42"/>
      <c r="P19" s="42"/>
      <c r="Q19" s="42"/>
      <c r="R19" s="42"/>
      <c r="S19" s="42"/>
      <c r="T19" s="42"/>
      <c r="U19" s="42"/>
      <c r="V19" s="42"/>
      <c r="W19" s="42"/>
      <c r="X19" s="42"/>
      <c r="Y19" s="42"/>
      <c r="Z19" s="42"/>
      <c r="AA19" s="42"/>
      <c r="AB19" s="42"/>
      <c r="AC19" s="42"/>
      <c r="AD19" s="42"/>
    </row>
    <row r="20">
      <c r="A20" s="40">
        <v>45672.0</v>
      </c>
      <c r="B20" s="42"/>
      <c r="C20" s="41" t="s">
        <v>238</v>
      </c>
      <c r="D20" s="42"/>
      <c r="E20" s="42"/>
      <c r="F20" s="42"/>
      <c r="G20" s="42"/>
      <c r="H20" s="41">
        <v>2500.0</v>
      </c>
      <c r="I20" s="42"/>
      <c r="J20" s="41" t="s">
        <v>257</v>
      </c>
      <c r="K20" s="42"/>
      <c r="L20" s="42"/>
      <c r="M20" s="42"/>
      <c r="N20" s="42"/>
      <c r="O20" s="42"/>
      <c r="P20" s="42"/>
      <c r="Q20" s="42"/>
      <c r="R20" s="42"/>
      <c r="S20" s="42"/>
      <c r="T20" s="42"/>
      <c r="U20" s="42"/>
      <c r="V20" s="42"/>
      <c r="W20" s="42"/>
      <c r="X20" s="42"/>
      <c r="Y20" s="42"/>
      <c r="Z20" s="42"/>
      <c r="AA20" s="42"/>
      <c r="AB20" s="42"/>
      <c r="AC20" s="42"/>
      <c r="AD20" s="42"/>
    </row>
    <row r="21">
      <c r="A21" s="39">
        <v>45672.0</v>
      </c>
      <c r="B21" s="2" t="s">
        <v>270</v>
      </c>
      <c r="C21" s="2" t="s">
        <v>271</v>
      </c>
      <c r="D21" s="2" t="s">
        <v>272</v>
      </c>
      <c r="F21" s="2">
        <v>10.0</v>
      </c>
      <c r="J21" s="2" t="s">
        <v>273</v>
      </c>
    </row>
    <row r="22">
      <c r="A22" s="75">
        <v>45721.0</v>
      </c>
      <c r="B22" s="2" t="s">
        <v>274</v>
      </c>
      <c r="C22" s="2" t="s">
        <v>275</v>
      </c>
      <c r="D22" s="2" t="s">
        <v>188</v>
      </c>
      <c r="F22" s="2">
        <v>10.0</v>
      </c>
      <c r="J22" s="2" t="s">
        <v>276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7.5"/>
    <col customWidth="1" min="23" max="23" width="25.38"/>
    <col customWidth="1" min="24" max="24" width="25.63"/>
    <col customWidth="1" min="25" max="25" width="25.88"/>
  </cols>
  <sheetData>
    <row r="1">
      <c r="A1" s="1" t="s">
        <v>277</v>
      </c>
    </row>
    <row r="2">
      <c r="A2" s="2" t="s">
        <v>1</v>
      </c>
      <c r="B2" s="2" t="s">
        <v>278</v>
      </c>
      <c r="C2" s="3" t="s">
        <v>3</v>
      </c>
      <c r="D2" s="4" t="s">
        <v>4</v>
      </c>
      <c r="E2" s="5">
        <f>SUM(E11:E98)+5</f>
        <v>8</v>
      </c>
      <c r="F2" s="6"/>
      <c r="J2" s="7" t="s">
        <v>5</v>
      </c>
      <c r="K2" s="8" t="s">
        <v>6</v>
      </c>
      <c r="L2" s="8" t="s">
        <v>7</v>
      </c>
      <c r="M2" s="8" t="s">
        <v>8</v>
      </c>
      <c r="O2" s="9" t="s">
        <v>9</v>
      </c>
      <c r="P2" s="10"/>
      <c r="Q2" s="11"/>
      <c r="R2" s="11"/>
      <c r="S2" s="11"/>
      <c r="T2" s="12"/>
      <c r="V2" s="9" t="s">
        <v>10</v>
      </c>
      <c r="W2" s="13"/>
      <c r="X2" s="14"/>
    </row>
    <row r="3">
      <c r="A3" s="2" t="s">
        <v>279</v>
      </c>
      <c r="C3" s="15"/>
      <c r="D3" s="16" t="s">
        <v>12</v>
      </c>
      <c r="E3" s="17">
        <f>SUM(H12:H98)+15-SUM(I12:I98)</f>
        <v>15</v>
      </c>
      <c r="F3" s="18"/>
      <c r="K3" s="68" t="s">
        <v>280</v>
      </c>
      <c r="L3" s="20"/>
      <c r="M3" s="20"/>
      <c r="O3" s="21"/>
      <c r="P3" s="21"/>
      <c r="Q3" s="22"/>
      <c r="R3" s="22"/>
      <c r="S3" s="21"/>
      <c r="T3" s="21"/>
      <c r="V3" s="44"/>
      <c r="W3" s="24"/>
      <c r="X3" s="25"/>
    </row>
    <row r="4">
      <c r="C4" s="26"/>
      <c r="D4" s="27" t="s">
        <v>15</v>
      </c>
      <c r="E4" s="28">
        <f>SUM(F12:F98)-SUM(G12:G98)</f>
        <v>20</v>
      </c>
      <c r="F4" s="29"/>
      <c r="K4" s="33" t="s">
        <v>281</v>
      </c>
      <c r="L4" s="31"/>
      <c r="M4" s="31"/>
      <c r="O4" s="32"/>
      <c r="P4" s="32"/>
      <c r="Q4" s="32"/>
      <c r="R4" s="32"/>
      <c r="S4" s="31"/>
      <c r="T4" s="31"/>
      <c r="V4" s="33"/>
      <c r="W4" s="30"/>
      <c r="X4" s="31"/>
    </row>
    <row r="5">
      <c r="K5" s="68" t="s">
        <v>282</v>
      </c>
      <c r="L5" s="20"/>
      <c r="M5" s="20"/>
      <c r="O5" s="35"/>
      <c r="P5" s="35"/>
      <c r="Q5" s="35"/>
      <c r="R5" s="35"/>
      <c r="S5" s="20"/>
      <c r="T5" s="20"/>
      <c r="V5" s="34"/>
      <c r="W5" s="20"/>
      <c r="X5" s="20"/>
    </row>
    <row r="6">
      <c r="M6" s="31"/>
      <c r="O6" s="32"/>
      <c r="P6" s="32"/>
      <c r="Q6" s="32"/>
      <c r="R6" s="32"/>
      <c r="S6" s="31"/>
      <c r="T6" s="31"/>
      <c r="V6" s="33"/>
      <c r="W6" s="31"/>
      <c r="X6" s="31"/>
    </row>
    <row r="7">
      <c r="O7" s="35"/>
      <c r="P7" s="35"/>
      <c r="Q7" s="36"/>
      <c r="R7" s="36"/>
      <c r="S7" s="20"/>
      <c r="T7" s="20"/>
      <c r="V7" s="34"/>
      <c r="W7" s="20"/>
      <c r="X7" s="20"/>
    </row>
    <row r="8">
      <c r="J8" s="7" t="s">
        <v>17</v>
      </c>
      <c r="K8" s="19"/>
      <c r="L8" s="34"/>
      <c r="M8" s="20"/>
      <c r="O8" s="32"/>
      <c r="P8" s="32"/>
      <c r="Q8" s="32"/>
      <c r="R8" s="32"/>
      <c r="S8" s="31"/>
      <c r="T8" s="31"/>
      <c r="V8" s="33"/>
      <c r="W8" s="31"/>
      <c r="X8" s="31"/>
    </row>
    <row r="9">
      <c r="O9" s="35"/>
      <c r="P9" s="35"/>
      <c r="Q9" s="35"/>
      <c r="R9" s="35"/>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40">
        <v>45113.0</v>
      </c>
      <c r="B11" s="41"/>
      <c r="C11" s="41" t="s">
        <v>283</v>
      </c>
      <c r="D11" s="41"/>
      <c r="E11" s="41">
        <v>1.0</v>
      </c>
      <c r="F11" s="41"/>
      <c r="G11" s="41"/>
      <c r="H11" s="41"/>
      <c r="I11" s="41"/>
      <c r="J11" s="41" t="s">
        <v>280</v>
      </c>
      <c r="K11" s="41"/>
      <c r="L11" s="42"/>
      <c r="M11" s="42"/>
      <c r="N11" s="41"/>
      <c r="O11" s="42"/>
      <c r="P11" s="42"/>
      <c r="Q11" s="42"/>
      <c r="R11" s="42"/>
      <c r="S11" s="42"/>
      <c r="T11" s="42"/>
      <c r="U11" s="42"/>
      <c r="V11" s="42"/>
      <c r="W11" s="42"/>
      <c r="X11" s="42"/>
      <c r="Y11" s="42"/>
      <c r="Z11" s="42"/>
      <c r="AA11" s="42"/>
      <c r="AB11" s="42"/>
      <c r="AC11" s="42"/>
      <c r="AD11" s="42"/>
    </row>
    <row r="12">
      <c r="A12" s="40">
        <v>45113.0</v>
      </c>
      <c r="B12" s="41"/>
      <c r="C12" s="41" t="s">
        <v>284</v>
      </c>
      <c r="D12" s="41" t="s">
        <v>37</v>
      </c>
      <c r="E12" s="41">
        <v>1.0</v>
      </c>
      <c r="F12" s="41">
        <v>10.0</v>
      </c>
      <c r="G12" s="41"/>
      <c r="H12" s="41"/>
      <c r="I12" s="41"/>
      <c r="J12" s="41" t="s">
        <v>285</v>
      </c>
      <c r="K12" s="41"/>
      <c r="L12" s="42"/>
      <c r="M12" s="42"/>
      <c r="N12" s="41"/>
      <c r="O12" s="42"/>
      <c r="P12" s="42"/>
      <c r="Q12" s="42"/>
      <c r="R12" s="42"/>
      <c r="S12" s="42"/>
      <c r="T12" s="42"/>
      <c r="U12" s="42"/>
      <c r="V12" s="42"/>
      <c r="W12" s="42"/>
      <c r="X12" s="42"/>
      <c r="Y12" s="42"/>
      <c r="Z12" s="42"/>
      <c r="AA12" s="42"/>
      <c r="AB12" s="42"/>
      <c r="AC12" s="42"/>
      <c r="AD12" s="42"/>
    </row>
    <row r="13">
      <c r="A13" s="40">
        <v>45119.0</v>
      </c>
      <c r="B13" s="42"/>
      <c r="C13" s="41" t="s">
        <v>286</v>
      </c>
      <c r="D13" s="41" t="s">
        <v>37</v>
      </c>
      <c r="E13" s="41">
        <v>1.0</v>
      </c>
      <c r="F13" s="41">
        <v>10.0</v>
      </c>
      <c r="G13" s="42"/>
      <c r="H13" s="41"/>
      <c r="I13" s="42"/>
      <c r="J13" s="41" t="s">
        <v>287</v>
      </c>
      <c r="K13" s="41"/>
      <c r="L13" s="42"/>
      <c r="M13" s="42"/>
      <c r="N13" s="41"/>
      <c r="O13" s="42"/>
      <c r="P13" s="42"/>
      <c r="Q13" s="42"/>
      <c r="R13" s="42"/>
      <c r="S13" s="42"/>
      <c r="T13" s="42"/>
      <c r="U13" s="42"/>
      <c r="V13" s="42"/>
      <c r="W13" s="42"/>
      <c r="X13" s="42"/>
      <c r="Y13" s="42"/>
      <c r="Z13" s="42"/>
      <c r="AA13" s="42"/>
      <c r="AB13" s="42"/>
      <c r="AC13" s="42"/>
      <c r="AD13" s="42"/>
    </row>
    <row r="14">
      <c r="A14" s="40"/>
      <c r="B14" s="43"/>
      <c r="C14" s="41"/>
      <c r="D14" s="41"/>
      <c r="E14" s="41"/>
      <c r="F14" s="41"/>
      <c r="G14" s="41"/>
      <c r="H14" s="42"/>
      <c r="I14" s="41"/>
      <c r="J14" s="42"/>
      <c r="K14" s="42"/>
      <c r="L14" s="42"/>
      <c r="M14" s="42"/>
      <c r="N14" s="42"/>
      <c r="O14" s="42"/>
      <c r="P14" s="42"/>
      <c r="Q14" s="42"/>
      <c r="R14" s="42"/>
      <c r="S14" s="42"/>
      <c r="T14" s="42"/>
      <c r="U14" s="42"/>
      <c r="V14" s="42"/>
      <c r="W14" s="42"/>
      <c r="X14" s="42"/>
      <c r="Y14" s="42"/>
      <c r="Z14" s="42"/>
      <c r="AA14" s="42"/>
      <c r="AB14" s="42"/>
      <c r="AC14" s="42"/>
      <c r="AD14" s="42"/>
    </row>
    <row r="15">
      <c r="A15" s="40"/>
      <c r="B15" s="41"/>
      <c r="C15" s="41"/>
      <c r="D15" s="41"/>
      <c r="E15" s="41"/>
      <c r="F15" s="41"/>
      <c r="G15" s="41"/>
      <c r="H15" s="42"/>
      <c r="I15" s="41"/>
      <c r="J15" s="42"/>
      <c r="K15" s="41"/>
      <c r="L15" s="42"/>
      <c r="M15" s="42"/>
      <c r="N15" s="42"/>
      <c r="O15" s="42"/>
      <c r="P15" s="42"/>
      <c r="Q15" s="42"/>
      <c r="R15" s="42"/>
      <c r="S15" s="42"/>
      <c r="T15" s="42"/>
      <c r="U15" s="42"/>
      <c r="V15" s="42"/>
      <c r="W15" s="42"/>
      <c r="X15" s="42"/>
      <c r="Y15" s="42"/>
      <c r="Z15" s="42"/>
      <c r="AA15" s="42"/>
      <c r="AB15" s="42"/>
      <c r="AC15" s="42"/>
      <c r="AD15" s="42"/>
    </row>
    <row r="16">
      <c r="A16" s="40"/>
      <c r="B16" s="42"/>
      <c r="C16" s="41"/>
      <c r="D16" s="42"/>
      <c r="E16" s="42"/>
      <c r="F16" s="42"/>
      <c r="G16" s="42"/>
      <c r="H16" s="41"/>
      <c r="I16" s="42"/>
      <c r="J16" s="42"/>
      <c r="K16" s="41"/>
      <c r="L16" s="42"/>
      <c r="M16" s="42"/>
      <c r="N16" s="41"/>
      <c r="O16" s="42"/>
      <c r="P16" s="42"/>
      <c r="Q16" s="42"/>
      <c r="R16" s="42"/>
      <c r="S16" s="42"/>
      <c r="T16" s="42"/>
      <c r="U16" s="42"/>
      <c r="V16" s="42"/>
      <c r="W16" s="42"/>
      <c r="X16" s="42"/>
      <c r="Y16" s="42"/>
      <c r="Z16" s="42"/>
      <c r="AA16" s="42"/>
      <c r="AB16" s="42"/>
      <c r="AC16" s="42"/>
      <c r="AD16" s="42"/>
    </row>
    <row r="17">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7.5"/>
    <col customWidth="1" min="23" max="23" width="25.38"/>
    <col customWidth="1" min="24" max="24" width="25.63"/>
    <col customWidth="1" min="25" max="25" width="25.88"/>
  </cols>
  <sheetData>
    <row r="1">
      <c r="A1" s="1" t="s">
        <v>288</v>
      </c>
    </row>
    <row r="2">
      <c r="A2" s="2" t="s">
        <v>1</v>
      </c>
      <c r="B2" s="2" t="s">
        <v>2</v>
      </c>
      <c r="C2" s="3" t="s">
        <v>3</v>
      </c>
      <c r="D2" s="4" t="s">
        <v>4</v>
      </c>
      <c r="E2" s="5">
        <f>SUM(E11:E97)+5</f>
        <v>10</v>
      </c>
      <c r="F2" s="6"/>
      <c r="J2" s="7" t="s">
        <v>5</v>
      </c>
      <c r="K2" s="8" t="s">
        <v>6</v>
      </c>
      <c r="L2" s="8" t="s">
        <v>7</v>
      </c>
      <c r="M2" s="8" t="s">
        <v>8</v>
      </c>
      <c r="O2" s="9" t="s">
        <v>9</v>
      </c>
      <c r="P2" s="10"/>
      <c r="Q2" s="11"/>
      <c r="R2" s="11"/>
      <c r="S2" s="11"/>
      <c r="T2" s="12"/>
      <c r="V2" s="9" t="s">
        <v>10</v>
      </c>
      <c r="W2" s="13"/>
      <c r="X2" s="14"/>
    </row>
    <row r="3">
      <c r="A3" s="2" t="s">
        <v>11</v>
      </c>
      <c r="C3" s="15"/>
      <c r="D3" s="16" t="s">
        <v>12</v>
      </c>
      <c r="E3" s="17">
        <f>SUM(H11:H97)+15-SUM(I11:I97)</f>
        <v>11788</v>
      </c>
      <c r="F3" s="18"/>
      <c r="K3" s="76" t="s">
        <v>289</v>
      </c>
      <c r="L3" s="20"/>
      <c r="M3" s="20"/>
      <c r="O3" s="21">
        <v>1.0</v>
      </c>
      <c r="P3" s="21" t="s">
        <v>290</v>
      </c>
      <c r="Q3" s="22"/>
      <c r="R3" s="22"/>
      <c r="S3" s="21"/>
      <c r="T3" s="21"/>
      <c r="V3" s="77" t="s">
        <v>291</v>
      </c>
      <c r="W3" s="24"/>
      <c r="X3" s="25"/>
    </row>
    <row r="4">
      <c r="C4" s="26"/>
      <c r="D4" s="27" t="s">
        <v>15</v>
      </c>
      <c r="E4" s="28">
        <f>SUM(F11:F97)-SUM(G11:G97)</f>
        <v>55</v>
      </c>
      <c r="F4" s="29"/>
      <c r="K4" s="78" t="s">
        <v>292</v>
      </c>
      <c r="L4" s="31"/>
      <c r="M4" s="31"/>
      <c r="O4" s="32">
        <v>1.0</v>
      </c>
      <c r="P4" s="32" t="s">
        <v>293</v>
      </c>
      <c r="Q4" s="32"/>
      <c r="R4" s="32"/>
      <c r="S4" s="31"/>
      <c r="T4" s="31"/>
      <c r="V4" s="33" t="s">
        <v>294</v>
      </c>
      <c r="W4" s="30"/>
      <c r="X4" s="31"/>
    </row>
    <row r="5">
      <c r="K5" s="23" t="s">
        <v>38</v>
      </c>
      <c r="L5" s="20"/>
      <c r="M5" s="20"/>
      <c r="O5" s="35"/>
      <c r="P5" s="35"/>
      <c r="Q5" s="35"/>
      <c r="R5" s="35"/>
      <c r="S5" s="20"/>
      <c r="T5" s="20"/>
      <c r="V5" s="23" t="s">
        <v>293</v>
      </c>
      <c r="W5" s="20"/>
      <c r="X5" s="20"/>
    </row>
    <row r="6">
      <c r="M6" s="31"/>
      <c r="O6" s="32"/>
      <c r="P6" s="32"/>
      <c r="Q6" s="32"/>
      <c r="R6" s="32"/>
      <c r="S6" s="31"/>
      <c r="T6" s="31"/>
      <c r="V6" s="33"/>
      <c r="W6" s="31"/>
      <c r="X6" s="31"/>
    </row>
    <row r="7">
      <c r="O7" s="35"/>
      <c r="P7" s="35"/>
      <c r="Q7" s="36"/>
      <c r="R7" s="36"/>
      <c r="S7" s="20"/>
      <c r="T7" s="20"/>
      <c r="V7" s="34"/>
      <c r="W7" s="20"/>
      <c r="X7" s="20"/>
    </row>
    <row r="8">
      <c r="J8" s="7" t="s">
        <v>17</v>
      </c>
      <c r="K8" s="23" t="s">
        <v>38</v>
      </c>
      <c r="L8" s="34"/>
      <c r="M8" s="20"/>
      <c r="O8" s="32"/>
      <c r="P8" s="32"/>
      <c r="Q8" s="32"/>
      <c r="R8" s="32"/>
      <c r="S8" s="31"/>
      <c r="T8" s="31"/>
      <c r="V8" s="33"/>
      <c r="W8" s="31"/>
      <c r="X8" s="31"/>
    </row>
    <row r="9">
      <c r="O9" s="35"/>
      <c r="P9" s="35"/>
      <c r="Q9" s="35"/>
      <c r="R9" s="35"/>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40">
        <v>44811.0</v>
      </c>
      <c r="B11" s="41" t="s">
        <v>295</v>
      </c>
      <c r="C11" s="41" t="s">
        <v>296</v>
      </c>
      <c r="D11" s="41" t="s">
        <v>247</v>
      </c>
      <c r="E11" s="41">
        <v>1.0</v>
      </c>
      <c r="F11" s="41">
        <v>10.0</v>
      </c>
      <c r="G11" s="41"/>
      <c r="H11" s="41"/>
      <c r="I11" s="41"/>
      <c r="J11" s="41" t="s">
        <v>14</v>
      </c>
      <c r="K11" s="41"/>
      <c r="L11" s="41" t="s">
        <v>297</v>
      </c>
      <c r="M11" s="42"/>
      <c r="N11" s="41"/>
      <c r="O11" s="42"/>
      <c r="P11" s="42"/>
      <c r="Q11" s="42"/>
      <c r="R11" s="42"/>
      <c r="S11" s="42"/>
      <c r="T11" s="42"/>
      <c r="U11" s="42"/>
      <c r="V11" s="42"/>
      <c r="W11" s="42"/>
      <c r="X11" s="42"/>
      <c r="Y11" s="42"/>
      <c r="Z11" s="42"/>
      <c r="AA11" s="42"/>
      <c r="AB11" s="42"/>
      <c r="AC11" s="42"/>
      <c r="AD11" s="42"/>
    </row>
    <row r="12">
      <c r="A12" s="40">
        <v>44834.0</v>
      </c>
      <c r="B12" s="42"/>
      <c r="C12" s="41" t="s">
        <v>298</v>
      </c>
      <c r="D12" s="41"/>
      <c r="E12" s="41">
        <v>1.0</v>
      </c>
      <c r="F12" s="41">
        <v>30.0</v>
      </c>
      <c r="G12" s="42"/>
      <c r="H12" s="41"/>
      <c r="I12" s="42"/>
      <c r="J12" s="41" t="s">
        <v>289</v>
      </c>
      <c r="K12" s="41"/>
      <c r="L12" s="42"/>
      <c r="M12" s="42"/>
      <c r="N12" s="41"/>
      <c r="O12" s="42"/>
      <c r="P12" s="42"/>
      <c r="Q12" s="42"/>
      <c r="R12" s="42"/>
      <c r="S12" s="42"/>
      <c r="T12" s="42"/>
      <c r="U12" s="42"/>
      <c r="V12" s="42"/>
      <c r="W12" s="42"/>
      <c r="X12" s="42"/>
      <c r="Y12" s="42"/>
      <c r="Z12" s="42"/>
      <c r="AA12" s="42"/>
      <c r="AB12" s="42"/>
      <c r="AC12" s="42"/>
      <c r="AD12" s="42"/>
    </row>
    <row r="13">
      <c r="A13" s="40">
        <v>44834.0</v>
      </c>
      <c r="B13" s="43"/>
      <c r="C13" s="41" t="s">
        <v>299</v>
      </c>
      <c r="D13" s="41"/>
      <c r="E13" s="41">
        <v>1.0</v>
      </c>
      <c r="F13" s="41"/>
      <c r="G13" s="41"/>
      <c r="H13" s="41">
        <v>10000.0</v>
      </c>
      <c r="I13" s="41"/>
      <c r="J13" s="41" t="s">
        <v>292</v>
      </c>
      <c r="K13" s="42"/>
      <c r="L13" s="42"/>
      <c r="M13" s="42"/>
      <c r="N13" s="42"/>
      <c r="O13" s="42"/>
      <c r="P13" s="42"/>
      <c r="Q13" s="42"/>
      <c r="R13" s="42"/>
      <c r="S13" s="42"/>
      <c r="T13" s="42"/>
      <c r="U13" s="42"/>
      <c r="V13" s="42"/>
      <c r="W13" s="42"/>
      <c r="X13" s="42"/>
      <c r="Y13" s="42"/>
      <c r="Z13" s="42"/>
      <c r="AA13" s="42"/>
      <c r="AB13" s="42"/>
      <c r="AC13" s="42"/>
      <c r="AD13" s="42"/>
    </row>
    <row r="14">
      <c r="A14" s="40">
        <v>44839.0</v>
      </c>
      <c r="B14" s="41" t="s">
        <v>300</v>
      </c>
      <c r="C14" s="41" t="s">
        <v>301</v>
      </c>
      <c r="D14" s="41" t="s">
        <v>210</v>
      </c>
      <c r="E14" s="41">
        <v>1.0</v>
      </c>
      <c r="F14" s="41">
        <v>10.0</v>
      </c>
      <c r="G14" s="41"/>
      <c r="H14" s="41">
        <v>940.0</v>
      </c>
      <c r="I14" s="41"/>
      <c r="J14" s="41" t="s">
        <v>302</v>
      </c>
      <c r="K14" s="41" t="s">
        <v>290</v>
      </c>
      <c r="L14" s="42"/>
      <c r="M14" s="42"/>
      <c r="N14" s="42"/>
      <c r="O14" s="42"/>
      <c r="P14" s="42"/>
      <c r="Q14" s="42"/>
      <c r="R14" s="42"/>
      <c r="S14" s="42"/>
      <c r="T14" s="42"/>
      <c r="U14" s="42"/>
      <c r="V14" s="42"/>
      <c r="W14" s="42"/>
      <c r="X14" s="42"/>
      <c r="Y14" s="42"/>
      <c r="Z14" s="42"/>
      <c r="AA14" s="42"/>
      <c r="AB14" s="42"/>
      <c r="AC14" s="42"/>
      <c r="AD14" s="42"/>
    </row>
    <row r="15">
      <c r="A15" s="40">
        <v>44842.0</v>
      </c>
      <c r="B15" s="42"/>
      <c r="C15" s="41" t="s">
        <v>40</v>
      </c>
      <c r="D15" s="42"/>
      <c r="E15" s="42"/>
      <c r="F15" s="42"/>
      <c r="G15" s="41">
        <v>5.0</v>
      </c>
      <c r="H15" s="41"/>
      <c r="I15" s="42"/>
      <c r="J15" s="41" t="s">
        <v>38</v>
      </c>
      <c r="K15" s="41"/>
      <c r="L15" s="42"/>
      <c r="M15" s="41" t="s">
        <v>303</v>
      </c>
      <c r="N15" s="41"/>
      <c r="O15" s="42"/>
      <c r="P15" s="42"/>
      <c r="Q15" s="42"/>
      <c r="R15" s="42"/>
      <c r="S15" s="42"/>
      <c r="T15" s="42"/>
      <c r="U15" s="42"/>
      <c r="V15" s="42"/>
      <c r="W15" s="42"/>
      <c r="X15" s="42"/>
      <c r="Y15" s="42"/>
      <c r="Z15" s="42"/>
      <c r="AA15" s="42"/>
      <c r="AB15" s="42"/>
      <c r="AC15" s="42"/>
      <c r="AD15" s="42"/>
    </row>
    <row r="16">
      <c r="A16" s="40">
        <v>44950.0</v>
      </c>
      <c r="B16" s="41" t="s">
        <v>304</v>
      </c>
      <c r="C16" s="41" t="s">
        <v>305</v>
      </c>
      <c r="D16" s="41" t="s">
        <v>306</v>
      </c>
      <c r="E16" s="41">
        <v>1.0</v>
      </c>
      <c r="F16" s="41">
        <v>10.0</v>
      </c>
      <c r="G16" s="42"/>
      <c r="H16" s="41">
        <v>833.0</v>
      </c>
      <c r="I16" s="42"/>
      <c r="J16" s="41" t="s">
        <v>307</v>
      </c>
      <c r="K16" s="42"/>
      <c r="L16" s="41" t="s">
        <v>308</v>
      </c>
      <c r="M16" s="42"/>
      <c r="N16" s="42"/>
      <c r="O16" s="42"/>
      <c r="P16" s="42"/>
      <c r="Q16" s="42"/>
      <c r="R16" s="42"/>
      <c r="S16" s="42"/>
      <c r="T16" s="42"/>
      <c r="U16" s="42"/>
      <c r="V16" s="42"/>
      <c r="W16" s="42"/>
      <c r="X16" s="42"/>
      <c r="Y16" s="42"/>
      <c r="Z16" s="42"/>
      <c r="AA16" s="42"/>
      <c r="AB16" s="42"/>
      <c r="AC16" s="42"/>
      <c r="AD16" s="4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6" width="7.38"/>
    <col customWidth="1" min="7" max="7" width="6.38"/>
    <col customWidth="1" min="8" max="8" width="7.5"/>
    <col customWidth="1" min="9" max="9" width="6.75"/>
    <col customWidth="1" min="10" max="10" width="21.63"/>
    <col customWidth="1" min="11" max="11" width="23.5"/>
    <col customWidth="1" min="12" max="12" width="21.88"/>
    <col customWidth="1" min="13" max="13" width="24.63"/>
    <col customWidth="1" min="14" max="14" width="5.88"/>
    <col customWidth="1" min="15" max="15" width="24.5"/>
    <col customWidth="1" min="16" max="16" width="5.25"/>
    <col customWidth="1" min="17" max="17" width="25.38"/>
    <col customWidth="1" min="18" max="18" width="5.88"/>
    <col customWidth="1" min="19" max="19" width="20.5"/>
    <col customWidth="1" min="20" max="20" width="6.25"/>
  </cols>
  <sheetData>
    <row r="1">
      <c r="A1" s="1" t="s">
        <v>309</v>
      </c>
    </row>
    <row r="2">
      <c r="A2" s="2" t="s">
        <v>310</v>
      </c>
      <c r="B2" s="2" t="s">
        <v>311</v>
      </c>
      <c r="C2" s="3" t="s">
        <v>3</v>
      </c>
      <c r="D2" s="4" t="s">
        <v>4</v>
      </c>
      <c r="E2" s="5">
        <f>SUM(E11:E103)+1</f>
        <v>6</v>
      </c>
      <c r="J2" s="7" t="s">
        <v>5</v>
      </c>
      <c r="K2" s="8" t="s">
        <v>6</v>
      </c>
      <c r="L2" s="8" t="s">
        <v>7</v>
      </c>
      <c r="M2" s="8" t="s">
        <v>8</v>
      </c>
      <c r="O2" s="9" t="s">
        <v>9</v>
      </c>
      <c r="P2" s="10"/>
      <c r="Q2" s="11"/>
      <c r="R2" s="11"/>
      <c r="S2" s="11"/>
      <c r="T2" s="12"/>
    </row>
    <row r="3">
      <c r="A3" s="2" t="s">
        <v>312</v>
      </c>
      <c r="C3" s="15"/>
      <c r="D3" s="16" t="s">
        <v>12</v>
      </c>
      <c r="E3" s="17">
        <f>SUM(H11:H103)+15-SUM(I11:I103)</f>
        <v>386</v>
      </c>
      <c r="K3" s="34" t="s">
        <v>258</v>
      </c>
      <c r="L3" s="20"/>
      <c r="M3" s="20"/>
      <c r="O3" s="21" t="s">
        <v>13</v>
      </c>
      <c r="P3" s="21">
        <v>1.0</v>
      </c>
      <c r="Q3" s="22"/>
      <c r="R3" s="22"/>
      <c r="S3" s="21"/>
      <c r="T3" s="21"/>
    </row>
    <row r="4">
      <c r="C4" s="26"/>
      <c r="D4" s="27" t="s">
        <v>15</v>
      </c>
      <c r="E4" s="28">
        <f>SUM(F11:F103)-SUM(G11:G103)</f>
        <v>45</v>
      </c>
      <c r="K4" s="79" t="s">
        <v>313</v>
      </c>
      <c r="L4" s="31"/>
      <c r="M4" s="31"/>
      <c r="O4" s="32" t="s">
        <v>290</v>
      </c>
      <c r="P4" s="32">
        <v>4.0</v>
      </c>
      <c r="Q4" s="32"/>
      <c r="R4" s="32"/>
      <c r="S4" s="31"/>
      <c r="T4" s="31"/>
    </row>
    <row r="5">
      <c r="K5" s="34" t="s">
        <v>314</v>
      </c>
      <c r="L5" s="20"/>
      <c r="M5" s="20"/>
      <c r="O5" s="35"/>
      <c r="P5" s="35"/>
      <c r="Q5" s="35"/>
      <c r="R5" s="35"/>
      <c r="S5" s="20"/>
      <c r="T5" s="20"/>
    </row>
    <row r="6">
      <c r="K6" s="2" t="s">
        <v>315</v>
      </c>
      <c r="L6" s="2" t="s">
        <v>316</v>
      </c>
      <c r="M6" s="31"/>
      <c r="O6" s="32"/>
      <c r="P6" s="32"/>
      <c r="Q6" s="32"/>
      <c r="R6" s="32"/>
      <c r="S6" s="31"/>
      <c r="T6" s="31"/>
    </row>
    <row r="7">
      <c r="K7" s="2" t="s">
        <v>317</v>
      </c>
      <c r="L7" s="2" t="s">
        <v>318</v>
      </c>
      <c r="O7" s="35"/>
      <c r="P7" s="35"/>
      <c r="Q7" s="36"/>
      <c r="R7" s="36"/>
      <c r="S7" s="20"/>
      <c r="T7" s="20"/>
    </row>
    <row r="8">
      <c r="J8" s="7" t="s">
        <v>17</v>
      </c>
      <c r="K8" s="34" t="s">
        <v>258</v>
      </c>
      <c r="L8" s="34" t="s">
        <v>314</v>
      </c>
      <c r="M8" s="79" t="s">
        <v>313</v>
      </c>
      <c r="O8" s="32"/>
      <c r="P8" s="32"/>
      <c r="Q8" s="32"/>
      <c r="R8" s="32"/>
      <c r="S8" s="31"/>
      <c r="T8" s="31"/>
    </row>
    <row r="9">
      <c r="O9" s="35"/>
      <c r="P9" s="35"/>
      <c r="Q9" s="35"/>
      <c r="R9" s="35"/>
      <c r="S9" s="20"/>
      <c r="T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N10" s="38"/>
      <c r="U10" s="38"/>
      <c r="V10" s="38"/>
      <c r="W10" s="38"/>
      <c r="X10" s="38"/>
      <c r="Y10" s="38"/>
      <c r="Z10" s="38"/>
      <c r="AA10" s="38"/>
      <c r="AB10" s="38"/>
      <c r="AC10" s="38"/>
    </row>
    <row r="11">
      <c r="A11" s="39">
        <v>44155.0</v>
      </c>
      <c r="B11" s="2" t="s">
        <v>319</v>
      </c>
      <c r="C11" s="2" t="s">
        <v>320</v>
      </c>
      <c r="D11" s="2" t="s">
        <v>58</v>
      </c>
      <c r="E11" s="2">
        <v>1.0</v>
      </c>
      <c r="F11" s="2">
        <v>10.0</v>
      </c>
      <c r="H11" s="2">
        <v>40.0</v>
      </c>
      <c r="I11" s="2">
        <v>4.0</v>
      </c>
      <c r="J11" s="2" t="s">
        <v>321</v>
      </c>
      <c r="M11" s="2" t="s">
        <v>322</v>
      </c>
    </row>
    <row r="12">
      <c r="A12" s="39">
        <v>44164.0</v>
      </c>
      <c r="B12" s="2" t="s">
        <v>323</v>
      </c>
      <c r="C12" s="2" t="s">
        <v>324</v>
      </c>
      <c r="D12" s="2" t="s">
        <v>37</v>
      </c>
      <c r="E12" s="2">
        <v>1.0</v>
      </c>
      <c r="F12" s="2">
        <v>10.0</v>
      </c>
      <c r="H12" s="2">
        <v>60.0</v>
      </c>
      <c r="J12" s="2" t="s">
        <v>258</v>
      </c>
      <c r="L12" s="2" t="s">
        <v>325</v>
      </c>
    </row>
    <row r="13">
      <c r="A13" s="39">
        <v>44168.0</v>
      </c>
      <c r="B13" s="2" t="s">
        <v>326</v>
      </c>
      <c r="C13" s="2" t="s">
        <v>327</v>
      </c>
      <c r="D13" s="2" t="s">
        <v>328</v>
      </c>
      <c r="E13" s="2">
        <v>1.0</v>
      </c>
      <c r="F13" s="2">
        <v>10.0</v>
      </c>
      <c r="H13" s="2">
        <v>40.0</v>
      </c>
    </row>
    <row r="14">
      <c r="A14" s="39">
        <v>44191.0</v>
      </c>
      <c r="B14" s="2" t="s">
        <v>329</v>
      </c>
      <c r="C14" s="2" t="s">
        <v>330</v>
      </c>
      <c r="D14" s="2" t="s">
        <v>37</v>
      </c>
      <c r="E14" s="2">
        <v>0.0</v>
      </c>
      <c r="H14" s="2">
        <v>40.0</v>
      </c>
      <c r="J14" s="2" t="s">
        <v>317</v>
      </c>
    </row>
    <row r="15">
      <c r="A15" s="69">
        <v>44191.0</v>
      </c>
      <c r="B15" s="70" t="s">
        <v>331</v>
      </c>
      <c r="C15" s="70" t="s">
        <v>332</v>
      </c>
      <c r="D15" s="70" t="s">
        <v>333</v>
      </c>
      <c r="E15" s="70">
        <v>0.0</v>
      </c>
      <c r="F15" s="70"/>
      <c r="G15" s="70"/>
      <c r="H15" s="70"/>
      <c r="I15" s="70"/>
      <c r="J15" s="70" t="s">
        <v>334</v>
      </c>
      <c r="K15" s="71"/>
      <c r="L15" s="71"/>
      <c r="M15" s="70"/>
      <c r="N15" s="71"/>
      <c r="O15" s="71"/>
      <c r="P15" s="71"/>
      <c r="Q15" s="71"/>
      <c r="R15" s="71"/>
      <c r="S15" s="71"/>
      <c r="T15" s="71"/>
      <c r="U15" s="71"/>
      <c r="V15" s="71"/>
      <c r="W15" s="71"/>
      <c r="X15" s="71"/>
      <c r="Y15" s="71"/>
      <c r="Z15" s="71"/>
      <c r="AA15" s="71"/>
      <c r="AB15" s="71"/>
      <c r="AC15" s="71"/>
    </row>
    <row r="16">
      <c r="A16" s="69">
        <v>44240.0</v>
      </c>
      <c r="B16" s="70" t="s">
        <v>335</v>
      </c>
      <c r="C16" s="70" t="s">
        <v>336</v>
      </c>
      <c r="D16" s="70" t="s">
        <v>337</v>
      </c>
      <c r="E16" s="70">
        <v>1.0</v>
      </c>
      <c r="F16" s="70">
        <v>20.0</v>
      </c>
      <c r="G16" s="70"/>
      <c r="H16" s="70"/>
      <c r="I16" s="70"/>
      <c r="J16" s="70" t="s">
        <v>338</v>
      </c>
      <c r="K16" s="71"/>
      <c r="L16" s="70" t="s">
        <v>339</v>
      </c>
      <c r="M16" s="70" t="s">
        <v>340</v>
      </c>
      <c r="N16" s="71"/>
      <c r="O16" s="71"/>
      <c r="P16" s="71"/>
      <c r="Q16" s="71"/>
      <c r="R16" s="71"/>
      <c r="S16" s="71"/>
      <c r="T16" s="71"/>
      <c r="U16" s="71"/>
      <c r="V16" s="71"/>
      <c r="W16" s="71"/>
      <c r="X16" s="71"/>
      <c r="Y16" s="71"/>
      <c r="Z16" s="71"/>
      <c r="AA16" s="71"/>
      <c r="AB16" s="71"/>
      <c r="AC16" s="71"/>
    </row>
    <row r="17">
      <c r="A17" s="40">
        <v>43882.0</v>
      </c>
      <c r="B17" s="41"/>
      <c r="C17" s="41" t="s">
        <v>238</v>
      </c>
      <c r="D17" s="41"/>
      <c r="E17" s="41">
        <v>1.0</v>
      </c>
      <c r="F17" s="41"/>
      <c r="G17" s="41"/>
      <c r="H17" s="41">
        <v>120.0</v>
      </c>
      <c r="I17" s="41"/>
      <c r="J17" s="41"/>
      <c r="K17" s="42"/>
      <c r="L17" s="42"/>
      <c r="M17" s="41"/>
      <c r="N17" s="42"/>
      <c r="O17" s="42"/>
      <c r="P17" s="42"/>
      <c r="Q17" s="42"/>
      <c r="R17" s="42"/>
      <c r="S17" s="42"/>
      <c r="T17" s="42"/>
      <c r="U17" s="42"/>
      <c r="V17" s="42"/>
      <c r="W17" s="42"/>
      <c r="X17" s="42"/>
      <c r="Y17" s="42"/>
      <c r="Z17" s="42"/>
      <c r="AA17" s="42"/>
      <c r="AB17" s="42"/>
      <c r="AC17" s="42"/>
    </row>
    <row r="18">
      <c r="A18" s="40">
        <v>44248.0</v>
      </c>
      <c r="B18" s="41" t="s">
        <v>341</v>
      </c>
      <c r="C18" s="41" t="s">
        <v>342</v>
      </c>
      <c r="D18" s="41" t="s">
        <v>111</v>
      </c>
      <c r="E18" s="41">
        <v>0.0</v>
      </c>
      <c r="F18" s="42"/>
      <c r="G18" s="41"/>
      <c r="H18" s="41">
        <v>120.0</v>
      </c>
      <c r="I18" s="42"/>
      <c r="J18" s="41" t="s">
        <v>343</v>
      </c>
      <c r="K18" s="42"/>
      <c r="L18" s="42"/>
      <c r="M18" s="41"/>
      <c r="N18" s="42"/>
      <c r="O18" s="42"/>
      <c r="P18" s="42"/>
      <c r="Q18" s="42"/>
      <c r="R18" s="42"/>
      <c r="S18" s="42"/>
      <c r="T18" s="42"/>
      <c r="U18" s="42"/>
      <c r="V18" s="42"/>
      <c r="W18" s="42"/>
      <c r="X18" s="42"/>
      <c r="Y18" s="42"/>
      <c r="Z18" s="42"/>
      <c r="AA18" s="42"/>
      <c r="AB18" s="42"/>
      <c r="AC18" s="42"/>
    </row>
    <row r="19">
      <c r="A19" s="40">
        <v>44264.0</v>
      </c>
      <c r="B19" s="43" t="s">
        <v>344</v>
      </c>
      <c r="C19" s="41" t="s">
        <v>345</v>
      </c>
      <c r="D19" s="41" t="s">
        <v>111</v>
      </c>
      <c r="E19" s="41"/>
      <c r="F19" s="41"/>
      <c r="G19" s="42"/>
      <c r="H19" s="41"/>
      <c r="I19" s="41">
        <v>45.0</v>
      </c>
      <c r="J19" s="41" t="s">
        <v>346</v>
      </c>
      <c r="K19" s="42"/>
      <c r="L19" s="42"/>
      <c r="M19" s="41" t="s">
        <v>347</v>
      </c>
      <c r="N19" s="42"/>
      <c r="O19" s="42"/>
      <c r="P19" s="42"/>
      <c r="Q19" s="42"/>
      <c r="R19" s="42"/>
      <c r="S19" s="42"/>
      <c r="T19" s="42"/>
      <c r="U19" s="42"/>
      <c r="V19" s="42"/>
      <c r="W19" s="42"/>
      <c r="X19" s="42"/>
      <c r="Y19" s="42"/>
      <c r="Z19" s="42"/>
      <c r="AA19" s="42"/>
      <c r="AB19" s="42"/>
      <c r="AC19" s="42"/>
    </row>
    <row r="20">
      <c r="A20" s="40">
        <v>44463.0</v>
      </c>
      <c r="B20" s="41"/>
      <c r="C20" s="41" t="s">
        <v>40</v>
      </c>
      <c r="D20" s="41"/>
      <c r="E20" s="41"/>
      <c r="F20" s="41"/>
      <c r="G20" s="41">
        <v>5.0</v>
      </c>
      <c r="H20" s="41"/>
      <c r="I20" s="42"/>
      <c r="J20" s="41" t="s">
        <v>313</v>
      </c>
      <c r="K20" s="42"/>
      <c r="L20" s="42"/>
      <c r="M20" s="41" t="s">
        <v>348</v>
      </c>
      <c r="N20" s="42"/>
      <c r="O20" s="42"/>
      <c r="P20" s="42"/>
      <c r="Q20" s="42"/>
      <c r="R20" s="42"/>
      <c r="S20" s="42"/>
      <c r="T20" s="42"/>
      <c r="U20" s="42"/>
      <c r="V20" s="42"/>
      <c r="W20" s="42"/>
      <c r="X20" s="42"/>
      <c r="Y20" s="42"/>
      <c r="Z20" s="42"/>
      <c r="AA20" s="42"/>
      <c r="AB20" s="42"/>
      <c r="AC20" s="42"/>
    </row>
    <row r="21">
      <c r="A21" s="40"/>
      <c r="B21" s="42"/>
      <c r="C21" s="41"/>
      <c r="D21" s="42"/>
      <c r="E21" s="42"/>
      <c r="F21" s="42"/>
      <c r="G21" s="41"/>
      <c r="H21" s="42"/>
      <c r="I21" s="42"/>
      <c r="J21" s="41"/>
      <c r="K21" s="42"/>
      <c r="L21" s="42"/>
      <c r="M21" s="41"/>
      <c r="N21" s="42"/>
      <c r="O21" s="42"/>
      <c r="P21" s="42"/>
      <c r="Q21" s="42"/>
      <c r="R21" s="42"/>
      <c r="S21" s="42"/>
      <c r="T21" s="42"/>
      <c r="U21" s="42"/>
      <c r="V21" s="42"/>
      <c r="W21" s="42"/>
      <c r="X21" s="42"/>
      <c r="Y21" s="42"/>
      <c r="Z21" s="42"/>
      <c r="AA21" s="42"/>
      <c r="AB21" s="42"/>
      <c r="AC21" s="42"/>
    </row>
    <row r="2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6" width="7.5"/>
    <col customWidth="1" min="7" max="7" width="7.38"/>
    <col customWidth="1" min="8" max="8" width="6.38"/>
    <col customWidth="1" min="9" max="9" width="7.5"/>
    <col customWidth="1" min="10" max="10" width="26.38"/>
    <col customWidth="1" min="11" max="11" width="21.63"/>
    <col customWidth="1" min="12" max="12" width="23.5"/>
    <col customWidth="1" min="13" max="13" width="26.13"/>
    <col customWidth="1" min="14" max="14" width="5.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3" width="22.75"/>
    <col customWidth="1" min="24" max="24" width="25.63"/>
    <col customWidth="1" min="25" max="25" width="25.88"/>
  </cols>
  <sheetData>
    <row r="1">
      <c r="A1" s="1" t="s">
        <v>349</v>
      </c>
    </row>
    <row r="2">
      <c r="A2" s="2" t="s">
        <v>350</v>
      </c>
      <c r="B2" s="2" t="s">
        <v>351</v>
      </c>
      <c r="C2" s="3" t="s">
        <v>3</v>
      </c>
      <c r="D2" s="4" t="s">
        <v>4</v>
      </c>
      <c r="E2" s="5">
        <f>SUM(E11:E106)+1</f>
        <v>10</v>
      </c>
      <c r="F2" s="6"/>
      <c r="J2" s="7" t="s">
        <v>5</v>
      </c>
      <c r="K2" s="8" t="s">
        <v>6</v>
      </c>
      <c r="L2" s="8" t="s">
        <v>7</v>
      </c>
      <c r="M2" s="8" t="s">
        <v>8</v>
      </c>
      <c r="O2" s="9" t="s">
        <v>9</v>
      </c>
      <c r="P2" s="10"/>
      <c r="Q2" s="11"/>
      <c r="R2" s="11"/>
      <c r="S2" s="11"/>
      <c r="T2" s="12"/>
      <c r="V2" s="9" t="s">
        <v>10</v>
      </c>
      <c r="W2" s="13"/>
      <c r="X2" s="14"/>
    </row>
    <row r="3">
      <c r="A3" s="2" t="s">
        <v>352</v>
      </c>
      <c r="C3" s="15"/>
      <c r="D3" s="16" t="s">
        <v>12</v>
      </c>
      <c r="E3" s="17">
        <f>SUM(H11:H106)+15-SUM(I11:I106)</f>
        <v>7476</v>
      </c>
      <c r="F3" s="18"/>
      <c r="K3" s="68" t="s">
        <v>353</v>
      </c>
      <c r="L3" s="20"/>
      <c r="M3" s="20"/>
      <c r="O3" s="21">
        <v>1.0</v>
      </c>
      <c r="P3" s="21" t="s">
        <v>354</v>
      </c>
      <c r="Q3" s="22"/>
      <c r="R3" s="22"/>
      <c r="S3" s="21"/>
      <c r="T3" s="21"/>
      <c r="V3" s="68" t="s">
        <v>280</v>
      </c>
      <c r="W3" s="65" t="s">
        <v>355</v>
      </c>
      <c r="X3" s="25"/>
    </row>
    <row r="4">
      <c r="C4" s="26"/>
      <c r="D4" s="27" t="s">
        <v>15</v>
      </c>
      <c r="E4" s="28">
        <f>SUM(F11:F106)-SUM(G11:G106)</f>
        <v>70</v>
      </c>
      <c r="F4" s="29"/>
      <c r="K4" s="67" t="s">
        <v>356</v>
      </c>
      <c r="L4" s="31"/>
      <c r="M4" s="31"/>
      <c r="O4" s="32">
        <v>1.0</v>
      </c>
      <c r="P4" s="32" t="s">
        <v>357</v>
      </c>
      <c r="Q4" s="32"/>
      <c r="R4" s="32"/>
      <c r="S4" s="31"/>
      <c r="T4" s="31"/>
      <c r="V4" s="67" t="s">
        <v>358</v>
      </c>
      <c r="W4" s="33" t="s">
        <v>359</v>
      </c>
      <c r="X4" s="31"/>
    </row>
    <row r="5">
      <c r="K5" s="34"/>
      <c r="L5" s="20"/>
      <c r="M5" s="20"/>
      <c r="O5" s="35">
        <v>1.0</v>
      </c>
      <c r="P5" s="35" t="s">
        <v>13</v>
      </c>
      <c r="Q5" s="35"/>
      <c r="R5" s="35"/>
      <c r="S5" s="20"/>
      <c r="T5" s="20"/>
      <c r="V5" s="68" t="s">
        <v>360</v>
      </c>
      <c r="W5" s="68" t="s">
        <v>282</v>
      </c>
      <c r="X5" s="20"/>
    </row>
    <row r="6">
      <c r="M6" s="31"/>
      <c r="O6" s="32">
        <v>4.0</v>
      </c>
      <c r="P6" s="32" t="s">
        <v>290</v>
      </c>
      <c r="Q6" s="32"/>
      <c r="R6" s="32"/>
      <c r="S6" s="31"/>
      <c r="T6" s="31"/>
      <c r="V6" s="67" t="s">
        <v>361</v>
      </c>
      <c r="W6" s="78" t="s">
        <v>362</v>
      </c>
      <c r="X6" s="31"/>
    </row>
    <row r="7">
      <c r="O7" s="35"/>
      <c r="P7" s="35"/>
      <c r="Q7" s="36"/>
      <c r="R7" s="36"/>
      <c r="S7" s="20"/>
      <c r="T7" s="20"/>
      <c r="V7" s="34" t="s">
        <v>363</v>
      </c>
      <c r="W7" s="68" t="s">
        <v>364</v>
      </c>
      <c r="X7" s="20"/>
    </row>
    <row r="8">
      <c r="J8" s="7" t="s">
        <v>17</v>
      </c>
      <c r="K8" s="68" t="s">
        <v>353</v>
      </c>
      <c r="L8" s="80" t="s">
        <v>356</v>
      </c>
      <c r="M8" s="34"/>
      <c r="O8" s="32"/>
      <c r="P8" s="32"/>
      <c r="Q8" s="32"/>
      <c r="R8" s="32"/>
      <c r="S8" s="31"/>
      <c r="T8" s="31"/>
      <c r="V8" s="78" t="s">
        <v>289</v>
      </c>
      <c r="W8" s="31"/>
      <c r="X8" s="31"/>
    </row>
    <row r="9">
      <c r="O9" s="35"/>
      <c r="P9" s="35"/>
      <c r="Q9" s="35"/>
      <c r="R9" s="35"/>
      <c r="S9" s="20"/>
      <c r="T9" s="20"/>
      <c r="V9" s="80" t="s">
        <v>365</v>
      </c>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39">
        <v>44463.0</v>
      </c>
      <c r="B11" s="2"/>
      <c r="C11" s="2" t="s">
        <v>54</v>
      </c>
      <c r="D11" s="2"/>
      <c r="E11" s="2">
        <v>3.0</v>
      </c>
      <c r="F11" s="2">
        <v>30.0</v>
      </c>
      <c r="H11" s="2">
        <v>240.0</v>
      </c>
    </row>
    <row r="12">
      <c r="A12" s="39">
        <v>44463.0</v>
      </c>
      <c r="B12" s="2"/>
      <c r="C12" s="2" t="s">
        <v>238</v>
      </c>
      <c r="D12" s="2"/>
      <c r="J12" s="2" t="s">
        <v>313</v>
      </c>
    </row>
    <row r="13">
      <c r="A13" s="39">
        <v>44463.0</v>
      </c>
      <c r="B13" s="2"/>
      <c r="C13" s="2" t="s">
        <v>40</v>
      </c>
      <c r="D13" s="2"/>
      <c r="G13" s="2">
        <v>5.0</v>
      </c>
      <c r="J13" s="2" t="s">
        <v>353</v>
      </c>
      <c r="M13" s="2" t="s">
        <v>366</v>
      </c>
    </row>
    <row r="14">
      <c r="A14" s="39">
        <v>44463.0</v>
      </c>
      <c r="B14" s="2" t="s">
        <v>367</v>
      </c>
      <c r="C14" s="2" t="s">
        <v>368</v>
      </c>
      <c r="D14" s="2" t="s">
        <v>369</v>
      </c>
      <c r="F14" s="2">
        <v>10.0</v>
      </c>
      <c r="H14" s="2">
        <v>80.0</v>
      </c>
      <c r="J14" s="2" t="s">
        <v>360</v>
      </c>
    </row>
    <row r="15">
      <c r="A15" s="39">
        <v>44470.0</v>
      </c>
      <c r="B15" s="2" t="s">
        <v>370</v>
      </c>
      <c r="C15" s="2" t="s">
        <v>371</v>
      </c>
      <c r="D15" s="2" t="s">
        <v>369</v>
      </c>
      <c r="F15" s="2">
        <v>10.0</v>
      </c>
      <c r="H15" s="2">
        <v>28.0</v>
      </c>
      <c r="J15" s="2" t="s">
        <v>280</v>
      </c>
    </row>
    <row r="16">
      <c r="A16" s="39">
        <v>44484.0</v>
      </c>
      <c r="B16" s="2" t="s">
        <v>372</v>
      </c>
      <c r="C16" s="2" t="s">
        <v>373</v>
      </c>
      <c r="D16" s="2" t="s">
        <v>58</v>
      </c>
      <c r="F16" s="2">
        <v>10.0</v>
      </c>
      <c r="H16" s="2">
        <v>147.0</v>
      </c>
      <c r="J16" s="2" t="s">
        <v>358</v>
      </c>
      <c r="K16" s="2" t="s">
        <v>374</v>
      </c>
    </row>
    <row r="17">
      <c r="A17" s="39">
        <v>44491.0</v>
      </c>
      <c r="B17" s="2" t="s">
        <v>375</v>
      </c>
      <c r="C17" s="2" t="s">
        <v>376</v>
      </c>
      <c r="D17" s="2" t="s">
        <v>58</v>
      </c>
      <c r="E17" s="2">
        <v>1.0</v>
      </c>
      <c r="F17" s="2">
        <v>10.0</v>
      </c>
      <c r="H17" s="2">
        <v>86.0</v>
      </c>
      <c r="J17" s="2" t="s">
        <v>361</v>
      </c>
      <c r="L17" s="2" t="s">
        <v>377</v>
      </c>
    </row>
    <row r="18">
      <c r="A18" s="40">
        <v>44519.0</v>
      </c>
      <c r="B18" s="41" t="s">
        <v>378</v>
      </c>
      <c r="C18" s="41" t="s">
        <v>379</v>
      </c>
      <c r="D18" s="41" t="s">
        <v>58</v>
      </c>
      <c r="E18" s="41">
        <v>1.0</v>
      </c>
      <c r="F18" s="41">
        <v>10.0</v>
      </c>
      <c r="G18" s="42"/>
      <c r="H18" s="41">
        <v>29.0</v>
      </c>
      <c r="I18" s="42"/>
      <c r="J18" s="41" t="s">
        <v>380</v>
      </c>
      <c r="K18" s="42"/>
      <c r="L18" s="42"/>
      <c r="M18" s="42"/>
      <c r="N18" s="42"/>
      <c r="O18" s="42"/>
      <c r="P18" s="42"/>
      <c r="Q18" s="42"/>
      <c r="R18" s="42"/>
      <c r="S18" s="42"/>
      <c r="T18" s="42"/>
      <c r="U18" s="42"/>
      <c r="V18" s="42"/>
      <c r="W18" s="42"/>
      <c r="X18" s="42"/>
      <c r="Y18" s="42"/>
      <c r="Z18" s="42"/>
      <c r="AA18" s="42"/>
      <c r="AB18" s="42"/>
      <c r="AC18" s="42"/>
      <c r="AD18" s="42"/>
    </row>
    <row r="19">
      <c r="A19" s="40">
        <v>44582.0</v>
      </c>
      <c r="B19" s="41"/>
      <c r="C19" s="41" t="s">
        <v>381</v>
      </c>
      <c r="D19" s="41"/>
      <c r="E19" s="41">
        <v>4.0</v>
      </c>
      <c r="F19" s="41"/>
      <c r="G19" s="41">
        <v>40.0</v>
      </c>
      <c r="H19" s="41"/>
      <c r="I19" s="41"/>
      <c r="J19" s="41"/>
      <c r="K19" s="41"/>
      <c r="L19" s="42"/>
      <c r="M19" s="42"/>
      <c r="N19" s="41"/>
      <c r="O19" s="42"/>
      <c r="P19" s="42"/>
      <c r="Q19" s="42"/>
      <c r="R19" s="42"/>
      <c r="S19" s="42"/>
      <c r="T19" s="42"/>
      <c r="U19" s="42"/>
      <c r="V19" s="42"/>
      <c r="W19" s="42"/>
      <c r="X19" s="42"/>
      <c r="Y19" s="42"/>
      <c r="Z19" s="42"/>
      <c r="AA19" s="42"/>
      <c r="AB19" s="42"/>
      <c r="AC19" s="42"/>
      <c r="AD19" s="42"/>
    </row>
    <row r="20">
      <c r="A20" s="40">
        <v>44582.0</v>
      </c>
      <c r="B20" s="41" t="s">
        <v>382</v>
      </c>
      <c r="C20" s="41" t="s">
        <v>383</v>
      </c>
      <c r="D20" s="41" t="s">
        <v>58</v>
      </c>
      <c r="E20" s="41"/>
      <c r="F20" s="41">
        <v>10.0</v>
      </c>
      <c r="G20" s="41"/>
      <c r="H20" s="41">
        <v>2240.0</v>
      </c>
      <c r="I20" s="41"/>
      <c r="J20" s="41" t="s">
        <v>289</v>
      </c>
      <c r="K20" s="41"/>
      <c r="L20" s="42"/>
      <c r="M20" s="41" t="s">
        <v>384</v>
      </c>
      <c r="N20" s="41"/>
      <c r="O20" s="42"/>
      <c r="P20" s="42"/>
      <c r="Q20" s="42"/>
      <c r="R20" s="42"/>
      <c r="S20" s="42"/>
      <c r="T20" s="42"/>
      <c r="U20" s="42"/>
      <c r="V20" s="42"/>
      <c r="W20" s="42"/>
      <c r="X20" s="42"/>
      <c r="Y20" s="42"/>
      <c r="Z20" s="42"/>
      <c r="AA20" s="42"/>
      <c r="AB20" s="42"/>
      <c r="AC20" s="42"/>
      <c r="AD20" s="42"/>
    </row>
    <row r="21">
      <c r="A21" s="40">
        <v>44589.0</v>
      </c>
      <c r="B21" s="41" t="s">
        <v>382</v>
      </c>
      <c r="C21" s="41" t="s">
        <v>385</v>
      </c>
      <c r="D21" s="41" t="s">
        <v>58</v>
      </c>
      <c r="E21" s="42"/>
      <c r="F21" s="41">
        <v>10.0</v>
      </c>
      <c r="G21" s="42"/>
      <c r="H21" s="41">
        <v>120.0</v>
      </c>
      <c r="I21" s="42"/>
      <c r="J21" s="41" t="s">
        <v>365</v>
      </c>
      <c r="K21" s="41"/>
      <c r="L21" s="42"/>
      <c r="M21" s="42"/>
      <c r="N21" s="41"/>
      <c r="O21" s="42"/>
      <c r="P21" s="42"/>
      <c r="Q21" s="42"/>
      <c r="R21" s="42"/>
      <c r="S21" s="42"/>
      <c r="T21" s="42"/>
      <c r="U21" s="42"/>
      <c r="V21" s="42"/>
      <c r="W21" s="42"/>
      <c r="X21" s="42"/>
      <c r="Y21" s="42"/>
      <c r="Z21" s="42"/>
      <c r="AA21" s="42"/>
      <c r="AB21" s="42"/>
      <c r="AC21" s="42"/>
      <c r="AD21" s="42"/>
    </row>
    <row r="22">
      <c r="A22" s="40">
        <v>44624.0</v>
      </c>
      <c r="B22" s="43" t="s">
        <v>382</v>
      </c>
      <c r="C22" s="41" t="s">
        <v>386</v>
      </c>
      <c r="D22" s="41" t="s">
        <v>58</v>
      </c>
      <c r="E22" s="41"/>
      <c r="F22" s="41">
        <v>10.0</v>
      </c>
      <c r="G22" s="41"/>
      <c r="H22" s="41">
        <v>1775.0</v>
      </c>
      <c r="I22" s="41">
        <v>100.0</v>
      </c>
      <c r="J22" s="41" t="s">
        <v>387</v>
      </c>
      <c r="K22" s="42"/>
      <c r="L22" s="42"/>
      <c r="M22" s="41" t="s">
        <v>388</v>
      </c>
      <c r="N22" s="42"/>
      <c r="O22" s="42"/>
      <c r="P22" s="42"/>
      <c r="Q22" s="42"/>
      <c r="R22" s="42"/>
      <c r="S22" s="42"/>
      <c r="T22" s="42"/>
      <c r="U22" s="42"/>
      <c r="V22" s="42"/>
      <c r="W22" s="42"/>
      <c r="X22" s="42"/>
      <c r="Y22" s="42"/>
      <c r="Z22" s="42"/>
      <c r="AA22" s="42"/>
      <c r="AB22" s="42"/>
      <c r="AC22" s="42"/>
      <c r="AD22" s="42"/>
    </row>
    <row r="23">
      <c r="A23" s="40">
        <v>44645.0</v>
      </c>
      <c r="B23" s="41" t="s">
        <v>382</v>
      </c>
      <c r="C23" s="41" t="s">
        <v>386</v>
      </c>
      <c r="D23" s="41" t="s">
        <v>58</v>
      </c>
      <c r="E23" s="41"/>
      <c r="F23" s="41">
        <v>10.0</v>
      </c>
      <c r="G23" s="41"/>
      <c r="H23" s="41">
        <v>2816.0</v>
      </c>
      <c r="I23" s="41"/>
      <c r="J23" s="41" t="s">
        <v>389</v>
      </c>
      <c r="K23" s="41" t="s">
        <v>390</v>
      </c>
      <c r="L23" s="42"/>
      <c r="M23" s="42"/>
      <c r="N23" s="42"/>
      <c r="O23" s="42"/>
      <c r="P23" s="42"/>
      <c r="Q23" s="42"/>
      <c r="R23" s="42"/>
      <c r="S23" s="42"/>
      <c r="T23" s="42"/>
      <c r="U23" s="42"/>
      <c r="V23" s="42"/>
      <c r="W23" s="42"/>
      <c r="X23" s="42"/>
      <c r="Y23" s="42"/>
      <c r="Z23" s="42"/>
      <c r="AA23" s="42"/>
      <c r="AB23" s="42"/>
      <c r="AC23" s="42"/>
      <c r="AD23" s="42"/>
    </row>
    <row r="24">
      <c r="A24" s="40">
        <v>45616.0</v>
      </c>
      <c r="B24" s="42"/>
      <c r="C24" s="41" t="s">
        <v>40</v>
      </c>
      <c r="D24" s="42"/>
      <c r="E24" s="42"/>
      <c r="F24" s="42"/>
      <c r="G24" s="41">
        <v>5.0</v>
      </c>
      <c r="H24" s="41"/>
      <c r="I24" s="42"/>
      <c r="J24" s="41" t="s">
        <v>363</v>
      </c>
      <c r="K24" s="41"/>
      <c r="L24" s="42"/>
      <c r="M24" s="41" t="s">
        <v>391</v>
      </c>
      <c r="N24" s="41"/>
      <c r="O24" s="42"/>
      <c r="P24" s="42"/>
      <c r="Q24" s="42"/>
      <c r="R24" s="42"/>
      <c r="S24" s="42"/>
      <c r="T24" s="42"/>
      <c r="U24" s="42"/>
      <c r="V24" s="42"/>
      <c r="W24" s="42"/>
      <c r="X24" s="42"/>
      <c r="Y24" s="42"/>
      <c r="Z24" s="42"/>
      <c r="AA24" s="42"/>
      <c r="AB24" s="42"/>
      <c r="AC24" s="42"/>
      <c r="AD24" s="42"/>
    </row>
    <row r="2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6" width="7.5"/>
    <col customWidth="1" min="7" max="7" width="7.38"/>
    <col customWidth="1" min="8" max="8" width="6.38"/>
    <col customWidth="1" min="9" max="9" width="7.5"/>
    <col customWidth="1" min="10" max="10" width="6.75"/>
    <col customWidth="1" min="11" max="11" width="21.63"/>
    <col customWidth="1" min="12" max="12" width="23.5"/>
    <col customWidth="1" min="13" max="13" width="21.88"/>
    <col customWidth="1" min="14" max="14" width="24.63"/>
    <col customWidth="1" min="15" max="15" width="5.88"/>
    <col customWidth="1" min="16" max="16" width="24.5"/>
    <col customWidth="1" min="17" max="17" width="5.25"/>
    <col customWidth="1" min="18" max="18" width="25.38"/>
    <col customWidth="1" min="19" max="19" width="5.88"/>
    <col customWidth="1" min="20" max="20" width="20.5"/>
    <col customWidth="1" min="21" max="21" width="6.25"/>
  </cols>
  <sheetData>
    <row r="1">
      <c r="A1" s="1" t="s">
        <v>392</v>
      </c>
    </row>
    <row r="2">
      <c r="A2" s="2" t="s">
        <v>393</v>
      </c>
      <c r="B2" s="2" t="s">
        <v>143</v>
      </c>
      <c r="C2" s="3" t="s">
        <v>3</v>
      </c>
      <c r="D2" s="4" t="s">
        <v>4</v>
      </c>
      <c r="E2" s="5">
        <f>SUM(E11:E102)+1</f>
        <v>9</v>
      </c>
      <c r="F2" s="6"/>
      <c r="K2" s="7" t="s">
        <v>5</v>
      </c>
      <c r="L2" s="8" t="s">
        <v>6</v>
      </c>
      <c r="M2" s="8" t="s">
        <v>7</v>
      </c>
      <c r="N2" s="8" t="s">
        <v>8</v>
      </c>
      <c r="P2" s="9" t="s">
        <v>9</v>
      </c>
      <c r="Q2" s="10"/>
      <c r="R2" s="11"/>
      <c r="S2" s="11"/>
      <c r="T2" s="11"/>
      <c r="U2" s="12"/>
    </row>
    <row r="3">
      <c r="A3" s="2" t="s">
        <v>394</v>
      </c>
      <c r="C3" s="15"/>
      <c r="D3" s="16" t="s">
        <v>12</v>
      </c>
      <c r="E3" s="17">
        <f>SUM(I11:I102)+15-SUM(J11:J102)</f>
        <v>1264</v>
      </c>
      <c r="F3" s="18"/>
      <c r="L3" s="34" t="s">
        <v>395</v>
      </c>
      <c r="M3" s="20"/>
      <c r="N3" s="20"/>
      <c r="P3" s="21" t="s">
        <v>290</v>
      </c>
      <c r="Q3" s="21">
        <v>2.0</v>
      </c>
      <c r="R3" s="22"/>
      <c r="S3" s="22"/>
      <c r="T3" s="21"/>
      <c r="U3" s="21"/>
    </row>
    <row r="4">
      <c r="C4" s="26"/>
      <c r="D4" s="27" t="s">
        <v>15</v>
      </c>
      <c r="E4" s="28">
        <f>SUM(G11:G102)-SUM(H11:H102)</f>
        <v>65</v>
      </c>
      <c r="F4" s="29"/>
      <c r="L4" s="33" t="s">
        <v>264</v>
      </c>
      <c r="M4" s="31"/>
      <c r="N4" s="31"/>
      <c r="P4" s="32"/>
      <c r="Q4" s="32"/>
      <c r="R4" s="32"/>
      <c r="S4" s="32"/>
      <c r="T4" s="31"/>
      <c r="U4" s="31"/>
    </row>
    <row r="5">
      <c r="L5" s="74" t="s">
        <v>396</v>
      </c>
      <c r="M5" s="20"/>
      <c r="N5" s="20"/>
      <c r="P5" s="35"/>
      <c r="Q5" s="35"/>
      <c r="R5" s="35"/>
      <c r="S5" s="35"/>
      <c r="T5" s="20"/>
      <c r="U5" s="20"/>
    </row>
    <row r="6">
      <c r="L6" s="2" t="s">
        <v>397</v>
      </c>
      <c r="M6" s="2" t="s">
        <v>398</v>
      </c>
      <c r="N6" s="31"/>
      <c r="P6" s="32"/>
      <c r="Q6" s="32"/>
      <c r="R6" s="32"/>
      <c r="S6" s="32"/>
      <c r="T6" s="31"/>
      <c r="U6" s="31"/>
    </row>
    <row r="7">
      <c r="P7" s="35"/>
      <c r="Q7" s="35"/>
      <c r="R7" s="36"/>
      <c r="S7" s="36"/>
      <c r="T7" s="20"/>
      <c r="U7" s="20"/>
    </row>
    <row r="8">
      <c r="K8" s="7" t="s">
        <v>17</v>
      </c>
      <c r="L8" s="74" t="s">
        <v>396</v>
      </c>
      <c r="M8" s="34" t="s">
        <v>146</v>
      </c>
      <c r="N8" s="34"/>
      <c r="P8" s="32"/>
      <c r="Q8" s="32"/>
      <c r="R8" s="32"/>
      <c r="S8" s="32"/>
      <c r="T8" s="31"/>
      <c r="U8" s="31"/>
    </row>
    <row r="9">
      <c r="P9" s="35"/>
      <c r="Q9" s="35"/>
      <c r="R9" s="35"/>
      <c r="S9" s="35"/>
      <c r="T9" s="20"/>
      <c r="U9" s="20"/>
    </row>
    <row r="10">
      <c r="A10" s="37" t="s">
        <v>18</v>
      </c>
      <c r="B10" s="37" t="s">
        <v>19</v>
      </c>
      <c r="C10" s="37" t="s">
        <v>20</v>
      </c>
      <c r="D10" s="37" t="s">
        <v>21</v>
      </c>
      <c r="E10" s="37" t="s">
        <v>22</v>
      </c>
      <c r="F10" s="37" t="s">
        <v>399</v>
      </c>
      <c r="G10" s="37" t="s">
        <v>23</v>
      </c>
      <c r="H10" s="37" t="s">
        <v>24</v>
      </c>
      <c r="I10" s="37" t="s">
        <v>25</v>
      </c>
      <c r="J10" s="37" t="s">
        <v>26</v>
      </c>
      <c r="K10" s="37" t="s">
        <v>27</v>
      </c>
      <c r="L10" s="37" t="s">
        <v>28</v>
      </c>
      <c r="M10" s="37" t="s">
        <v>29</v>
      </c>
      <c r="N10" s="37" t="s">
        <v>30</v>
      </c>
      <c r="O10" s="38"/>
      <c r="V10" s="38"/>
      <c r="W10" s="38"/>
      <c r="X10" s="38"/>
      <c r="Y10" s="38"/>
      <c r="Z10" s="38"/>
      <c r="AA10" s="38"/>
      <c r="AB10" s="38"/>
      <c r="AC10" s="38"/>
      <c r="AD10" s="38"/>
    </row>
    <row r="11">
      <c r="A11" s="39">
        <v>44153.0</v>
      </c>
      <c r="C11" s="2" t="s">
        <v>400</v>
      </c>
      <c r="E11" s="2">
        <v>4.0</v>
      </c>
      <c r="F11" s="2"/>
      <c r="G11" s="2">
        <v>40.0</v>
      </c>
      <c r="I11" s="2">
        <v>80.0</v>
      </c>
    </row>
    <row r="12">
      <c r="A12" s="40">
        <v>44121.0</v>
      </c>
      <c r="B12" s="41" t="s">
        <v>401</v>
      </c>
      <c r="C12" s="41" t="s">
        <v>402</v>
      </c>
      <c r="D12" s="41" t="s">
        <v>58</v>
      </c>
      <c r="E12" s="41">
        <v>0.0</v>
      </c>
      <c r="F12" s="41"/>
      <c r="G12" s="41"/>
      <c r="H12" s="41"/>
      <c r="I12" s="41"/>
      <c r="J12" s="41"/>
      <c r="K12" s="41" t="s">
        <v>403</v>
      </c>
      <c r="L12" s="42"/>
      <c r="M12" s="42"/>
      <c r="N12" s="41"/>
      <c r="O12" s="42"/>
      <c r="P12" s="42"/>
      <c r="Q12" s="42"/>
      <c r="R12" s="42"/>
      <c r="S12" s="42"/>
      <c r="T12" s="42"/>
      <c r="U12" s="42"/>
      <c r="V12" s="42"/>
      <c r="W12" s="42"/>
      <c r="X12" s="42"/>
      <c r="Y12" s="42"/>
      <c r="Z12" s="42"/>
      <c r="AA12" s="42"/>
      <c r="AB12" s="42"/>
      <c r="AC12" s="42"/>
      <c r="AD12" s="42"/>
    </row>
    <row r="13">
      <c r="A13" s="40">
        <v>44153.0</v>
      </c>
      <c r="B13" s="41"/>
      <c r="C13" s="41" t="s">
        <v>238</v>
      </c>
      <c r="D13" s="41"/>
      <c r="E13" s="41">
        <v>1.0</v>
      </c>
      <c r="F13" s="41"/>
      <c r="G13" s="41">
        <v>20.0</v>
      </c>
      <c r="H13" s="41"/>
      <c r="I13" s="41">
        <v>240.0</v>
      </c>
      <c r="J13" s="41"/>
      <c r="K13" s="41"/>
      <c r="L13" s="42"/>
      <c r="M13" s="42"/>
      <c r="N13" s="41"/>
      <c r="O13" s="42"/>
      <c r="P13" s="42"/>
      <c r="Q13" s="42"/>
      <c r="R13" s="42"/>
      <c r="S13" s="42"/>
      <c r="T13" s="42"/>
      <c r="U13" s="42"/>
      <c r="V13" s="42"/>
      <c r="W13" s="42"/>
      <c r="X13" s="42"/>
      <c r="Y13" s="42"/>
      <c r="Z13" s="42"/>
      <c r="AA13" s="42"/>
      <c r="AB13" s="42"/>
      <c r="AC13" s="42"/>
      <c r="AD13" s="42"/>
    </row>
    <row r="14">
      <c r="A14" s="40">
        <v>44153.0</v>
      </c>
      <c r="B14" s="41"/>
      <c r="C14" s="41" t="s">
        <v>238</v>
      </c>
      <c r="D14" s="41"/>
      <c r="E14" s="41"/>
      <c r="F14" s="41"/>
      <c r="G14" s="41"/>
      <c r="H14" s="41"/>
      <c r="I14" s="41"/>
      <c r="J14" s="41"/>
      <c r="K14" s="41" t="s">
        <v>404</v>
      </c>
      <c r="L14" s="42"/>
      <c r="M14" s="41"/>
      <c r="N14" s="41"/>
      <c r="O14" s="42"/>
      <c r="P14" s="42"/>
      <c r="Q14" s="42"/>
      <c r="R14" s="42"/>
      <c r="S14" s="42"/>
      <c r="T14" s="42"/>
      <c r="U14" s="42"/>
      <c r="V14" s="42"/>
      <c r="W14" s="42"/>
      <c r="X14" s="42"/>
      <c r="Y14" s="42"/>
      <c r="Z14" s="42"/>
      <c r="AA14" s="42"/>
      <c r="AB14" s="42"/>
      <c r="AC14" s="42"/>
      <c r="AD14" s="42"/>
    </row>
    <row r="15">
      <c r="A15" s="40">
        <v>44153.0</v>
      </c>
      <c r="B15" s="41"/>
      <c r="C15" s="41" t="s">
        <v>40</v>
      </c>
      <c r="D15" s="41"/>
      <c r="E15" s="41"/>
      <c r="F15" s="41"/>
      <c r="G15" s="41"/>
      <c r="H15" s="41"/>
      <c r="I15" s="41"/>
      <c r="J15" s="41"/>
      <c r="K15" s="41" t="s">
        <v>396</v>
      </c>
      <c r="L15" s="42"/>
      <c r="M15" s="41"/>
      <c r="N15" s="41" t="s">
        <v>405</v>
      </c>
      <c r="O15" s="42"/>
      <c r="P15" s="42"/>
      <c r="Q15" s="42"/>
      <c r="R15" s="42"/>
      <c r="S15" s="42"/>
      <c r="T15" s="42"/>
      <c r="U15" s="42"/>
      <c r="V15" s="42"/>
      <c r="W15" s="42"/>
      <c r="X15" s="42"/>
      <c r="Y15" s="42"/>
      <c r="Z15" s="42"/>
      <c r="AA15" s="42"/>
      <c r="AB15" s="42"/>
      <c r="AC15" s="42"/>
      <c r="AD15" s="42"/>
    </row>
    <row r="16">
      <c r="A16" s="40">
        <v>44153.0</v>
      </c>
      <c r="B16" s="41" t="s">
        <v>406</v>
      </c>
      <c r="C16" s="41" t="s">
        <v>407</v>
      </c>
      <c r="D16" s="41" t="s">
        <v>408</v>
      </c>
      <c r="E16" s="41">
        <v>0.0</v>
      </c>
      <c r="F16" s="41"/>
      <c r="G16" s="41"/>
      <c r="H16" s="41"/>
      <c r="I16" s="41">
        <v>120.0</v>
      </c>
      <c r="J16" s="41"/>
      <c r="K16" s="41" t="s">
        <v>146</v>
      </c>
      <c r="L16" s="42"/>
      <c r="M16" s="41" t="s">
        <v>409</v>
      </c>
      <c r="N16" s="41"/>
      <c r="O16" s="42"/>
      <c r="P16" s="42"/>
      <c r="Q16" s="42"/>
      <c r="R16" s="42"/>
      <c r="S16" s="42"/>
      <c r="T16" s="42"/>
      <c r="U16" s="42"/>
      <c r="V16" s="42"/>
      <c r="W16" s="42"/>
      <c r="X16" s="42"/>
      <c r="Y16" s="42"/>
      <c r="Z16" s="42"/>
      <c r="AA16" s="42"/>
      <c r="AB16" s="42"/>
      <c r="AC16" s="42"/>
      <c r="AD16" s="42"/>
    </row>
    <row r="17">
      <c r="A17" s="40">
        <v>44220.0</v>
      </c>
      <c r="B17" s="41" t="s">
        <v>410</v>
      </c>
      <c r="C17" s="41" t="s">
        <v>411</v>
      </c>
      <c r="D17" s="41" t="s">
        <v>412</v>
      </c>
      <c r="E17" s="41">
        <v>0.0</v>
      </c>
      <c r="F17" s="42"/>
      <c r="G17" s="42"/>
      <c r="H17" s="41"/>
      <c r="I17" s="41">
        <v>90.0</v>
      </c>
      <c r="J17" s="41">
        <v>1.0</v>
      </c>
      <c r="K17" s="41" t="s">
        <v>413</v>
      </c>
      <c r="L17" s="42"/>
      <c r="M17" s="41" t="s">
        <v>414</v>
      </c>
      <c r="N17" s="41"/>
      <c r="O17" s="42"/>
      <c r="P17" s="42"/>
      <c r="Q17" s="42"/>
      <c r="R17" s="42"/>
      <c r="S17" s="42"/>
      <c r="T17" s="42"/>
      <c r="U17" s="42"/>
      <c r="V17" s="42"/>
      <c r="W17" s="42"/>
      <c r="X17" s="42"/>
      <c r="Y17" s="42"/>
      <c r="Z17" s="42"/>
      <c r="AA17" s="42"/>
      <c r="AB17" s="42"/>
      <c r="AC17" s="42"/>
      <c r="AD17" s="42"/>
    </row>
    <row r="18">
      <c r="A18" s="40">
        <v>44220.0</v>
      </c>
      <c r="B18" s="43"/>
      <c r="C18" s="41" t="s">
        <v>40</v>
      </c>
      <c r="D18" s="41"/>
      <c r="E18" s="41"/>
      <c r="F18" s="41"/>
      <c r="G18" s="41"/>
      <c r="H18" s="41">
        <v>15.0</v>
      </c>
      <c r="I18" s="41"/>
      <c r="J18" s="42"/>
      <c r="K18" s="41" t="s">
        <v>415</v>
      </c>
      <c r="L18" s="42"/>
      <c r="M18" s="42"/>
      <c r="N18" s="41" t="s">
        <v>416</v>
      </c>
      <c r="O18" s="42"/>
      <c r="P18" s="42"/>
      <c r="Q18" s="42"/>
      <c r="R18" s="42"/>
      <c r="S18" s="42"/>
      <c r="T18" s="42"/>
      <c r="U18" s="42"/>
      <c r="V18" s="42"/>
      <c r="W18" s="42"/>
      <c r="X18" s="42"/>
      <c r="Y18" s="42"/>
      <c r="Z18" s="42"/>
      <c r="AA18" s="42"/>
      <c r="AB18" s="42"/>
      <c r="AC18" s="42"/>
      <c r="AD18" s="42"/>
    </row>
    <row r="19">
      <c r="A19" s="40">
        <v>44223.0</v>
      </c>
      <c r="B19" s="41" t="s">
        <v>417</v>
      </c>
      <c r="C19" s="41" t="s">
        <v>418</v>
      </c>
      <c r="D19" s="41" t="s">
        <v>412</v>
      </c>
      <c r="E19" s="41">
        <v>1.0</v>
      </c>
      <c r="F19" s="41"/>
      <c r="G19" s="41"/>
      <c r="H19" s="42"/>
      <c r="I19" s="41">
        <v>30.0</v>
      </c>
      <c r="J19" s="42"/>
      <c r="K19" s="41" t="s">
        <v>360</v>
      </c>
      <c r="L19" s="42"/>
      <c r="M19" s="42"/>
      <c r="N19" s="41" t="s">
        <v>419</v>
      </c>
      <c r="O19" s="42"/>
      <c r="P19" s="42"/>
      <c r="Q19" s="42"/>
      <c r="R19" s="42"/>
      <c r="S19" s="42"/>
      <c r="T19" s="42"/>
      <c r="U19" s="42"/>
      <c r="V19" s="42"/>
      <c r="W19" s="42"/>
      <c r="X19" s="42"/>
      <c r="Y19" s="42"/>
      <c r="Z19" s="42"/>
      <c r="AA19" s="42"/>
      <c r="AB19" s="42"/>
      <c r="AC19" s="42"/>
      <c r="AD19" s="42"/>
    </row>
    <row r="20">
      <c r="A20" s="40">
        <v>44287.0</v>
      </c>
      <c r="B20" s="42"/>
      <c r="C20" s="41" t="s">
        <v>40</v>
      </c>
      <c r="D20" s="41"/>
      <c r="E20" s="42"/>
      <c r="F20" s="42"/>
      <c r="G20" s="42"/>
      <c r="H20" s="41">
        <v>15.0</v>
      </c>
      <c r="I20" s="42"/>
      <c r="J20" s="42"/>
      <c r="K20" s="41" t="s">
        <v>264</v>
      </c>
      <c r="L20" s="42"/>
      <c r="M20" s="42"/>
      <c r="N20" s="41" t="s">
        <v>420</v>
      </c>
      <c r="O20" s="42"/>
      <c r="P20" s="42"/>
      <c r="Q20" s="42"/>
      <c r="R20" s="42"/>
      <c r="S20" s="42"/>
      <c r="T20" s="42"/>
      <c r="U20" s="42"/>
      <c r="V20" s="42"/>
      <c r="W20" s="42"/>
      <c r="X20" s="42"/>
      <c r="Y20" s="42"/>
      <c r="Z20" s="42"/>
      <c r="AA20" s="42"/>
      <c r="AB20" s="42"/>
      <c r="AC20" s="42"/>
      <c r="AD20" s="42"/>
    </row>
    <row r="21">
      <c r="A21" s="40">
        <v>44287.0</v>
      </c>
      <c r="B21" s="42"/>
      <c r="C21" s="41" t="s">
        <v>238</v>
      </c>
      <c r="D21" s="42"/>
      <c r="E21" s="41">
        <v>1.0</v>
      </c>
      <c r="F21" s="41"/>
      <c r="G21" s="41">
        <v>20.0</v>
      </c>
      <c r="H21" s="42"/>
      <c r="I21" s="41">
        <v>240.0</v>
      </c>
      <c r="J21" s="42"/>
      <c r="K21" s="42"/>
      <c r="L21" s="42"/>
      <c r="M21" s="42"/>
      <c r="N21" s="42"/>
      <c r="O21" s="42"/>
      <c r="P21" s="42"/>
      <c r="Q21" s="42"/>
      <c r="R21" s="42"/>
      <c r="S21" s="42"/>
      <c r="T21" s="42"/>
      <c r="U21" s="42"/>
      <c r="V21" s="42"/>
      <c r="W21" s="42"/>
      <c r="X21" s="42"/>
      <c r="Y21" s="42"/>
      <c r="Z21" s="42"/>
      <c r="AA21" s="42"/>
      <c r="AB21" s="42"/>
      <c r="AC21" s="42"/>
      <c r="AD21" s="42"/>
    </row>
    <row r="22">
      <c r="A22" s="40">
        <v>44287.0</v>
      </c>
      <c r="B22" s="41" t="s">
        <v>421</v>
      </c>
      <c r="C22" s="41" t="s">
        <v>422</v>
      </c>
      <c r="D22" s="41" t="s">
        <v>111</v>
      </c>
      <c r="E22" s="42"/>
      <c r="F22" s="41">
        <v>4.0</v>
      </c>
      <c r="G22" s="42"/>
      <c r="H22" s="42"/>
      <c r="I22" s="41">
        <v>120.0</v>
      </c>
      <c r="J22" s="42"/>
      <c r="K22" s="41" t="s">
        <v>423</v>
      </c>
      <c r="L22" s="42"/>
      <c r="M22" s="42"/>
      <c r="N22" s="42"/>
      <c r="O22" s="42"/>
      <c r="P22" s="42"/>
      <c r="Q22" s="42"/>
      <c r="R22" s="42"/>
      <c r="S22" s="42"/>
      <c r="T22" s="42"/>
      <c r="U22" s="42"/>
      <c r="V22" s="42"/>
      <c r="W22" s="42"/>
      <c r="X22" s="42"/>
      <c r="Y22" s="42"/>
      <c r="Z22" s="42"/>
      <c r="AA22" s="42"/>
      <c r="AB22" s="42"/>
      <c r="AC22" s="42"/>
      <c r="AD22" s="42"/>
    </row>
    <row r="23">
      <c r="A23" s="40">
        <v>44321.0</v>
      </c>
      <c r="B23" s="41" t="s">
        <v>424</v>
      </c>
      <c r="C23" s="41" t="s">
        <v>425</v>
      </c>
      <c r="D23" s="41" t="s">
        <v>58</v>
      </c>
      <c r="E23" s="41">
        <v>1.0</v>
      </c>
      <c r="F23" s="41">
        <v>4.0</v>
      </c>
      <c r="G23" s="41">
        <v>20.0</v>
      </c>
      <c r="H23" s="42"/>
      <c r="I23" s="41">
        <v>120.0</v>
      </c>
      <c r="J23" s="42"/>
      <c r="K23" s="41" t="s">
        <v>426</v>
      </c>
      <c r="L23" s="41" t="s">
        <v>290</v>
      </c>
      <c r="M23" s="42"/>
      <c r="N23" s="42"/>
      <c r="O23" s="42"/>
      <c r="P23" s="42"/>
      <c r="Q23" s="42"/>
      <c r="R23" s="42"/>
      <c r="S23" s="42"/>
      <c r="T23" s="42"/>
      <c r="U23" s="42"/>
      <c r="V23" s="42"/>
      <c r="W23" s="42"/>
      <c r="X23" s="42"/>
      <c r="Y23" s="42"/>
      <c r="Z23" s="42"/>
      <c r="AA23" s="42"/>
      <c r="AB23" s="42"/>
      <c r="AC23" s="42"/>
      <c r="AD23" s="42"/>
    </row>
    <row r="24">
      <c r="A24" s="40">
        <v>44346.0</v>
      </c>
      <c r="B24" s="41" t="s">
        <v>427</v>
      </c>
      <c r="C24" s="41" t="s">
        <v>428</v>
      </c>
      <c r="D24" s="41" t="s">
        <v>429</v>
      </c>
      <c r="E24" s="41" t="s">
        <v>430</v>
      </c>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row>
    <row r="25">
      <c r="A25" s="40">
        <v>44355.0</v>
      </c>
      <c r="B25" s="41" t="s">
        <v>431</v>
      </c>
      <c r="C25" s="41" t="s">
        <v>432</v>
      </c>
      <c r="D25" s="41" t="s">
        <v>58</v>
      </c>
      <c r="E25" s="41">
        <v>0.0</v>
      </c>
      <c r="F25" s="41">
        <v>4.0</v>
      </c>
      <c r="G25" s="42"/>
      <c r="H25" s="42"/>
      <c r="I25" s="41">
        <v>120.0</v>
      </c>
      <c r="J25" s="42"/>
      <c r="K25" s="41" t="s">
        <v>433</v>
      </c>
      <c r="L25" s="41" t="s">
        <v>434</v>
      </c>
      <c r="M25" s="41" t="s">
        <v>435</v>
      </c>
      <c r="N25" s="42"/>
      <c r="O25" s="42"/>
      <c r="P25" s="42"/>
      <c r="Q25" s="42"/>
      <c r="R25" s="42"/>
      <c r="S25" s="42"/>
      <c r="T25" s="42"/>
      <c r="U25" s="42"/>
      <c r="V25" s="42"/>
      <c r="W25" s="42"/>
      <c r="X25" s="42"/>
      <c r="Y25" s="42"/>
      <c r="Z25" s="42"/>
      <c r="AA25" s="42"/>
      <c r="AB25" s="42"/>
      <c r="AC25" s="42"/>
      <c r="AD25" s="42"/>
    </row>
    <row r="26">
      <c r="A26" s="40">
        <v>44369.0</v>
      </c>
      <c r="B26" s="41" t="s">
        <v>436</v>
      </c>
      <c r="C26" s="41" t="s">
        <v>437</v>
      </c>
      <c r="D26" s="41" t="s">
        <v>438</v>
      </c>
      <c r="E26" s="41">
        <v>0.0</v>
      </c>
      <c r="F26" s="41">
        <v>3.0</v>
      </c>
      <c r="G26" s="42"/>
      <c r="H26" s="42"/>
      <c r="I26" s="41">
        <v>90.0</v>
      </c>
      <c r="J26" s="42"/>
      <c r="K26" s="41" t="s">
        <v>439</v>
      </c>
      <c r="L26" s="42"/>
      <c r="M26" s="42"/>
      <c r="N26" s="42"/>
      <c r="O26" s="42"/>
      <c r="P26" s="42"/>
      <c r="Q26" s="42"/>
      <c r="R26" s="42"/>
      <c r="S26" s="42"/>
      <c r="T26" s="42"/>
      <c r="U26" s="42"/>
      <c r="V26" s="42"/>
      <c r="W26" s="42"/>
      <c r="X26" s="42"/>
      <c r="Y26" s="42"/>
      <c r="Z26" s="42"/>
      <c r="AA26" s="42"/>
      <c r="AB26" s="42"/>
      <c r="AC26" s="42"/>
      <c r="AD26" s="42"/>
    </row>
    <row r="27">
      <c r="A27" s="40">
        <v>45735.0</v>
      </c>
      <c r="B27" s="42"/>
      <c r="C27" s="41" t="s">
        <v>40</v>
      </c>
      <c r="D27" s="41" t="s">
        <v>179</v>
      </c>
      <c r="E27" s="42"/>
      <c r="F27" s="42"/>
      <c r="G27" s="42"/>
      <c r="H27" s="41">
        <v>5.0</v>
      </c>
      <c r="I27" s="42"/>
      <c r="J27" s="42"/>
      <c r="K27" s="41" t="s">
        <v>183</v>
      </c>
      <c r="L27" s="42"/>
      <c r="M27" s="42"/>
      <c r="N27" s="41" t="s">
        <v>440</v>
      </c>
      <c r="O27" s="42"/>
      <c r="P27" s="42"/>
      <c r="Q27" s="42"/>
      <c r="R27" s="42"/>
      <c r="S27" s="42"/>
      <c r="T27" s="42"/>
      <c r="U27" s="42"/>
      <c r="V27" s="42"/>
      <c r="W27" s="42"/>
      <c r="X27" s="42"/>
      <c r="Y27" s="42"/>
      <c r="Z27" s="42"/>
      <c r="AA27" s="42"/>
      <c r="AB27" s="42"/>
      <c r="AC27" s="42"/>
      <c r="AD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6" width="7.38"/>
    <col customWidth="1" min="7" max="7" width="6.38"/>
    <col customWidth="1" min="8" max="8" width="7.5"/>
    <col customWidth="1" min="9" max="9" width="6.75"/>
    <col customWidth="1" min="10" max="10" width="21.63"/>
    <col customWidth="1" min="11" max="11" width="23.5"/>
    <col customWidth="1" min="12" max="12" width="21.88"/>
    <col customWidth="1" min="13" max="13" width="24.63"/>
    <col customWidth="1" min="14" max="14" width="5.88"/>
    <col customWidth="1" min="15" max="15" width="24.5"/>
    <col customWidth="1" min="16" max="16" width="5.25"/>
    <col customWidth="1" min="17" max="17" width="25.38"/>
    <col customWidth="1" min="18" max="18" width="5.88"/>
    <col customWidth="1" min="19" max="19" width="20.5"/>
    <col customWidth="1" min="20" max="20" width="6.25"/>
  </cols>
  <sheetData>
    <row r="1">
      <c r="A1" s="1" t="s">
        <v>441</v>
      </c>
    </row>
    <row r="2">
      <c r="A2" s="2" t="s">
        <v>442</v>
      </c>
      <c r="B2" s="2" t="s">
        <v>443</v>
      </c>
      <c r="C2" s="3" t="s">
        <v>3</v>
      </c>
      <c r="D2" s="4" t="s">
        <v>4</v>
      </c>
      <c r="E2" s="5">
        <f>SUM(E11:E102)+1</f>
        <v>6</v>
      </c>
      <c r="J2" s="7" t="s">
        <v>5</v>
      </c>
      <c r="K2" s="8" t="s">
        <v>6</v>
      </c>
      <c r="L2" s="8" t="s">
        <v>7</v>
      </c>
      <c r="M2" s="8" t="s">
        <v>8</v>
      </c>
      <c r="O2" s="9" t="s">
        <v>9</v>
      </c>
      <c r="P2" s="10"/>
      <c r="Q2" s="11"/>
      <c r="R2" s="11"/>
      <c r="S2" s="11"/>
      <c r="T2" s="12"/>
    </row>
    <row r="3">
      <c r="A3" s="2" t="s">
        <v>444</v>
      </c>
      <c r="C3" s="15"/>
      <c r="D3" s="16" t="s">
        <v>12</v>
      </c>
      <c r="E3" s="17">
        <f>SUM(H11:H102)+15-SUM(I11:I102)</f>
        <v>421</v>
      </c>
      <c r="K3" s="19" t="s">
        <v>445</v>
      </c>
      <c r="L3" s="20"/>
      <c r="M3" s="20"/>
      <c r="O3" s="21"/>
      <c r="P3" s="21"/>
      <c r="Q3" s="22"/>
      <c r="R3" s="22"/>
      <c r="S3" s="21"/>
      <c r="T3" s="21"/>
    </row>
    <row r="4">
      <c r="C4" s="26"/>
      <c r="D4" s="27" t="s">
        <v>15</v>
      </c>
      <c r="E4" s="28">
        <f>SUM(F11:F102)-SUM(G11:G102)</f>
        <v>40</v>
      </c>
      <c r="K4" s="34" t="s">
        <v>413</v>
      </c>
      <c r="L4" s="31"/>
      <c r="M4" s="31"/>
      <c r="O4" s="32"/>
      <c r="P4" s="32"/>
      <c r="Q4" s="32"/>
      <c r="R4" s="32"/>
      <c r="S4" s="31"/>
      <c r="T4" s="31"/>
    </row>
    <row r="5">
      <c r="K5" s="19" t="s">
        <v>282</v>
      </c>
      <c r="L5" s="20"/>
      <c r="M5" s="20"/>
      <c r="O5" s="35"/>
      <c r="P5" s="35"/>
      <c r="Q5" s="35"/>
      <c r="R5" s="35"/>
      <c r="S5" s="20"/>
      <c r="T5" s="20"/>
    </row>
    <row r="6">
      <c r="M6" s="31"/>
      <c r="O6" s="32"/>
      <c r="P6" s="32"/>
      <c r="Q6" s="32"/>
      <c r="R6" s="32"/>
      <c r="S6" s="31"/>
      <c r="T6" s="31"/>
    </row>
    <row r="7">
      <c r="O7" s="35"/>
      <c r="P7" s="35"/>
      <c r="Q7" s="36"/>
      <c r="R7" s="36"/>
      <c r="S7" s="20"/>
      <c r="T7" s="20"/>
    </row>
    <row r="8">
      <c r="J8" s="7" t="s">
        <v>17</v>
      </c>
      <c r="K8" s="34"/>
      <c r="L8" s="19" t="s">
        <v>445</v>
      </c>
      <c r="M8" s="19" t="s">
        <v>282</v>
      </c>
      <c r="O8" s="32"/>
      <c r="P8" s="32"/>
      <c r="Q8" s="32"/>
      <c r="R8" s="32"/>
      <c r="S8" s="31"/>
      <c r="T8" s="31"/>
    </row>
    <row r="9">
      <c r="O9" s="35"/>
      <c r="P9" s="35"/>
      <c r="Q9" s="35"/>
      <c r="R9" s="35"/>
      <c r="S9" s="20"/>
      <c r="T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N10" s="38"/>
      <c r="U10" s="38"/>
      <c r="V10" s="38"/>
      <c r="W10" s="38"/>
      <c r="X10" s="38"/>
      <c r="Y10" s="38"/>
      <c r="Z10" s="38"/>
      <c r="AA10" s="38"/>
      <c r="AB10" s="38"/>
      <c r="AC10" s="38"/>
    </row>
    <row r="11">
      <c r="A11" s="39">
        <v>44002.0</v>
      </c>
      <c r="C11" s="2" t="s">
        <v>446</v>
      </c>
      <c r="E11" s="2">
        <v>2.0</v>
      </c>
      <c r="F11" s="2">
        <v>20.0</v>
      </c>
      <c r="H11" s="2">
        <v>160.0</v>
      </c>
    </row>
    <row r="12">
      <c r="A12" s="39">
        <v>44002.0</v>
      </c>
      <c r="B12" s="2" t="s">
        <v>447</v>
      </c>
      <c r="C12" s="2" t="s">
        <v>371</v>
      </c>
      <c r="D12" s="2" t="s">
        <v>448</v>
      </c>
      <c r="E12" s="2">
        <v>0.0</v>
      </c>
      <c r="H12" s="2">
        <v>60.0</v>
      </c>
      <c r="I12" s="2">
        <v>4.0</v>
      </c>
      <c r="L12" s="2" t="s">
        <v>449</v>
      </c>
      <c r="M12" s="81" t="s">
        <v>450</v>
      </c>
    </row>
    <row r="13">
      <c r="A13" s="39">
        <v>44002.0</v>
      </c>
      <c r="C13" s="2" t="s">
        <v>238</v>
      </c>
      <c r="J13" s="2" t="s">
        <v>451</v>
      </c>
    </row>
    <row r="14">
      <c r="A14" s="39">
        <v>44002.0</v>
      </c>
      <c r="C14" s="2" t="s">
        <v>40</v>
      </c>
      <c r="D14" s="2" t="s">
        <v>452</v>
      </c>
      <c r="G14" s="2">
        <v>15.0</v>
      </c>
      <c r="J14" s="2" t="s">
        <v>445</v>
      </c>
      <c r="M14" s="2" t="s">
        <v>453</v>
      </c>
    </row>
    <row r="15">
      <c r="A15" s="39">
        <v>44002.0</v>
      </c>
      <c r="B15" s="2" t="s">
        <v>454</v>
      </c>
      <c r="C15" s="2" t="s">
        <v>455</v>
      </c>
      <c r="D15" s="2" t="s">
        <v>448</v>
      </c>
      <c r="E15" s="2">
        <v>1.0</v>
      </c>
      <c r="F15" s="2">
        <v>10.0</v>
      </c>
      <c r="G15" s="2"/>
      <c r="H15" s="2">
        <v>20.0</v>
      </c>
      <c r="I15" s="2"/>
      <c r="L15" s="2" t="s">
        <v>456</v>
      </c>
      <c r="M15" s="2"/>
    </row>
    <row r="16">
      <c r="A16" s="39">
        <v>44016.0</v>
      </c>
      <c r="B16" s="2" t="s">
        <v>457</v>
      </c>
      <c r="C16" s="2" t="s">
        <v>376</v>
      </c>
      <c r="D16" s="2" t="s">
        <v>448</v>
      </c>
      <c r="E16" s="2">
        <v>0.0</v>
      </c>
      <c r="H16" s="2">
        <v>80.0</v>
      </c>
    </row>
    <row r="17">
      <c r="A17" s="39">
        <v>44016.0</v>
      </c>
      <c r="B17" s="2" t="s">
        <v>458</v>
      </c>
      <c r="C17" s="2" t="s">
        <v>459</v>
      </c>
      <c r="D17" s="2" t="s">
        <v>448</v>
      </c>
      <c r="E17" s="2">
        <v>1.0</v>
      </c>
      <c r="F17" s="2">
        <v>20.0</v>
      </c>
      <c r="J17" s="2" t="s">
        <v>460</v>
      </c>
    </row>
    <row r="18">
      <c r="A18" s="40">
        <v>44044.0</v>
      </c>
      <c r="B18" s="41" t="s">
        <v>461</v>
      </c>
      <c r="C18" s="41" t="s">
        <v>379</v>
      </c>
      <c r="D18" s="41" t="s">
        <v>448</v>
      </c>
      <c r="E18" s="41">
        <v>1.0</v>
      </c>
      <c r="F18" s="41">
        <v>20.0</v>
      </c>
      <c r="G18" s="41"/>
      <c r="H18" s="41">
        <v>90.0</v>
      </c>
      <c r="I18" s="41"/>
      <c r="J18" s="41" t="s">
        <v>462</v>
      </c>
      <c r="K18" s="42"/>
      <c r="L18" s="42"/>
      <c r="M18" s="41"/>
      <c r="N18" s="42"/>
      <c r="O18" s="42"/>
      <c r="P18" s="42"/>
      <c r="Q18" s="42"/>
      <c r="R18" s="42"/>
      <c r="S18" s="42"/>
      <c r="T18" s="42"/>
      <c r="U18" s="42"/>
      <c r="V18" s="42"/>
      <c r="W18" s="42"/>
      <c r="X18" s="42"/>
      <c r="Y18" s="42"/>
      <c r="Z18" s="42"/>
      <c r="AA18" s="42"/>
      <c r="AB18" s="42"/>
      <c r="AC18" s="42"/>
    </row>
    <row r="19">
      <c r="A19" s="40">
        <v>44220.0</v>
      </c>
      <c r="B19" s="42"/>
      <c r="C19" s="41" t="s">
        <v>40</v>
      </c>
      <c r="D19" s="41"/>
      <c r="E19" s="42"/>
      <c r="F19" s="42"/>
      <c r="G19" s="41">
        <v>15.0</v>
      </c>
      <c r="H19" s="42"/>
      <c r="I19" s="42"/>
      <c r="J19" s="41" t="s">
        <v>413</v>
      </c>
      <c r="K19" s="41" t="s">
        <v>463</v>
      </c>
      <c r="L19" s="42"/>
      <c r="M19" s="41" t="s">
        <v>464</v>
      </c>
      <c r="N19" s="42"/>
      <c r="O19" s="42"/>
      <c r="P19" s="42"/>
      <c r="Q19" s="42"/>
      <c r="R19" s="42"/>
      <c r="S19" s="42"/>
      <c r="T19" s="42"/>
      <c r="U19" s="42"/>
      <c r="V19" s="42"/>
      <c r="W19" s="42"/>
      <c r="X19" s="42"/>
      <c r="Y19" s="42"/>
      <c r="Z19" s="42"/>
      <c r="AA19" s="42"/>
      <c r="AB19" s="42"/>
      <c r="AC19" s="42"/>
    </row>
    <row r="20">
      <c r="A20" s="40"/>
      <c r="B20" s="43"/>
      <c r="C20" s="41"/>
      <c r="D20" s="41"/>
      <c r="E20" s="41"/>
      <c r="F20" s="41"/>
      <c r="G20" s="42"/>
      <c r="H20" s="41"/>
      <c r="I20" s="42"/>
      <c r="J20" s="42"/>
      <c r="K20" s="42"/>
      <c r="L20" s="42"/>
      <c r="M20" s="42"/>
      <c r="N20" s="42"/>
      <c r="O20" s="42"/>
      <c r="P20" s="42"/>
      <c r="Q20" s="42"/>
      <c r="R20" s="42"/>
      <c r="S20" s="42"/>
      <c r="T20" s="42"/>
      <c r="U20" s="42"/>
      <c r="V20" s="42"/>
      <c r="W20" s="42"/>
      <c r="X20" s="42"/>
      <c r="Y20" s="42"/>
      <c r="Z20" s="42"/>
      <c r="AA20" s="42"/>
      <c r="AB20" s="42"/>
      <c r="AC20" s="42"/>
    </row>
    <row r="21">
      <c r="A21" s="40"/>
      <c r="B21" s="41"/>
      <c r="C21" s="41"/>
      <c r="D21" s="41"/>
      <c r="E21" s="41"/>
      <c r="F21" s="41"/>
      <c r="G21" s="42"/>
      <c r="H21" s="41"/>
      <c r="I21" s="42"/>
      <c r="J21" s="41"/>
      <c r="K21" s="42"/>
      <c r="L21" s="42"/>
      <c r="M21" s="42"/>
      <c r="N21" s="42"/>
      <c r="O21" s="42"/>
      <c r="P21" s="42"/>
      <c r="Q21" s="42"/>
      <c r="R21" s="42"/>
      <c r="S21" s="42"/>
      <c r="T21" s="42"/>
      <c r="U21" s="42"/>
      <c r="V21" s="42"/>
      <c r="W21" s="42"/>
      <c r="X21" s="42"/>
      <c r="Y21" s="42"/>
      <c r="Z21" s="42"/>
      <c r="AA21" s="42"/>
      <c r="AB21" s="42"/>
      <c r="AC21" s="42"/>
    </row>
    <row r="22">
      <c r="A22" s="40"/>
      <c r="B22" s="42"/>
      <c r="C22" s="41"/>
      <c r="D22" s="42"/>
      <c r="E22" s="42"/>
      <c r="F22" s="42"/>
      <c r="G22" s="41"/>
      <c r="H22" s="42"/>
      <c r="I22" s="42"/>
      <c r="J22" s="41"/>
      <c r="K22" s="42"/>
      <c r="L22" s="42"/>
      <c r="M22" s="41"/>
      <c r="N22" s="42"/>
      <c r="O22" s="42"/>
      <c r="P22" s="42"/>
      <c r="Q22" s="42"/>
      <c r="R22" s="42"/>
      <c r="S22" s="42"/>
      <c r="T22" s="42"/>
      <c r="U22" s="42"/>
      <c r="V22" s="42"/>
      <c r="W22" s="42"/>
      <c r="X22" s="42"/>
      <c r="Y22" s="42"/>
      <c r="Z22" s="42"/>
      <c r="AA22" s="42"/>
      <c r="AB22" s="42"/>
      <c r="AC22" s="42"/>
    </row>
    <row r="23">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6" width="7.38"/>
    <col customWidth="1" min="7" max="7" width="6.38"/>
    <col customWidth="1" min="8" max="8" width="7.5"/>
    <col customWidth="1" min="9" max="9" width="6.75"/>
    <col customWidth="1" min="10" max="10" width="21.63"/>
    <col customWidth="1" min="11" max="11" width="23.5"/>
    <col customWidth="1" min="12" max="12" width="21.88"/>
    <col customWidth="1" min="13" max="13" width="24.63"/>
    <col customWidth="1" min="14" max="14" width="5.88"/>
    <col customWidth="1" min="15" max="15" width="24.5"/>
    <col customWidth="1" min="16" max="16" width="5.25"/>
    <col customWidth="1" min="17" max="17" width="25.38"/>
    <col customWidth="1" min="18" max="18" width="5.88"/>
    <col customWidth="1" min="19" max="19" width="20.5"/>
    <col customWidth="1" min="20" max="20" width="6.25"/>
  </cols>
  <sheetData>
    <row r="1">
      <c r="A1" s="1" t="s">
        <v>465</v>
      </c>
    </row>
    <row r="2">
      <c r="A2" s="2" t="s">
        <v>310</v>
      </c>
      <c r="B2" s="2" t="s">
        <v>466</v>
      </c>
      <c r="C2" s="3" t="s">
        <v>3</v>
      </c>
      <c r="D2" s="4" t="s">
        <v>4</v>
      </c>
      <c r="E2" s="5">
        <f>SUM(E11:E102)+1</f>
        <v>8</v>
      </c>
      <c r="J2" s="7" t="s">
        <v>5</v>
      </c>
      <c r="K2" s="8" t="s">
        <v>6</v>
      </c>
      <c r="L2" s="8" t="s">
        <v>7</v>
      </c>
      <c r="M2" s="8" t="s">
        <v>8</v>
      </c>
      <c r="O2" s="9" t="s">
        <v>9</v>
      </c>
      <c r="P2" s="10"/>
      <c r="Q2" s="11"/>
      <c r="R2" s="11"/>
      <c r="S2" s="11"/>
      <c r="T2" s="12"/>
    </row>
    <row r="3">
      <c r="A3" s="2" t="s">
        <v>467</v>
      </c>
      <c r="C3" s="15"/>
      <c r="D3" s="16" t="s">
        <v>12</v>
      </c>
      <c r="E3" s="17">
        <v>492.0</v>
      </c>
      <c r="K3" s="19" t="s">
        <v>468</v>
      </c>
      <c r="L3" s="20"/>
      <c r="M3" s="20"/>
      <c r="O3" s="21" t="s">
        <v>434</v>
      </c>
      <c r="P3" s="21">
        <v>1.0</v>
      </c>
      <c r="Q3" s="22"/>
      <c r="R3" s="22"/>
      <c r="S3" s="21"/>
      <c r="T3" s="21"/>
    </row>
    <row r="4">
      <c r="C4" s="26"/>
      <c r="D4" s="27" t="s">
        <v>15</v>
      </c>
      <c r="E4" s="28">
        <f>SUM(F11:F102)-SUM(G11:G102)</f>
        <v>50</v>
      </c>
      <c r="K4" s="33" t="s">
        <v>469</v>
      </c>
      <c r="L4" s="31"/>
      <c r="M4" s="31"/>
      <c r="O4" s="32" t="s">
        <v>290</v>
      </c>
      <c r="P4" s="32">
        <v>1.0</v>
      </c>
      <c r="Q4" s="32"/>
      <c r="R4" s="32"/>
      <c r="S4" s="31"/>
      <c r="T4" s="31"/>
    </row>
    <row r="5">
      <c r="K5" s="74" t="s">
        <v>259</v>
      </c>
      <c r="L5" s="20"/>
      <c r="M5" s="20"/>
      <c r="O5" s="35" t="s">
        <v>470</v>
      </c>
      <c r="P5" s="35">
        <v>1.0</v>
      </c>
      <c r="Q5" s="35"/>
      <c r="R5" s="35"/>
      <c r="S5" s="20"/>
      <c r="T5" s="20"/>
    </row>
    <row r="6">
      <c r="K6" s="2" t="s">
        <v>471</v>
      </c>
      <c r="M6" s="31"/>
      <c r="O6" s="32"/>
      <c r="P6" s="32"/>
      <c r="Q6" s="32"/>
      <c r="R6" s="32"/>
      <c r="S6" s="31"/>
      <c r="T6" s="31"/>
    </row>
    <row r="7">
      <c r="O7" s="35"/>
      <c r="P7" s="35"/>
      <c r="Q7" s="36"/>
      <c r="R7" s="36"/>
      <c r="S7" s="20"/>
      <c r="T7" s="20"/>
    </row>
    <row r="8">
      <c r="J8" s="7" t="s">
        <v>17</v>
      </c>
      <c r="K8" s="74" t="s">
        <v>259</v>
      </c>
      <c r="L8" s="19"/>
      <c r="M8" s="35"/>
      <c r="O8" s="32"/>
      <c r="P8" s="32"/>
      <c r="Q8" s="32"/>
      <c r="R8" s="32"/>
      <c r="S8" s="31"/>
      <c r="T8" s="31"/>
    </row>
    <row r="9">
      <c r="O9" s="35"/>
      <c r="P9" s="35"/>
      <c r="Q9" s="35"/>
      <c r="R9" s="35"/>
      <c r="S9" s="20"/>
      <c r="T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N10" s="38"/>
      <c r="U10" s="38"/>
      <c r="V10" s="38"/>
      <c r="W10" s="38"/>
      <c r="X10" s="38"/>
      <c r="Y10" s="38"/>
      <c r="Z10" s="38"/>
      <c r="AA10" s="38"/>
      <c r="AB10" s="38"/>
      <c r="AC10" s="38"/>
      <c r="AD10" s="38"/>
    </row>
    <row r="11">
      <c r="A11" s="39">
        <v>43880.0</v>
      </c>
      <c r="B11" s="2" t="s">
        <v>472</v>
      </c>
      <c r="C11" s="2" t="s">
        <v>473</v>
      </c>
      <c r="D11" s="2" t="s">
        <v>474</v>
      </c>
      <c r="E11" s="2">
        <v>1.0</v>
      </c>
      <c r="F11" s="2">
        <v>10.0</v>
      </c>
      <c r="H11" s="2">
        <v>80.0</v>
      </c>
      <c r="J11" s="2" t="s">
        <v>475</v>
      </c>
      <c r="K11" s="2" t="s">
        <v>476</v>
      </c>
    </row>
    <row r="12">
      <c r="A12" s="39">
        <v>43893.0</v>
      </c>
      <c r="B12" s="2"/>
      <c r="C12" s="2" t="s">
        <v>238</v>
      </c>
      <c r="E12" s="2">
        <v>1.0</v>
      </c>
      <c r="F12" s="2">
        <v>10.0</v>
      </c>
      <c r="H12" s="2">
        <v>80.0</v>
      </c>
      <c r="J12" s="2"/>
    </row>
    <row r="13">
      <c r="A13" s="39"/>
      <c r="B13" s="2" t="s">
        <v>477</v>
      </c>
      <c r="C13" s="2" t="s">
        <v>478</v>
      </c>
      <c r="E13" s="2">
        <v>1.0</v>
      </c>
      <c r="F13" s="2">
        <v>10.0</v>
      </c>
      <c r="H13" s="2">
        <v>80.0</v>
      </c>
      <c r="J13" s="2" t="s">
        <v>479</v>
      </c>
    </row>
    <row r="14">
      <c r="A14" s="39">
        <v>43897.0</v>
      </c>
      <c r="B14" s="81" t="s">
        <v>480</v>
      </c>
      <c r="C14" s="2" t="s">
        <v>481</v>
      </c>
      <c r="D14" s="2" t="s">
        <v>412</v>
      </c>
      <c r="E14" s="2">
        <v>1.0</v>
      </c>
      <c r="F14" s="2">
        <v>20.0</v>
      </c>
      <c r="H14" s="2">
        <v>80.0</v>
      </c>
      <c r="J14" s="2" t="s">
        <v>482</v>
      </c>
      <c r="L14" s="2" t="s">
        <v>483</v>
      </c>
    </row>
    <row r="15">
      <c r="A15" s="40">
        <v>43909.0</v>
      </c>
      <c r="B15" s="82" t="s">
        <v>484</v>
      </c>
      <c r="C15" s="41" t="s">
        <v>485</v>
      </c>
      <c r="D15" s="41" t="s">
        <v>408</v>
      </c>
      <c r="E15" s="41">
        <v>1.0</v>
      </c>
      <c r="F15" s="41">
        <v>20.0</v>
      </c>
      <c r="G15" s="41"/>
      <c r="H15" s="41">
        <v>157.0</v>
      </c>
      <c r="I15" s="41">
        <v>100.0</v>
      </c>
      <c r="J15" s="41" t="s">
        <v>486</v>
      </c>
      <c r="K15" s="42"/>
      <c r="L15" s="42"/>
      <c r="M15" s="41" t="s">
        <v>487</v>
      </c>
      <c r="N15" s="42"/>
      <c r="O15" s="42"/>
      <c r="P15" s="42"/>
      <c r="Q15" s="42"/>
      <c r="R15" s="42"/>
      <c r="S15" s="42"/>
      <c r="T15" s="42"/>
      <c r="U15" s="42"/>
      <c r="V15" s="42"/>
      <c r="W15" s="42"/>
      <c r="X15" s="42"/>
      <c r="Y15" s="42"/>
      <c r="Z15" s="42"/>
      <c r="AA15" s="42"/>
      <c r="AB15" s="42"/>
      <c r="AC15" s="42"/>
      <c r="AD15" s="42"/>
    </row>
    <row r="16">
      <c r="A16" s="40">
        <v>43993.0</v>
      </c>
      <c r="B16" s="41" t="s">
        <v>488</v>
      </c>
      <c r="C16" s="41" t="s">
        <v>489</v>
      </c>
      <c r="D16" s="41" t="s">
        <v>408</v>
      </c>
      <c r="E16" s="41">
        <v>1.0</v>
      </c>
      <c r="F16" s="41">
        <v>20.0</v>
      </c>
      <c r="G16" s="41"/>
      <c r="H16" s="41">
        <v>90.0</v>
      </c>
      <c r="I16" s="41">
        <v>10.0</v>
      </c>
      <c r="J16" s="41" t="s">
        <v>490</v>
      </c>
      <c r="K16" s="42"/>
      <c r="L16" s="41" t="s">
        <v>491</v>
      </c>
      <c r="M16" s="41" t="s">
        <v>492</v>
      </c>
      <c r="N16" s="42"/>
      <c r="O16" s="42"/>
      <c r="P16" s="42"/>
      <c r="Q16" s="42"/>
      <c r="R16" s="42"/>
      <c r="S16" s="42"/>
      <c r="T16" s="42"/>
      <c r="U16" s="42"/>
      <c r="V16" s="42"/>
      <c r="W16" s="42"/>
      <c r="X16" s="42"/>
      <c r="Y16" s="42"/>
      <c r="Z16" s="42"/>
      <c r="AA16" s="42"/>
      <c r="AB16" s="42"/>
      <c r="AC16" s="42"/>
      <c r="AD16" s="42"/>
    </row>
    <row r="17">
      <c r="A17" s="40">
        <v>44139.0</v>
      </c>
      <c r="B17" s="43" t="s">
        <v>493</v>
      </c>
      <c r="C17" s="41" t="s">
        <v>494</v>
      </c>
      <c r="D17" s="41" t="s">
        <v>247</v>
      </c>
      <c r="E17" s="41">
        <v>0.0</v>
      </c>
      <c r="F17" s="41"/>
      <c r="G17" s="42"/>
      <c r="H17" s="41">
        <v>120.0</v>
      </c>
      <c r="I17" s="42"/>
      <c r="J17" s="41" t="s">
        <v>495</v>
      </c>
      <c r="K17" s="42"/>
      <c r="L17" s="42"/>
      <c r="M17" s="42"/>
      <c r="N17" s="42"/>
      <c r="O17" s="42"/>
      <c r="P17" s="42"/>
      <c r="Q17" s="42"/>
      <c r="R17" s="42"/>
      <c r="S17" s="42"/>
      <c r="T17" s="42"/>
      <c r="U17" s="42"/>
      <c r="V17" s="42"/>
      <c r="W17" s="42"/>
      <c r="X17" s="42"/>
      <c r="Y17" s="42"/>
      <c r="Z17" s="42"/>
      <c r="AA17" s="42"/>
      <c r="AB17" s="42"/>
      <c r="AC17" s="42"/>
      <c r="AD17" s="42"/>
    </row>
    <row r="18">
      <c r="A18" s="40">
        <v>44149.0</v>
      </c>
      <c r="B18" s="41"/>
      <c r="C18" s="41" t="s">
        <v>496</v>
      </c>
      <c r="D18" s="41" t="s">
        <v>58</v>
      </c>
      <c r="E18" s="41"/>
      <c r="F18" s="41"/>
      <c r="G18" s="41">
        <v>15.0</v>
      </c>
      <c r="H18" s="41"/>
      <c r="I18" s="42"/>
      <c r="J18" s="41" t="s">
        <v>469</v>
      </c>
      <c r="K18" s="42"/>
      <c r="L18" s="42"/>
      <c r="M18" s="41" t="s">
        <v>497</v>
      </c>
      <c r="N18" s="42"/>
      <c r="O18" s="42"/>
      <c r="P18" s="42"/>
      <c r="Q18" s="42"/>
      <c r="R18" s="42"/>
      <c r="S18" s="42"/>
      <c r="T18" s="42"/>
      <c r="U18" s="42"/>
      <c r="V18" s="42"/>
      <c r="W18" s="42"/>
      <c r="X18" s="42"/>
      <c r="Y18" s="42"/>
      <c r="Z18" s="42"/>
      <c r="AA18" s="42"/>
      <c r="AB18" s="42"/>
      <c r="AC18" s="42"/>
      <c r="AD18" s="42"/>
    </row>
    <row r="19">
      <c r="A19" s="40">
        <v>44192.0</v>
      </c>
      <c r="B19" s="42"/>
      <c r="C19" s="41" t="s">
        <v>40</v>
      </c>
      <c r="D19" s="42"/>
      <c r="E19" s="42"/>
      <c r="F19" s="42"/>
      <c r="G19" s="41">
        <v>15.0</v>
      </c>
      <c r="H19" s="42"/>
      <c r="I19" s="42"/>
      <c r="J19" s="41" t="s">
        <v>468</v>
      </c>
      <c r="K19" s="42"/>
      <c r="L19" s="42"/>
      <c r="M19" s="41" t="s">
        <v>498</v>
      </c>
      <c r="N19" s="42"/>
      <c r="O19" s="42"/>
      <c r="P19" s="42"/>
      <c r="Q19" s="42"/>
      <c r="R19" s="42"/>
      <c r="S19" s="42"/>
      <c r="T19" s="42"/>
      <c r="U19" s="42"/>
      <c r="V19" s="42"/>
      <c r="W19" s="42"/>
      <c r="X19" s="42"/>
      <c r="Y19" s="42"/>
      <c r="Z19" s="42"/>
      <c r="AA19" s="42"/>
      <c r="AB19" s="42"/>
      <c r="AC19" s="42"/>
      <c r="AD19" s="42"/>
    </row>
    <row r="20">
      <c r="A20" s="40">
        <v>44192.0</v>
      </c>
      <c r="B20" s="41" t="s">
        <v>295</v>
      </c>
      <c r="C20" s="41" t="s">
        <v>296</v>
      </c>
      <c r="D20" s="41" t="s">
        <v>192</v>
      </c>
      <c r="E20" s="41">
        <v>0.0</v>
      </c>
      <c r="F20" s="42"/>
      <c r="G20" s="42"/>
      <c r="H20" s="41">
        <v>120.0</v>
      </c>
      <c r="I20" s="42"/>
      <c r="J20" s="41" t="s">
        <v>499</v>
      </c>
      <c r="K20" s="42"/>
      <c r="L20" s="41" t="s">
        <v>500</v>
      </c>
      <c r="M20" s="41" t="s">
        <v>501</v>
      </c>
      <c r="N20" s="42"/>
      <c r="O20" s="42"/>
      <c r="P20" s="42"/>
      <c r="Q20" s="42"/>
      <c r="R20" s="42"/>
      <c r="S20" s="42"/>
      <c r="T20" s="42"/>
      <c r="U20" s="42"/>
      <c r="V20" s="42"/>
      <c r="W20" s="42"/>
      <c r="X20" s="42"/>
      <c r="Y20" s="42"/>
      <c r="Z20" s="42"/>
      <c r="AA20" s="42"/>
      <c r="AB20" s="42"/>
      <c r="AC20" s="42"/>
      <c r="AD20" s="42"/>
    </row>
    <row r="21">
      <c r="A21" s="40">
        <v>44216.0</v>
      </c>
      <c r="B21" s="41" t="s">
        <v>502</v>
      </c>
      <c r="C21" s="41" t="s">
        <v>503</v>
      </c>
      <c r="D21" s="41" t="s">
        <v>333</v>
      </c>
      <c r="E21" s="41">
        <v>0.0</v>
      </c>
      <c r="F21" s="42"/>
      <c r="G21" s="42"/>
      <c r="H21" s="42"/>
      <c r="I21" s="42"/>
      <c r="J21" s="41" t="s">
        <v>504</v>
      </c>
      <c r="K21" s="42"/>
      <c r="L21" s="42"/>
      <c r="M21" s="42"/>
      <c r="N21" s="42"/>
      <c r="O21" s="42"/>
      <c r="P21" s="42"/>
      <c r="Q21" s="42"/>
      <c r="R21" s="42"/>
      <c r="S21" s="42"/>
      <c r="T21" s="42"/>
      <c r="U21" s="42"/>
      <c r="V21" s="42"/>
      <c r="W21" s="42"/>
      <c r="X21" s="42"/>
      <c r="Y21" s="42"/>
      <c r="Z21" s="42"/>
      <c r="AA21" s="42"/>
      <c r="AB21" s="42"/>
      <c r="AC21" s="42"/>
      <c r="AD21" s="42"/>
    </row>
    <row r="22">
      <c r="A22" s="40">
        <v>44238.0</v>
      </c>
      <c r="B22" s="41" t="s">
        <v>505</v>
      </c>
      <c r="C22" s="41" t="s">
        <v>506</v>
      </c>
      <c r="D22" s="41" t="s">
        <v>37</v>
      </c>
      <c r="E22" s="41">
        <v>0.0</v>
      </c>
      <c r="F22" s="42"/>
      <c r="G22" s="42"/>
      <c r="H22" s="42"/>
      <c r="I22" s="42"/>
      <c r="J22" s="41" t="s">
        <v>507</v>
      </c>
      <c r="K22" s="42"/>
      <c r="L22" s="42"/>
      <c r="M22" s="42"/>
      <c r="N22" s="42"/>
      <c r="O22" s="42"/>
      <c r="P22" s="42"/>
      <c r="Q22" s="42"/>
      <c r="R22" s="42"/>
      <c r="S22" s="42"/>
      <c r="T22" s="42"/>
      <c r="U22" s="42"/>
      <c r="V22" s="42"/>
      <c r="W22" s="42"/>
      <c r="X22" s="42"/>
      <c r="Y22" s="42"/>
      <c r="Z22" s="42"/>
      <c r="AA22" s="42"/>
      <c r="AB22" s="42"/>
      <c r="AC22" s="42"/>
      <c r="AD22" s="42"/>
    </row>
    <row r="23">
      <c r="A23" s="40">
        <v>44244.0</v>
      </c>
      <c r="B23" s="41" t="s">
        <v>508</v>
      </c>
      <c r="C23" s="41" t="s">
        <v>509</v>
      </c>
      <c r="D23" s="41" t="s">
        <v>510</v>
      </c>
      <c r="E23" s="41">
        <v>0.0</v>
      </c>
      <c r="F23" s="42"/>
      <c r="G23" s="42"/>
      <c r="H23" s="42"/>
      <c r="I23" s="42"/>
      <c r="J23" s="41" t="s">
        <v>511</v>
      </c>
      <c r="K23" s="42"/>
      <c r="L23" s="42"/>
      <c r="M23" s="42"/>
      <c r="N23" s="42"/>
      <c r="O23" s="42"/>
      <c r="P23" s="42"/>
      <c r="Q23" s="42"/>
      <c r="R23" s="42"/>
      <c r="S23" s="42"/>
      <c r="T23" s="42"/>
      <c r="U23" s="42"/>
      <c r="V23" s="42"/>
      <c r="W23" s="42"/>
      <c r="X23" s="42"/>
      <c r="Y23" s="42"/>
      <c r="Z23" s="42"/>
      <c r="AA23" s="42"/>
      <c r="AB23" s="42"/>
      <c r="AC23" s="42"/>
      <c r="AD23" s="42"/>
    </row>
    <row r="24">
      <c r="A24" s="40">
        <v>44247.0</v>
      </c>
      <c r="B24" s="41"/>
      <c r="C24" s="41" t="s">
        <v>40</v>
      </c>
      <c r="D24" s="41"/>
      <c r="E24" s="41"/>
      <c r="F24" s="42"/>
      <c r="G24" s="41">
        <v>15.0</v>
      </c>
      <c r="H24" s="42"/>
      <c r="I24" s="42"/>
      <c r="J24" s="41" t="s">
        <v>146</v>
      </c>
      <c r="K24" s="42"/>
      <c r="L24" s="42"/>
      <c r="M24" s="41" t="s">
        <v>512</v>
      </c>
      <c r="N24" s="42"/>
      <c r="O24" s="42"/>
      <c r="P24" s="42"/>
      <c r="Q24" s="42"/>
      <c r="R24" s="42"/>
      <c r="S24" s="42"/>
      <c r="T24" s="42"/>
      <c r="U24" s="42"/>
      <c r="V24" s="42"/>
      <c r="W24" s="42"/>
      <c r="X24" s="42"/>
      <c r="Y24" s="42"/>
      <c r="Z24" s="42"/>
      <c r="AA24" s="42"/>
      <c r="AB24" s="42"/>
      <c r="AC24" s="42"/>
      <c r="AD24" s="42"/>
    </row>
    <row r="25">
      <c r="A25" s="40">
        <v>44247.0</v>
      </c>
      <c r="B25" s="41" t="s">
        <v>513</v>
      </c>
      <c r="C25" s="41" t="s">
        <v>514</v>
      </c>
      <c r="D25" s="41" t="s">
        <v>58</v>
      </c>
      <c r="E25" s="41">
        <v>1.0</v>
      </c>
      <c r="F25" s="41">
        <v>20.0</v>
      </c>
      <c r="G25" s="42"/>
      <c r="H25" s="42"/>
      <c r="I25" s="42"/>
      <c r="J25" s="41" t="s">
        <v>515</v>
      </c>
      <c r="K25" s="42"/>
      <c r="L25" s="42"/>
      <c r="M25" s="42"/>
      <c r="N25" s="42"/>
      <c r="O25" s="42"/>
      <c r="P25" s="42"/>
      <c r="Q25" s="42"/>
      <c r="R25" s="42"/>
      <c r="S25" s="42"/>
      <c r="T25" s="42"/>
      <c r="U25" s="42"/>
      <c r="V25" s="42"/>
      <c r="W25" s="42"/>
      <c r="X25" s="42"/>
      <c r="Y25" s="42"/>
      <c r="Z25" s="42"/>
      <c r="AA25" s="42"/>
      <c r="AB25" s="42"/>
      <c r="AC25" s="42"/>
      <c r="AD25" s="42"/>
    </row>
    <row r="26">
      <c r="A26" s="40">
        <v>44330.0</v>
      </c>
      <c r="B26" s="41"/>
      <c r="C26" s="41" t="s">
        <v>40</v>
      </c>
      <c r="D26" s="41"/>
      <c r="E26" s="42"/>
      <c r="F26" s="42"/>
      <c r="G26" s="41">
        <v>15.0</v>
      </c>
      <c r="H26" s="41"/>
      <c r="I26" s="42"/>
      <c r="J26" s="41" t="s">
        <v>259</v>
      </c>
      <c r="K26" s="41"/>
      <c r="L26" s="42"/>
      <c r="M26" s="41" t="s">
        <v>516</v>
      </c>
      <c r="N26" s="42"/>
      <c r="O26" s="83"/>
      <c r="P26" s="83"/>
      <c r="Q26" s="83"/>
      <c r="R26" s="83"/>
      <c r="S26" s="83"/>
      <c r="T26" s="83"/>
      <c r="U26" s="83"/>
      <c r="V26" s="42"/>
      <c r="W26" s="42"/>
      <c r="X26" s="42"/>
      <c r="Y26" s="42"/>
      <c r="Z26" s="42"/>
      <c r="AA26" s="42"/>
      <c r="AB26" s="42"/>
      <c r="AC26" s="42"/>
      <c r="AD26" s="42"/>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6" width="7.38"/>
    <col customWidth="1" min="7" max="7" width="6.38"/>
    <col customWidth="1" min="8" max="8" width="7.5"/>
    <col customWidth="1" min="9" max="9" width="6.75"/>
    <col customWidth="1" min="10" max="10" width="21.63"/>
    <col customWidth="1" min="11" max="11" width="23.5"/>
    <col customWidth="1" min="12" max="12" width="21.88"/>
    <col customWidth="1" min="13" max="13" width="24.63"/>
    <col customWidth="1" min="14" max="14" width="5.88"/>
    <col customWidth="1" min="15" max="15" width="24.5"/>
    <col customWidth="1" min="16" max="16" width="5.25"/>
    <col customWidth="1" min="17" max="17" width="25.38"/>
    <col customWidth="1" min="18" max="18" width="5.88"/>
    <col customWidth="1" min="19" max="19" width="20.5"/>
    <col customWidth="1" min="20" max="20" width="6.25"/>
  </cols>
  <sheetData>
    <row r="1">
      <c r="A1" s="1" t="s">
        <v>517</v>
      </c>
    </row>
    <row r="2">
      <c r="A2" s="2" t="s">
        <v>518</v>
      </c>
      <c r="B2" s="2" t="s">
        <v>519</v>
      </c>
      <c r="C2" s="3" t="s">
        <v>3</v>
      </c>
      <c r="D2" s="4" t="s">
        <v>4</v>
      </c>
      <c r="E2" s="5">
        <f>SUM(E11:E105)+1</f>
        <v>6</v>
      </c>
      <c r="J2" s="7" t="s">
        <v>5</v>
      </c>
      <c r="K2" s="8" t="s">
        <v>6</v>
      </c>
      <c r="L2" s="8" t="s">
        <v>7</v>
      </c>
      <c r="M2" s="8" t="s">
        <v>8</v>
      </c>
      <c r="O2" s="9" t="s">
        <v>9</v>
      </c>
      <c r="P2" s="10"/>
      <c r="Q2" s="11"/>
      <c r="R2" s="11"/>
      <c r="S2" s="11"/>
      <c r="T2" s="12"/>
    </row>
    <row r="3">
      <c r="A3" s="2" t="s">
        <v>520</v>
      </c>
      <c r="C3" s="15"/>
      <c r="D3" s="16" t="s">
        <v>12</v>
      </c>
      <c r="E3" s="17">
        <f>SUM(H11:H104)+15-SUM(I11:I104)</f>
        <v>745</v>
      </c>
      <c r="K3" s="34" t="s">
        <v>521</v>
      </c>
      <c r="L3" s="20"/>
      <c r="M3" s="20"/>
      <c r="O3" s="21" t="s">
        <v>522</v>
      </c>
      <c r="P3" s="21">
        <v>1.0</v>
      </c>
      <c r="Q3" s="22"/>
      <c r="R3" s="22"/>
      <c r="S3" s="21"/>
      <c r="T3" s="21"/>
    </row>
    <row r="4">
      <c r="C4" s="26"/>
      <c r="D4" s="27" t="s">
        <v>15</v>
      </c>
      <c r="E4" s="28">
        <f>SUM(F11:F105)-SUM(G11:G105)</f>
        <v>5</v>
      </c>
      <c r="K4" s="33" t="s">
        <v>523</v>
      </c>
      <c r="L4" s="31"/>
      <c r="M4" s="31"/>
      <c r="O4" s="32" t="s">
        <v>524</v>
      </c>
      <c r="P4" s="32">
        <v>1.0</v>
      </c>
      <c r="Q4" s="32"/>
      <c r="R4" s="32"/>
      <c r="S4" s="31"/>
      <c r="T4" s="31"/>
    </row>
    <row r="5">
      <c r="K5" s="34" t="s">
        <v>525</v>
      </c>
      <c r="L5" s="20"/>
      <c r="M5" s="20"/>
      <c r="O5" s="35"/>
      <c r="P5" s="35"/>
      <c r="Q5" s="35"/>
      <c r="R5" s="35"/>
      <c r="S5" s="20"/>
      <c r="T5" s="20"/>
    </row>
    <row r="6">
      <c r="K6" s="2" t="s">
        <v>398</v>
      </c>
      <c r="M6" s="31"/>
      <c r="O6" s="32"/>
      <c r="P6" s="32"/>
      <c r="Q6" s="32"/>
      <c r="R6" s="32"/>
      <c r="S6" s="31"/>
      <c r="T6" s="31"/>
    </row>
    <row r="7">
      <c r="O7" s="35"/>
      <c r="P7" s="35"/>
      <c r="Q7" s="36"/>
      <c r="R7" s="36"/>
      <c r="S7" s="20"/>
      <c r="T7" s="20"/>
    </row>
    <row r="8">
      <c r="J8" s="7" t="s">
        <v>17</v>
      </c>
      <c r="K8" s="19"/>
      <c r="L8" s="34"/>
      <c r="M8" s="20"/>
      <c r="O8" s="32"/>
      <c r="P8" s="32"/>
      <c r="Q8" s="32"/>
      <c r="R8" s="32"/>
      <c r="S8" s="31"/>
      <c r="T8" s="31"/>
    </row>
    <row r="9">
      <c r="O9" s="35"/>
      <c r="P9" s="35"/>
      <c r="Q9" s="35"/>
      <c r="R9" s="35"/>
      <c r="S9" s="20"/>
      <c r="T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N10" s="38"/>
      <c r="U10" s="38"/>
      <c r="V10" s="38"/>
      <c r="W10" s="38"/>
      <c r="X10" s="38"/>
      <c r="Y10" s="38"/>
      <c r="Z10" s="38"/>
      <c r="AA10" s="38"/>
      <c r="AB10" s="38"/>
      <c r="AC10" s="38"/>
    </row>
    <row r="11">
      <c r="A11" s="39">
        <v>43947.0</v>
      </c>
      <c r="B11" s="2" t="s">
        <v>526</v>
      </c>
      <c r="C11" s="2" t="s">
        <v>527</v>
      </c>
      <c r="D11" s="2" t="s">
        <v>528</v>
      </c>
      <c r="E11" s="2">
        <v>0.0</v>
      </c>
      <c r="H11" s="2">
        <v>0.0</v>
      </c>
      <c r="K11" s="2" t="s">
        <v>529</v>
      </c>
      <c r="M11" s="2" t="s">
        <v>530</v>
      </c>
    </row>
    <row r="12">
      <c r="A12" s="39">
        <v>43954.0</v>
      </c>
      <c r="B12" s="2" t="s">
        <v>526</v>
      </c>
      <c r="C12" s="2" t="s">
        <v>527</v>
      </c>
      <c r="D12" s="2" t="s">
        <v>528</v>
      </c>
      <c r="E12" s="2">
        <v>1.0</v>
      </c>
      <c r="F12" s="2">
        <v>10.0</v>
      </c>
      <c r="H12" s="2">
        <v>80.0</v>
      </c>
    </row>
    <row r="13">
      <c r="A13" s="39">
        <v>43968.0</v>
      </c>
      <c r="B13" s="2" t="s">
        <v>526</v>
      </c>
      <c r="C13" s="2" t="s">
        <v>531</v>
      </c>
      <c r="D13" s="2" t="s">
        <v>528</v>
      </c>
      <c r="E13" s="2">
        <v>1.0</v>
      </c>
      <c r="F13" s="2">
        <v>10.0</v>
      </c>
      <c r="H13" s="2">
        <v>40.0</v>
      </c>
      <c r="J13" s="2" t="s">
        <v>532</v>
      </c>
    </row>
    <row r="14">
      <c r="A14" s="39">
        <v>43975.0</v>
      </c>
      <c r="B14" s="2" t="s">
        <v>526</v>
      </c>
      <c r="C14" s="2" t="s">
        <v>533</v>
      </c>
      <c r="D14" s="2" t="s">
        <v>528</v>
      </c>
      <c r="E14" s="2">
        <v>1.0</v>
      </c>
      <c r="F14" s="2">
        <v>10.0</v>
      </c>
      <c r="H14" s="2">
        <v>80.0</v>
      </c>
      <c r="K14" s="2" t="s">
        <v>522</v>
      </c>
    </row>
    <row r="15">
      <c r="A15" s="39">
        <v>43989.0</v>
      </c>
      <c r="B15" s="2" t="s">
        <v>526</v>
      </c>
      <c r="C15" s="2" t="s">
        <v>534</v>
      </c>
      <c r="D15" s="2" t="s">
        <v>528</v>
      </c>
      <c r="E15" s="2">
        <v>0.0</v>
      </c>
      <c r="F15" s="2"/>
      <c r="G15" s="2"/>
      <c r="H15" s="2">
        <v>80.0</v>
      </c>
      <c r="I15" s="2"/>
      <c r="J15" s="2"/>
      <c r="M15" s="2" t="s">
        <v>535</v>
      </c>
    </row>
    <row r="16">
      <c r="A16" s="39">
        <v>43996.0</v>
      </c>
      <c r="B16" s="2" t="s">
        <v>526</v>
      </c>
      <c r="C16" s="2" t="s">
        <v>534</v>
      </c>
      <c r="D16" s="2" t="s">
        <v>528</v>
      </c>
      <c r="E16" s="2">
        <v>0.0</v>
      </c>
      <c r="G16" s="2"/>
      <c r="H16" s="2">
        <v>0.0</v>
      </c>
      <c r="I16" s="2"/>
      <c r="J16" s="2"/>
      <c r="M16" s="2"/>
    </row>
    <row r="17">
      <c r="A17" s="39">
        <v>44005.0</v>
      </c>
      <c r="B17" s="2" t="s">
        <v>536</v>
      </c>
      <c r="C17" s="2" t="s">
        <v>537</v>
      </c>
      <c r="D17" s="2" t="s">
        <v>538</v>
      </c>
      <c r="E17" s="2">
        <v>1.0</v>
      </c>
      <c r="F17" s="2">
        <v>20.0</v>
      </c>
      <c r="G17" s="2"/>
      <c r="H17" s="2">
        <v>0.0</v>
      </c>
      <c r="I17" s="2"/>
      <c r="J17" s="2" t="s">
        <v>80</v>
      </c>
      <c r="L17" s="2" t="s">
        <v>539</v>
      </c>
      <c r="M17" s="2"/>
    </row>
    <row r="18">
      <c r="A18" s="69">
        <v>44006.0</v>
      </c>
      <c r="B18" s="70"/>
      <c r="C18" s="70" t="s">
        <v>40</v>
      </c>
      <c r="D18" s="70" t="s">
        <v>540</v>
      </c>
      <c r="E18" s="70"/>
      <c r="F18" s="70"/>
      <c r="G18" s="70">
        <v>15.0</v>
      </c>
      <c r="H18" s="70"/>
      <c r="I18" s="70"/>
      <c r="J18" s="70" t="s">
        <v>541</v>
      </c>
      <c r="K18" s="71"/>
      <c r="L18" s="70"/>
      <c r="M18" s="70" t="s">
        <v>542</v>
      </c>
      <c r="N18" s="71"/>
      <c r="O18" s="71"/>
      <c r="P18" s="71"/>
      <c r="Q18" s="71"/>
      <c r="R18" s="71"/>
      <c r="S18" s="71"/>
      <c r="T18" s="71"/>
      <c r="U18" s="71"/>
      <c r="V18" s="71"/>
      <c r="W18" s="71"/>
      <c r="X18" s="71"/>
      <c r="Y18" s="71"/>
      <c r="Z18" s="71"/>
      <c r="AA18" s="71"/>
      <c r="AB18" s="71"/>
      <c r="AC18" s="71"/>
    </row>
    <row r="19">
      <c r="A19" s="69">
        <v>44006.0</v>
      </c>
      <c r="B19" s="70"/>
      <c r="C19" s="70" t="s">
        <v>40</v>
      </c>
      <c r="D19" s="70"/>
      <c r="E19" s="70"/>
      <c r="F19" s="70"/>
      <c r="G19" s="70">
        <v>15.0</v>
      </c>
      <c r="H19" s="70"/>
      <c r="I19" s="70"/>
      <c r="J19" s="70" t="s">
        <v>398</v>
      </c>
      <c r="K19" s="71"/>
      <c r="L19" s="71"/>
      <c r="M19" s="70" t="s">
        <v>543</v>
      </c>
      <c r="N19" s="71"/>
      <c r="O19" s="71"/>
      <c r="P19" s="71"/>
      <c r="Q19" s="71"/>
      <c r="R19" s="71"/>
      <c r="S19" s="71"/>
      <c r="T19" s="71"/>
      <c r="U19" s="71"/>
      <c r="V19" s="71"/>
      <c r="W19" s="71"/>
      <c r="X19" s="71"/>
      <c r="Y19" s="71"/>
      <c r="Z19" s="71"/>
      <c r="AA19" s="71"/>
      <c r="AB19" s="71"/>
      <c r="AC19" s="71"/>
    </row>
    <row r="20">
      <c r="A20" s="40">
        <v>44024.0</v>
      </c>
      <c r="B20" s="41" t="s">
        <v>526</v>
      </c>
      <c r="C20" s="41" t="s">
        <v>534</v>
      </c>
      <c r="D20" s="41" t="s">
        <v>544</v>
      </c>
      <c r="E20" s="41">
        <v>0.0</v>
      </c>
      <c r="F20" s="42"/>
      <c r="G20" s="41"/>
      <c r="H20" s="41">
        <v>120.0</v>
      </c>
      <c r="I20" s="42"/>
      <c r="J20" s="41"/>
      <c r="K20" s="41" t="s">
        <v>524</v>
      </c>
      <c r="L20" s="42"/>
      <c r="M20" s="41" t="s">
        <v>545</v>
      </c>
      <c r="N20" s="42"/>
      <c r="O20" s="42"/>
      <c r="P20" s="42"/>
      <c r="Q20" s="42"/>
      <c r="R20" s="42"/>
      <c r="S20" s="42"/>
      <c r="T20" s="42"/>
      <c r="U20" s="42"/>
      <c r="V20" s="42"/>
      <c r="W20" s="42"/>
      <c r="X20" s="42"/>
      <c r="Y20" s="42"/>
      <c r="Z20" s="42"/>
      <c r="AA20" s="42"/>
      <c r="AB20" s="42"/>
      <c r="AC20" s="42"/>
    </row>
    <row r="21">
      <c r="A21" s="40">
        <v>44031.0</v>
      </c>
      <c r="B21" s="84" t="s">
        <v>526</v>
      </c>
      <c r="C21" s="41" t="s">
        <v>534</v>
      </c>
      <c r="D21" s="41" t="s">
        <v>544</v>
      </c>
      <c r="E21" s="41">
        <v>1.0</v>
      </c>
      <c r="F21" s="41">
        <v>20.0</v>
      </c>
      <c r="G21" s="42"/>
      <c r="H21" s="41">
        <v>120.0</v>
      </c>
      <c r="I21" s="42"/>
      <c r="J21" s="41" t="s">
        <v>546</v>
      </c>
      <c r="K21" s="42"/>
      <c r="L21" s="42"/>
      <c r="M21" s="41" t="s">
        <v>547</v>
      </c>
      <c r="N21" s="42"/>
      <c r="O21" s="42"/>
      <c r="P21" s="42"/>
      <c r="Q21" s="42"/>
      <c r="R21" s="42"/>
      <c r="S21" s="42"/>
      <c r="T21" s="42"/>
      <c r="U21" s="42"/>
      <c r="V21" s="42"/>
      <c r="W21" s="42"/>
      <c r="X21" s="42"/>
      <c r="Y21" s="42"/>
      <c r="Z21" s="42"/>
      <c r="AA21" s="42"/>
      <c r="AB21" s="42"/>
      <c r="AC21" s="42"/>
    </row>
    <row r="22">
      <c r="A22" s="40">
        <v>44031.0</v>
      </c>
      <c r="B22" s="41"/>
      <c r="C22" s="41" t="s">
        <v>238</v>
      </c>
      <c r="D22" s="41"/>
      <c r="E22" s="41"/>
      <c r="F22" s="41"/>
      <c r="G22" s="42"/>
      <c r="H22" s="41"/>
      <c r="I22" s="42"/>
      <c r="J22" s="41" t="s">
        <v>261</v>
      </c>
      <c r="K22" s="42"/>
      <c r="L22" s="42"/>
      <c r="M22" s="42"/>
      <c r="N22" s="42"/>
      <c r="O22" s="42"/>
      <c r="P22" s="42"/>
      <c r="Q22" s="42"/>
      <c r="R22" s="42"/>
      <c r="S22" s="42"/>
      <c r="T22" s="42"/>
      <c r="U22" s="42"/>
      <c r="V22" s="42"/>
      <c r="W22" s="42"/>
      <c r="X22" s="42"/>
      <c r="Y22" s="42"/>
      <c r="Z22" s="42"/>
      <c r="AA22" s="42"/>
      <c r="AB22" s="42"/>
      <c r="AC22" s="42"/>
    </row>
    <row r="23">
      <c r="A23" s="40">
        <v>44033.0</v>
      </c>
      <c r="B23" s="42"/>
      <c r="C23" s="41" t="s">
        <v>40</v>
      </c>
      <c r="D23" s="42"/>
      <c r="E23" s="42"/>
      <c r="F23" s="42"/>
      <c r="G23" s="41">
        <v>15.0</v>
      </c>
      <c r="H23" s="42"/>
      <c r="I23" s="42"/>
      <c r="J23" s="41" t="s">
        <v>548</v>
      </c>
      <c r="K23" s="42"/>
      <c r="L23" s="42"/>
      <c r="M23" s="41" t="s">
        <v>549</v>
      </c>
      <c r="N23" s="42"/>
      <c r="O23" s="42"/>
      <c r="P23" s="42"/>
      <c r="Q23" s="42"/>
      <c r="R23" s="42"/>
      <c r="S23" s="42"/>
      <c r="T23" s="42"/>
      <c r="U23" s="42"/>
      <c r="V23" s="42"/>
      <c r="W23" s="42"/>
      <c r="X23" s="42"/>
      <c r="Y23" s="42"/>
      <c r="Z23" s="42"/>
      <c r="AA23" s="42"/>
      <c r="AB23" s="42"/>
      <c r="AC23" s="42"/>
    </row>
    <row r="24">
      <c r="A24" s="40">
        <v>44035.0</v>
      </c>
      <c r="B24" s="41" t="s">
        <v>550</v>
      </c>
      <c r="C24" s="41" t="s">
        <v>551</v>
      </c>
      <c r="D24" s="41" t="s">
        <v>408</v>
      </c>
      <c r="E24" s="41">
        <v>0.0</v>
      </c>
      <c r="F24" s="42"/>
      <c r="G24" s="42"/>
      <c r="H24" s="41">
        <v>90.0</v>
      </c>
      <c r="I24" s="42"/>
      <c r="J24" s="41" t="s">
        <v>552</v>
      </c>
      <c r="K24" s="42"/>
      <c r="L24" s="41" t="s">
        <v>553</v>
      </c>
      <c r="M24" s="41" t="s">
        <v>554</v>
      </c>
      <c r="N24" s="42"/>
      <c r="O24" s="42"/>
      <c r="P24" s="42"/>
      <c r="Q24" s="42"/>
      <c r="R24" s="42"/>
      <c r="S24" s="42"/>
      <c r="T24" s="42"/>
      <c r="U24" s="42"/>
      <c r="V24" s="42"/>
      <c r="W24" s="42"/>
      <c r="X24" s="42"/>
      <c r="Y24" s="42"/>
      <c r="Z24" s="42"/>
      <c r="AA24" s="42"/>
      <c r="AB24" s="42"/>
      <c r="AC24" s="42"/>
    </row>
    <row r="25">
      <c r="A25" s="40">
        <v>44041.0</v>
      </c>
      <c r="B25" s="41" t="s">
        <v>555</v>
      </c>
      <c r="C25" s="41" t="s">
        <v>556</v>
      </c>
      <c r="D25" s="41" t="s">
        <v>37</v>
      </c>
      <c r="E25" s="41">
        <v>0.0</v>
      </c>
      <c r="F25" s="42"/>
      <c r="G25" s="42"/>
      <c r="H25" s="41">
        <v>60.0</v>
      </c>
      <c r="I25" s="42"/>
      <c r="J25" s="41"/>
      <c r="K25" s="42"/>
      <c r="L25" s="41"/>
      <c r="M25" s="41"/>
      <c r="N25" s="42"/>
      <c r="O25" s="42"/>
      <c r="P25" s="42"/>
      <c r="Q25" s="42"/>
      <c r="R25" s="42"/>
      <c r="S25" s="42"/>
      <c r="T25" s="42"/>
      <c r="U25" s="42"/>
      <c r="V25" s="42"/>
      <c r="W25" s="42"/>
      <c r="X25" s="42"/>
      <c r="Y25" s="42"/>
      <c r="Z25" s="42"/>
      <c r="AA25" s="42"/>
      <c r="AB25" s="42"/>
      <c r="AC25" s="42"/>
    </row>
    <row r="26" ht="15.75" customHeight="1">
      <c r="A26" s="40">
        <v>44041.0</v>
      </c>
      <c r="B26" s="41" t="s">
        <v>557</v>
      </c>
      <c r="C26" s="41" t="s">
        <v>558</v>
      </c>
      <c r="D26" s="41" t="s">
        <v>37</v>
      </c>
      <c r="E26" s="42"/>
      <c r="F26" s="42"/>
      <c r="G26" s="42"/>
      <c r="H26" s="41">
        <v>60.0</v>
      </c>
      <c r="I26" s="42"/>
      <c r="J26" s="41" t="s">
        <v>521</v>
      </c>
      <c r="K26" s="42"/>
      <c r="L26" s="85" t="s">
        <v>559</v>
      </c>
      <c r="M26" s="41" t="s">
        <v>560</v>
      </c>
      <c r="N26" s="42"/>
      <c r="O26" s="42"/>
      <c r="P26" s="42"/>
      <c r="Q26" s="42"/>
      <c r="R26" s="42"/>
      <c r="S26" s="42"/>
      <c r="T26" s="42"/>
      <c r="U26" s="42"/>
      <c r="V26" s="42"/>
      <c r="W26" s="42"/>
      <c r="X26" s="42"/>
      <c r="Y26" s="42"/>
      <c r="Z26" s="42"/>
      <c r="AA26" s="42"/>
      <c r="AB26" s="42"/>
      <c r="AC26" s="42"/>
    </row>
    <row r="27">
      <c r="A27" s="40">
        <v>44383.0</v>
      </c>
      <c r="B27" s="42"/>
      <c r="C27" s="41" t="s">
        <v>40</v>
      </c>
      <c r="D27" s="42"/>
      <c r="E27" s="42"/>
      <c r="F27" s="42"/>
      <c r="G27" s="41">
        <v>15.0</v>
      </c>
      <c r="H27" s="42"/>
      <c r="I27" s="42"/>
      <c r="J27" s="41" t="s">
        <v>523</v>
      </c>
      <c r="K27" s="42"/>
      <c r="L27" s="42"/>
      <c r="M27" s="41" t="s">
        <v>561</v>
      </c>
      <c r="N27" s="42"/>
      <c r="O27" s="42"/>
      <c r="P27" s="42"/>
      <c r="Q27" s="42"/>
      <c r="R27" s="42"/>
      <c r="S27" s="42"/>
      <c r="T27" s="42"/>
      <c r="U27" s="42"/>
      <c r="V27" s="42"/>
      <c r="W27" s="42"/>
      <c r="X27" s="42"/>
      <c r="Y27" s="42"/>
      <c r="Z27" s="42"/>
      <c r="AA27" s="42"/>
      <c r="AB27" s="42"/>
      <c r="AC27" s="42"/>
    </row>
    <row r="28">
      <c r="A28" s="42"/>
      <c r="B28" s="42"/>
      <c r="C28" s="41" t="s">
        <v>40</v>
      </c>
      <c r="D28" s="41" t="s">
        <v>562</v>
      </c>
      <c r="E28" s="42"/>
      <c r="F28" s="42"/>
      <c r="G28" s="41">
        <v>5.0</v>
      </c>
      <c r="H28" s="42"/>
      <c r="I28" s="42"/>
      <c r="J28" s="41" t="s">
        <v>563</v>
      </c>
      <c r="K28" s="42"/>
      <c r="L28" s="42"/>
      <c r="M28" s="41" t="s">
        <v>564</v>
      </c>
      <c r="N28" s="42"/>
      <c r="O28" s="42"/>
      <c r="P28" s="42"/>
      <c r="Q28" s="42"/>
      <c r="R28" s="42"/>
      <c r="S28" s="42"/>
      <c r="T28" s="42"/>
      <c r="U28" s="42"/>
      <c r="V28" s="42"/>
      <c r="W28" s="42"/>
      <c r="X28" s="42"/>
      <c r="Y28" s="42"/>
      <c r="Z28" s="42"/>
      <c r="AA28" s="42"/>
      <c r="AB28" s="42"/>
      <c r="AC28" s="4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6" width="7.38"/>
    <col customWidth="1" min="7" max="7" width="6.38"/>
    <col customWidth="1" min="8" max="8" width="7.5"/>
    <col customWidth="1" min="9" max="9" width="6.75"/>
    <col customWidth="1" min="10" max="10" width="21.63"/>
    <col customWidth="1" min="11" max="11" width="23.5"/>
    <col customWidth="1" min="12" max="12" width="21.88"/>
    <col customWidth="1" min="13" max="13" width="24.63"/>
    <col customWidth="1" min="14" max="14" width="5.88"/>
    <col customWidth="1" min="15" max="15" width="28.0"/>
    <col customWidth="1" min="16" max="16" width="4.5"/>
    <col customWidth="1" min="17" max="17" width="25.63"/>
    <col customWidth="1" min="18" max="18" width="5.13"/>
    <col customWidth="1" min="19" max="19" width="25.63"/>
    <col customWidth="1" min="20" max="20" width="4.63"/>
  </cols>
  <sheetData>
    <row r="1">
      <c r="A1" s="1" t="s">
        <v>565</v>
      </c>
      <c r="N1" s="86"/>
      <c r="O1" s="87"/>
      <c r="P1" s="87"/>
      <c r="Q1" s="87"/>
      <c r="R1" s="87"/>
      <c r="S1" s="87"/>
      <c r="T1" s="87"/>
    </row>
    <row r="2">
      <c r="A2" s="2" t="s">
        <v>566</v>
      </c>
      <c r="B2" s="2" t="s">
        <v>567</v>
      </c>
      <c r="C2" s="3" t="s">
        <v>3</v>
      </c>
      <c r="D2" s="4" t="s">
        <v>4</v>
      </c>
      <c r="E2" s="5">
        <f>SUM(E11:E102)+1</f>
        <v>6</v>
      </c>
      <c r="J2" s="7" t="s">
        <v>5</v>
      </c>
      <c r="K2" s="8" t="s">
        <v>6</v>
      </c>
      <c r="L2" s="8" t="s">
        <v>7</v>
      </c>
      <c r="M2" s="8" t="s">
        <v>8</v>
      </c>
      <c r="N2" s="88"/>
      <c r="O2" s="9" t="s">
        <v>9</v>
      </c>
      <c r="P2" s="89"/>
      <c r="Q2" s="90"/>
      <c r="R2" s="90"/>
      <c r="S2" s="90"/>
      <c r="T2" s="91"/>
    </row>
    <row r="3">
      <c r="A3" s="2" t="s">
        <v>568</v>
      </c>
      <c r="C3" s="15"/>
      <c r="D3" s="16" t="s">
        <v>12</v>
      </c>
      <c r="E3" s="17">
        <f>SUM(H11:H102)+25-SUM(I11:I102)</f>
        <v>380</v>
      </c>
      <c r="K3" s="68" t="s">
        <v>569</v>
      </c>
      <c r="L3" s="20"/>
      <c r="M3" s="20"/>
      <c r="N3" s="88"/>
      <c r="O3" s="92"/>
      <c r="P3" s="92"/>
      <c r="Q3" s="93"/>
      <c r="R3" s="93"/>
      <c r="S3" s="93"/>
      <c r="T3" s="93"/>
    </row>
    <row r="4">
      <c r="C4" s="26"/>
      <c r="D4" s="27" t="s">
        <v>15</v>
      </c>
      <c r="E4" s="94">
        <f>SUM(F11:F102)-SUM(G11:G102)</f>
        <v>25</v>
      </c>
      <c r="K4" s="67" t="s">
        <v>570</v>
      </c>
      <c r="L4" s="31"/>
      <c r="M4" s="31"/>
      <c r="N4" s="88"/>
      <c r="O4" s="95"/>
      <c r="P4" s="95"/>
      <c r="Q4" s="95"/>
      <c r="R4" s="95"/>
      <c r="S4" s="95"/>
      <c r="T4" s="95"/>
    </row>
    <row r="5">
      <c r="K5" s="68" t="s">
        <v>571</v>
      </c>
      <c r="L5" s="20"/>
      <c r="M5" s="20"/>
      <c r="N5" s="88"/>
      <c r="O5" s="93"/>
      <c r="P5" s="93"/>
      <c r="Q5" s="93"/>
      <c r="R5" s="93"/>
      <c r="S5" s="93"/>
      <c r="T5" s="93"/>
    </row>
    <row r="6">
      <c r="M6" s="31"/>
      <c r="N6" s="88"/>
      <c r="O6" s="95"/>
      <c r="P6" s="95"/>
      <c r="Q6" s="95"/>
      <c r="R6" s="95"/>
      <c r="S6" s="95"/>
      <c r="T6" s="95"/>
    </row>
    <row r="7">
      <c r="N7" s="96"/>
      <c r="O7" s="93"/>
      <c r="P7" s="93"/>
      <c r="Q7" s="93"/>
      <c r="R7" s="93"/>
      <c r="S7" s="93"/>
      <c r="T7" s="93"/>
    </row>
    <row r="8">
      <c r="J8" s="7" t="s">
        <v>17</v>
      </c>
      <c r="K8" s="19"/>
      <c r="L8" s="34"/>
      <c r="M8" s="20"/>
      <c r="N8" s="88"/>
      <c r="O8" s="95"/>
      <c r="P8" s="95"/>
      <c r="Q8" s="95"/>
      <c r="R8" s="95"/>
      <c r="S8" s="95"/>
      <c r="T8" s="95"/>
    </row>
    <row r="9">
      <c r="N9" s="96"/>
      <c r="O9" s="93"/>
      <c r="P9" s="93"/>
      <c r="Q9" s="93"/>
      <c r="R9" s="93"/>
      <c r="S9" s="93"/>
      <c r="T9" s="93"/>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N10" s="97"/>
      <c r="O10" s="86"/>
      <c r="P10" s="86"/>
      <c r="Q10" s="86"/>
      <c r="R10" s="86"/>
      <c r="S10" s="86"/>
      <c r="T10" s="86"/>
      <c r="U10" s="38"/>
      <c r="V10" s="38"/>
      <c r="W10" s="38"/>
      <c r="X10" s="38"/>
      <c r="Y10" s="38"/>
      <c r="Z10" s="38"/>
      <c r="AA10" s="38"/>
      <c r="AB10" s="38"/>
      <c r="AC10" s="38"/>
    </row>
    <row r="11">
      <c r="A11" s="39">
        <v>43728.0</v>
      </c>
      <c r="B11" s="2" t="s">
        <v>572</v>
      </c>
      <c r="C11" s="2" t="s">
        <v>573</v>
      </c>
      <c r="D11" s="2" t="s">
        <v>574</v>
      </c>
      <c r="E11" s="2">
        <v>1.0</v>
      </c>
      <c r="F11" s="2">
        <v>10.0</v>
      </c>
      <c r="H11" s="2">
        <v>75.0</v>
      </c>
      <c r="N11" s="86"/>
      <c r="O11" s="86"/>
      <c r="P11" s="86"/>
      <c r="Q11" s="86"/>
      <c r="R11" s="86"/>
      <c r="S11" s="86"/>
      <c r="T11" s="86"/>
    </row>
    <row r="12">
      <c r="A12" s="39">
        <v>43733.0</v>
      </c>
      <c r="B12" s="2" t="s">
        <v>575</v>
      </c>
      <c r="C12" s="2" t="s">
        <v>576</v>
      </c>
      <c r="D12" s="2" t="s">
        <v>574</v>
      </c>
      <c r="E12" s="2">
        <v>1.0</v>
      </c>
      <c r="F12" s="2">
        <v>10.0</v>
      </c>
      <c r="H12" s="2">
        <v>0.0</v>
      </c>
      <c r="J12" s="2" t="s">
        <v>313</v>
      </c>
      <c r="N12" s="86"/>
      <c r="O12" s="86"/>
      <c r="P12" s="86"/>
      <c r="Q12" s="86"/>
      <c r="R12" s="86"/>
      <c r="S12" s="86"/>
      <c r="T12" s="86"/>
    </row>
    <row r="13">
      <c r="A13" s="39">
        <v>43735.0</v>
      </c>
      <c r="B13" s="2" t="s">
        <v>577</v>
      </c>
      <c r="C13" s="2" t="s">
        <v>578</v>
      </c>
      <c r="D13" s="2" t="s">
        <v>408</v>
      </c>
      <c r="E13" s="2">
        <v>0.0</v>
      </c>
      <c r="H13" s="2">
        <v>40.0</v>
      </c>
      <c r="N13" s="86"/>
      <c r="O13" s="86"/>
      <c r="P13" s="86"/>
      <c r="Q13" s="86"/>
      <c r="R13" s="86"/>
      <c r="S13" s="86"/>
      <c r="T13" s="86"/>
    </row>
    <row r="14">
      <c r="A14" s="39">
        <v>43735.0</v>
      </c>
      <c r="B14" s="2" t="s">
        <v>579</v>
      </c>
      <c r="C14" s="2" t="s">
        <v>580</v>
      </c>
      <c r="D14" s="2" t="s">
        <v>408</v>
      </c>
      <c r="E14" s="2">
        <v>1.0</v>
      </c>
      <c r="F14" s="2">
        <v>10.0</v>
      </c>
      <c r="H14" s="2">
        <v>40.0</v>
      </c>
      <c r="J14" s="2" t="s">
        <v>313</v>
      </c>
      <c r="N14" s="86"/>
      <c r="O14" s="86"/>
      <c r="P14" s="86"/>
      <c r="Q14" s="86"/>
      <c r="R14" s="86"/>
      <c r="S14" s="86"/>
      <c r="T14" s="86"/>
    </row>
    <row r="15">
      <c r="A15" s="39">
        <v>43742.0</v>
      </c>
      <c r="B15" s="2" t="s">
        <v>581</v>
      </c>
      <c r="C15" s="2" t="s">
        <v>582</v>
      </c>
      <c r="D15" s="2" t="s">
        <v>583</v>
      </c>
      <c r="E15" s="2">
        <v>1.0</v>
      </c>
      <c r="F15" s="2">
        <v>20.0</v>
      </c>
      <c r="G15" s="2"/>
      <c r="H15" s="2">
        <v>80.0</v>
      </c>
      <c r="I15" s="2"/>
      <c r="J15" s="2"/>
      <c r="M15" s="2"/>
      <c r="N15" s="86"/>
      <c r="O15" s="86"/>
      <c r="P15" s="86"/>
      <c r="Q15" s="86"/>
      <c r="R15" s="86"/>
      <c r="S15" s="86"/>
      <c r="T15" s="86"/>
    </row>
    <row r="16">
      <c r="A16" s="40">
        <v>43743.0</v>
      </c>
      <c r="B16" s="41" t="s">
        <v>584</v>
      </c>
      <c r="C16" s="41" t="s">
        <v>585</v>
      </c>
      <c r="D16" s="41" t="s">
        <v>586</v>
      </c>
      <c r="E16" s="41">
        <v>1.0</v>
      </c>
      <c r="F16" s="41">
        <v>20.0</v>
      </c>
      <c r="G16" s="41"/>
      <c r="H16" s="41">
        <v>120.0</v>
      </c>
      <c r="I16" s="42"/>
      <c r="J16" s="41" t="s">
        <v>587</v>
      </c>
      <c r="K16" s="42"/>
      <c r="L16" s="42"/>
      <c r="M16" s="41"/>
      <c r="N16" s="83"/>
      <c r="O16" s="83"/>
      <c r="P16" s="83"/>
      <c r="Q16" s="83"/>
      <c r="R16" s="83"/>
      <c r="S16" s="83"/>
      <c r="T16" s="83"/>
      <c r="U16" s="42"/>
      <c r="V16" s="42"/>
      <c r="W16" s="42"/>
      <c r="X16" s="42"/>
      <c r="Y16" s="42"/>
      <c r="Z16" s="42"/>
      <c r="AA16" s="42"/>
      <c r="AB16" s="42"/>
      <c r="AC16" s="42"/>
    </row>
    <row r="17">
      <c r="A17" s="40">
        <v>43771.0</v>
      </c>
      <c r="B17" s="84"/>
      <c r="C17" s="41" t="s">
        <v>40</v>
      </c>
      <c r="D17" s="41"/>
      <c r="E17" s="41"/>
      <c r="F17" s="41"/>
      <c r="G17" s="41">
        <v>15.0</v>
      </c>
      <c r="H17" s="41"/>
      <c r="I17" s="42"/>
      <c r="J17" s="41" t="s">
        <v>569</v>
      </c>
      <c r="K17" s="42"/>
      <c r="L17" s="42"/>
      <c r="M17" s="41" t="s">
        <v>588</v>
      </c>
      <c r="N17" s="83"/>
      <c r="O17" s="83"/>
      <c r="P17" s="83"/>
      <c r="Q17" s="83"/>
      <c r="R17" s="83"/>
      <c r="S17" s="83"/>
      <c r="T17" s="83"/>
      <c r="U17" s="42"/>
      <c r="V17" s="42"/>
      <c r="W17" s="42"/>
      <c r="X17" s="42"/>
      <c r="Y17" s="42"/>
      <c r="Z17" s="42"/>
      <c r="AA17" s="42"/>
      <c r="AB17" s="42"/>
      <c r="AC17" s="42"/>
    </row>
    <row r="18">
      <c r="A18" s="40">
        <v>43778.0</v>
      </c>
      <c r="B18" s="84"/>
      <c r="C18" s="41" t="s">
        <v>40</v>
      </c>
      <c r="D18" s="41"/>
      <c r="E18" s="41"/>
      <c r="F18" s="41"/>
      <c r="G18" s="41">
        <v>15.0</v>
      </c>
      <c r="H18" s="41"/>
      <c r="I18" s="42"/>
      <c r="J18" s="41" t="s">
        <v>77</v>
      </c>
      <c r="K18" s="42"/>
      <c r="L18" s="42"/>
      <c r="M18" s="41" t="s">
        <v>589</v>
      </c>
      <c r="N18" s="83"/>
      <c r="O18" s="83"/>
      <c r="P18" s="83"/>
      <c r="Q18" s="83"/>
      <c r="R18" s="83"/>
      <c r="S18" s="83"/>
      <c r="T18" s="83"/>
      <c r="U18" s="42"/>
      <c r="V18" s="42"/>
      <c r="W18" s="42"/>
      <c r="X18" s="42"/>
      <c r="Y18" s="42"/>
      <c r="Z18" s="42"/>
      <c r="AA18" s="42"/>
      <c r="AB18" s="42"/>
      <c r="AC18" s="42"/>
    </row>
    <row r="19">
      <c r="A19" s="40">
        <v>43789.0</v>
      </c>
      <c r="B19" s="41"/>
      <c r="C19" s="41" t="s">
        <v>40</v>
      </c>
      <c r="D19" s="41"/>
      <c r="E19" s="41"/>
      <c r="F19" s="41"/>
      <c r="G19" s="41">
        <v>15.0</v>
      </c>
      <c r="H19" s="41"/>
      <c r="I19" s="42"/>
      <c r="J19" s="41" t="s">
        <v>571</v>
      </c>
      <c r="K19" s="42"/>
      <c r="L19" s="42"/>
      <c r="M19" s="41" t="s">
        <v>590</v>
      </c>
      <c r="N19" s="83"/>
      <c r="O19" s="83"/>
      <c r="P19" s="83"/>
      <c r="Q19" s="83"/>
      <c r="R19" s="83"/>
      <c r="S19" s="83"/>
      <c r="T19" s="83"/>
      <c r="U19" s="42"/>
      <c r="V19" s="42"/>
      <c r="W19" s="42"/>
      <c r="X19" s="42"/>
      <c r="Y19" s="42"/>
      <c r="Z19" s="42"/>
      <c r="AA19" s="42"/>
      <c r="AB19" s="42"/>
      <c r="AC19" s="42"/>
    </row>
    <row r="20">
      <c r="A20" s="40">
        <v>45203.0</v>
      </c>
      <c r="B20" s="42"/>
      <c r="C20" s="41" t="s">
        <v>238</v>
      </c>
      <c r="D20" s="42"/>
      <c r="E20" s="42"/>
      <c r="F20" s="42"/>
      <c r="G20" s="41"/>
      <c r="H20" s="42"/>
      <c r="I20" s="42"/>
      <c r="J20" s="41" t="s">
        <v>591</v>
      </c>
      <c r="K20" s="42"/>
      <c r="L20" s="42"/>
      <c r="M20" s="41"/>
      <c r="N20" s="83"/>
      <c r="O20" s="83"/>
      <c r="P20" s="83"/>
      <c r="Q20" s="83"/>
      <c r="R20" s="83"/>
      <c r="S20" s="83"/>
      <c r="T20" s="83"/>
      <c r="U20" s="42"/>
      <c r="V20" s="42"/>
      <c r="W20" s="42"/>
      <c r="X20" s="42"/>
      <c r="Y20" s="42"/>
      <c r="Z20" s="42"/>
      <c r="AA20" s="42"/>
      <c r="AB20" s="42"/>
      <c r="AC20" s="42"/>
    </row>
    <row r="21">
      <c r="A21" s="42"/>
      <c r="B21" s="42"/>
      <c r="C21" s="42"/>
      <c r="D21" s="42"/>
      <c r="E21" s="42"/>
      <c r="F21" s="42"/>
      <c r="G21" s="42"/>
      <c r="H21" s="42"/>
      <c r="I21" s="42"/>
      <c r="J21" s="42"/>
      <c r="K21" s="42"/>
      <c r="L21" s="42"/>
      <c r="M21" s="42"/>
      <c r="N21" s="83"/>
      <c r="O21" s="83"/>
      <c r="P21" s="83"/>
      <c r="Q21" s="83"/>
      <c r="R21" s="83"/>
      <c r="S21" s="83"/>
      <c r="T21" s="83"/>
      <c r="U21" s="42"/>
      <c r="V21" s="42"/>
      <c r="W21" s="42"/>
      <c r="X21" s="42"/>
      <c r="Y21" s="42"/>
      <c r="Z21" s="42"/>
      <c r="AA21" s="42"/>
      <c r="AB21" s="42"/>
      <c r="AC21" s="42"/>
    </row>
    <row r="22">
      <c r="A22" s="42"/>
      <c r="B22" s="42"/>
      <c r="C22" s="42"/>
      <c r="D22" s="42"/>
      <c r="E22" s="42"/>
      <c r="F22" s="42"/>
      <c r="G22" s="42"/>
      <c r="H22" s="42"/>
      <c r="I22" s="42"/>
      <c r="J22" s="42"/>
      <c r="K22" s="42"/>
      <c r="L22" s="42"/>
      <c r="M22" s="42"/>
      <c r="N22" s="83"/>
      <c r="O22" s="83"/>
      <c r="P22" s="83"/>
      <c r="Q22" s="83"/>
      <c r="R22" s="83"/>
      <c r="S22" s="83"/>
      <c r="T22" s="83"/>
      <c r="U22" s="42"/>
      <c r="V22" s="42"/>
      <c r="W22" s="42"/>
      <c r="X22" s="42"/>
      <c r="Y22" s="42"/>
      <c r="Z22" s="42"/>
      <c r="AA22" s="42"/>
      <c r="AB22" s="42"/>
      <c r="AC22" s="42"/>
    </row>
    <row r="23">
      <c r="A23" s="42"/>
      <c r="B23" s="42"/>
      <c r="C23" s="42"/>
      <c r="D23" s="42"/>
      <c r="E23" s="42"/>
      <c r="F23" s="42"/>
      <c r="G23" s="42"/>
      <c r="H23" s="42"/>
      <c r="I23" s="42"/>
      <c r="J23" s="42"/>
      <c r="K23" s="42"/>
      <c r="L23" s="42"/>
      <c r="M23" s="42"/>
      <c r="N23" s="83"/>
      <c r="O23" s="83"/>
      <c r="P23" s="83"/>
      <c r="Q23" s="83"/>
      <c r="R23" s="83"/>
      <c r="S23" s="83"/>
      <c r="T23" s="83"/>
      <c r="U23" s="42"/>
      <c r="V23" s="42"/>
      <c r="W23" s="42"/>
      <c r="X23" s="42"/>
      <c r="Y23" s="42"/>
      <c r="Z23" s="42"/>
      <c r="AA23" s="42"/>
      <c r="AB23" s="42"/>
      <c r="AC23" s="42"/>
    </row>
    <row r="24">
      <c r="N24" s="86"/>
      <c r="O24" s="86"/>
      <c r="P24" s="86"/>
      <c r="Q24" s="86"/>
      <c r="R24" s="86"/>
      <c r="S24" s="86"/>
      <c r="T24" s="86"/>
    </row>
    <row r="25">
      <c r="N25" s="86"/>
      <c r="O25" s="86"/>
      <c r="P25" s="86"/>
      <c r="Q25" s="86"/>
      <c r="R25" s="86"/>
      <c r="S25" s="86"/>
      <c r="T25" s="86"/>
    </row>
    <row r="26">
      <c r="N26" s="86"/>
      <c r="O26" s="86"/>
      <c r="P26" s="86"/>
      <c r="Q26" s="86"/>
      <c r="R26" s="86"/>
      <c r="S26" s="86"/>
      <c r="T26" s="86"/>
    </row>
    <row r="27">
      <c r="N27" s="86"/>
      <c r="O27" s="86"/>
      <c r="P27" s="86"/>
      <c r="Q27" s="86"/>
      <c r="R27" s="86"/>
      <c r="S27" s="86"/>
      <c r="T27" s="86"/>
    </row>
    <row r="28">
      <c r="N28" s="86"/>
      <c r="O28" s="86"/>
      <c r="P28" s="86"/>
      <c r="Q28" s="86"/>
      <c r="R28" s="86"/>
      <c r="S28" s="86"/>
      <c r="T28" s="86"/>
    </row>
    <row r="29">
      <c r="N29" s="86"/>
      <c r="O29" s="86"/>
      <c r="P29" s="86"/>
      <c r="Q29" s="86"/>
      <c r="R29" s="86"/>
      <c r="S29" s="86"/>
      <c r="T29" s="86"/>
    </row>
    <row r="30">
      <c r="N30" s="86"/>
      <c r="O30" s="86"/>
      <c r="P30" s="86"/>
      <c r="Q30" s="86"/>
      <c r="R30" s="86"/>
      <c r="S30" s="86"/>
      <c r="T30" s="86"/>
    </row>
    <row r="31">
      <c r="N31" s="86"/>
      <c r="O31" s="86"/>
      <c r="P31" s="86"/>
      <c r="Q31" s="86"/>
      <c r="R31" s="86"/>
      <c r="S31" s="86"/>
      <c r="T31" s="86"/>
    </row>
    <row r="32">
      <c r="N32" s="86"/>
      <c r="O32" s="86"/>
      <c r="P32" s="86"/>
      <c r="Q32" s="86"/>
      <c r="R32" s="86"/>
      <c r="S32" s="86"/>
      <c r="T32" s="86"/>
    </row>
    <row r="33">
      <c r="N33" s="86"/>
      <c r="O33" s="86"/>
      <c r="P33" s="86"/>
      <c r="Q33" s="86"/>
      <c r="R33" s="86"/>
      <c r="S33" s="86"/>
      <c r="T33" s="86"/>
    </row>
    <row r="34">
      <c r="N34" s="86"/>
      <c r="O34" s="86"/>
      <c r="P34" s="86"/>
      <c r="Q34" s="86"/>
      <c r="R34" s="86"/>
      <c r="S34" s="86"/>
      <c r="T34" s="86"/>
    </row>
    <row r="35">
      <c r="N35" s="86"/>
      <c r="O35" s="86"/>
      <c r="P35" s="86"/>
      <c r="Q35" s="86"/>
      <c r="R35" s="86"/>
      <c r="S35" s="86"/>
      <c r="T35" s="86"/>
    </row>
    <row r="36">
      <c r="N36" s="86"/>
      <c r="O36" s="86"/>
      <c r="P36" s="86"/>
      <c r="Q36" s="86"/>
      <c r="R36" s="86"/>
      <c r="S36" s="86"/>
      <c r="T36" s="86"/>
    </row>
    <row r="37">
      <c r="N37" s="86"/>
      <c r="O37" s="86"/>
      <c r="P37" s="86"/>
      <c r="Q37" s="86"/>
      <c r="R37" s="86"/>
      <c r="S37" s="86"/>
      <c r="T37" s="86"/>
    </row>
    <row r="38">
      <c r="N38" s="86"/>
      <c r="O38" s="86"/>
      <c r="P38" s="86"/>
      <c r="Q38" s="86"/>
      <c r="R38" s="86"/>
      <c r="S38" s="86"/>
      <c r="T38" s="86"/>
    </row>
    <row r="39">
      <c r="N39" s="86"/>
      <c r="O39" s="86"/>
      <c r="P39" s="86"/>
      <c r="Q39" s="86"/>
      <c r="R39" s="86"/>
      <c r="S39" s="86"/>
      <c r="T39" s="86"/>
    </row>
    <row r="40">
      <c r="N40" s="86"/>
      <c r="O40" s="86"/>
      <c r="P40" s="86"/>
      <c r="Q40" s="86"/>
      <c r="R40" s="86"/>
      <c r="S40" s="86"/>
      <c r="T40" s="86"/>
    </row>
    <row r="41">
      <c r="N41" s="86"/>
      <c r="O41" s="86"/>
      <c r="P41" s="86"/>
      <c r="Q41" s="86"/>
      <c r="R41" s="86"/>
      <c r="S41" s="86"/>
      <c r="T41" s="86"/>
    </row>
    <row r="42">
      <c r="N42" s="86"/>
      <c r="O42" s="86"/>
      <c r="P42" s="86"/>
      <c r="Q42" s="86"/>
      <c r="R42" s="86"/>
      <c r="S42" s="86"/>
      <c r="T42" s="86"/>
    </row>
    <row r="43">
      <c r="N43" s="86"/>
      <c r="O43" s="86"/>
      <c r="P43" s="86"/>
      <c r="Q43" s="86"/>
      <c r="R43" s="86"/>
      <c r="S43" s="86"/>
      <c r="T43" s="86"/>
    </row>
    <row r="44">
      <c r="N44" s="86"/>
      <c r="O44" s="86"/>
      <c r="P44" s="86"/>
      <c r="Q44" s="86"/>
      <c r="R44" s="86"/>
      <c r="S44" s="86"/>
      <c r="T44" s="86"/>
    </row>
    <row r="45">
      <c r="N45" s="86"/>
      <c r="O45" s="86"/>
      <c r="P45" s="86"/>
      <c r="Q45" s="86"/>
      <c r="R45" s="86"/>
      <c r="S45" s="86"/>
      <c r="T45" s="86"/>
    </row>
    <row r="46">
      <c r="N46" s="86"/>
      <c r="O46" s="86"/>
      <c r="P46" s="86"/>
      <c r="Q46" s="86"/>
      <c r="R46" s="86"/>
      <c r="S46" s="86"/>
      <c r="T46" s="86"/>
    </row>
    <row r="47">
      <c r="N47" s="86"/>
      <c r="O47" s="86"/>
      <c r="P47" s="86"/>
      <c r="Q47" s="86"/>
      <c r="R47" s="86"/>
      <c r="S47" s="86"/>
      <c r="T47" s="86"/>
    </row>
    <row r="48">
      <c r="N48" s="86"/>
      <c r="O48" s="86"/>
      <c r="P48" s="86"/>
      <c r="Q48" s="86"/>
      <c r="R48" s="86"/>
      <c r="S48" s="86"/>
      <c r="T48" s="86"/>
    </row>
    <row r="49">
      <c r="N49" s="86"/>
      <c r="O49" s="86"/>
      <c r="P49" s="86"/>
      <c r="Q49" s="86"/>
      <c r="R49" s="86"/>
      <c r="S49" s="86"/>
      <c r="T49" s="86"/>
    </row>
    <row r="50">
      <c r="N50" s="86"/>
      <c r="O50" s="86"/>
      <c r="P50" s="86"/>
      <c r="Q50" s="86"/>
      <c r="R50" s="86"/>
      <c r="S50" s="86"/>
      <c r="T50" s="86"/>
    </row>
    <row r="51">
      <c r="N51" s="86"/>
      <c r="O51" s="86"/>
      <c r="P51" s="86"/>
      <c r="Q51" s="86"/>
      <c r="R51" s="86"/>
      <c r="S51" s="86"/>
      <c r="T51" s="86"/>
    </row>
    <row r="52">
      <c r="N52" s="86"/>
      <c r="O52" s="86"/>
      <c r="P52" s="86"/>
      <c r="Q52" s="86"/>
      <c r="R52" s="86"/>
      <c r="S52" s="86"/>
      <c r="T52" s="86"/>
    </row>
    <row r="53">
      <c r="N53" s="86"/>
      <c r="O53" s="86"/>
      <c r="P53" s="86"/>
      <c r="Q53" s="86"/>
      <c r="R53" s="86"/>
      <c r="S53" s="86"/>
      <c r="T53" s="86"/>
    </row>
    <row r="54">
      <c r="N54" s="86"/>
      <c r="O54" s="86"/>
      <c r="P54" s="86"/>
      <c r="Q54" s="86"/>
      <c r="R54" s="86"/>
      <c r="S54" s="86"/>
      <c r="T54" s="86"/>
    </row>
    <row r="55">
      <c r="N55" s="86"/>
      <c r="O55" s="86"/>
      <c r="P55" s="86"/>
      <c r="Q55" s="86"/>
      <c r="R55" s="86"/>
      <c r="S55" s="86"/>
      <c r="T55" s="86"/>
    </row>
    <row r="56">
      <c r="N56" s="86"/>
      <c r="O56" s="86"/>
      <c r="P56" s="86"/>
      <c r="Q56" s="86"/>
      <c r="R56" s="86"/>
      <c r="S56" s="86"/>
      <c r="T56" s="86"/>
    </row>
    <row r="57">
      <c r="N57" s="86"/>
      <c r="O57" s="86"/>
      <c r="P57" s="86"/>
      <c r="Q57" s="86"/>
      <c r="R57" s="86"/>
      <c r="S57" s="86"/>
      <c r="T57" s="86"/>
    </row>
    <row r="58">
      <c r="N58" s="86"/>
      <c r="O58" s="86"/>
      <c r="P58" s="86"/>
      <c r="Q58" s="86"/>
      <c r="R58" s="86"/>
      <c r="S58" s="86"/>
      <c r="T58" s="86"/>
    </row>
    <row r="59">
      <c r="N59" s="86"/>
      <c r="O59" s="86"/>
      <c r="P59" s="86"/>
      <c r="Q59" s="86"/>
      <c r="R59" s="86"/>
      <c r="S59" s="86"/>
      <c r="T59" s="86"/>
    </row>
    <row r="60">
      <c r="N60" s="86"/>
      <c r="O60" s="86"/>
      <c r="P60" s="86"/>
      <c r="Q60" s="86"/>
      <c r="R60" s="86"/>
      <c r="S60" s="86"/>
      <c r="T60" s="86"/>
    </row>
    <row r="61">
      <c r="N61" s="86"/>
      <c r="O61" s="86"/>
      <c r="P61" s="86"/>
      <c r="Q61" s="86"/>
      <c r="R61" s="86"/>
      <c r="S61" s="86"/>
      <c r="T61" s="86"/>
    </row>
    <row r="62">
      <c r="N62" s="86"/>
      <c r="O62" s="86"/>
      <c r="P62" s="86"/>
      <c r="Q62" s="86"/>
      <c r="R62" s="86"/>
      <c r="S62" s="86"/>
      <c r="T62" s="86"/>
    </row>
    <row r="63">
      <c r="N63" s="86"/>
      <c r="O63" s="86"/>
      <c r="P63" s="86"/>
      <c r="Q63" s="86"/>
      <c r="R63" s="86"/>
      <c r="S63" s="86"/>
      <c r="T63" s="86"/>
    </row>
    <row r="64">
      <c r="N64" s="86"/>
      <c r="O64" s="86"/>
      <c r="P64" s="86"/>
      <c r="Q64" s="86"/>
      <c r="R64" s="86"/>
      <c r="S64" s="86"/>
      <c r="T64" s="86"/>
    </row>
    <row r="65">
      <c r="N65" s="86"/>
      <c r="O65" s="86"/>
      <c r="P65" s="86"/>
      <c r="Q65" s="86"/>
      <c r="R65" s="86"/>
      <c r="S65" s="86"/>
      <c r="T65" s="86"/>
    </row>
    <row r="66">
      <c r="N66" s="86"/>
      <c r="O66" s="86"/>
      <c r="P66" s="86"/>
      <c r="Q66" s="86"/>
      <c r="R66" s="86"/>
      <c r="S66" s="86"/>
      <c r="T66" s="86"/>
    </row>
    <row r="67">
      <c r="N67" s="86"/>
      <c r="O67" s="86"/>
      <c r="P67" s="86"/>
      <c r="Q67" s="86"/>
      <c r="R67" s="86"/>
      <c r="S67" s="86"/>
      <c r="T67" s="86"/>
    </row>
    <row r="68">
      <c r="N68" s="86"/>
      <c r="O68" s="86"/>
      <c r="P68" s="86"/>
      <c r="Q68" s="86"/>
      <c r="R68" s="86"/>
      <c r="S68" s="86"/>
      <c r="T68" s="86"/>
    </row>
    <row r="69">
      <c r="N69" s="86"/>
      <c r="O69" s="86"/>
      <c r="P69" s="86"/>
      <c r="Q69" s="86"/>
      <c r="R69" s="86"/>
      <c r="S69" s="86"/>
      <c r="T69" s="86"/>
    </row>
    <row r="70">
      <c r="N70" s="86"/>
      <c r="O70" s="86"/>
      <c r="P70" s="86"/>
      <c r="Q70" s="86"/>
      <c r="R70" s="86"/>
      <c r="S70" s="86"/>
      <c r="T70" s="86"/>
    </row>
    <row r="71">
      <c r="N71" s="86"/>
      <c r="O71" s="86"/>
      <c r="P71" s="86"/>
      <c r="Q71" s="86"/>
      <c r="R71" s="86"/>
      <c r="S71" s="86"/>
      <c r="T71" s="86"/>
    </row>
    <row r="72">
      <c r="N72" s="86"/>
      <c r="O72" s="86"/>
      <c r="P72" s="86"/>
      <c r="Q72" s="86"/>
      <c r="R72" s="86"/>
      <c r="S72" s="86"/>
      <c r="T72" s="86"/>
    </row>
    <row r="73">
      <c r="N73" s="86"/>
      <c r="O73" s="86"/>
      <c r="P73" s="86"/>
      <c r="Q73" s="86"/>
      <c r="R73" s="86"/>
      <c r="S73" s="86"/>
      <c r="T73" s="86"/>
    </row>
    <row r="74">
      <c r="N74" s="86"/>
      <c r="O74" s="86"/>
      <c r="P74" s="86"/>
      <c r="Q74" s="86"/>
      <c r="R74" s="86"/>
      <c r="S74" s="86"/>
      <c r="T74" s="86"/>
    </row>
    <row r="75">
      <c r="N75" s="86"/>
      <c r="O75" s="86"/>
      <c r="P75" s="86"/>
      <c r="Q75" s="86"/>
      <c r="R75" s="86"/>
      <c r="S75" s="86"/>
      <c r="T75" s="86"/>
    </row>
    <row r="76">
      <c r="N76" s="86"/>
      <c r="O76" s="86"/>
      <c r="P76" s="86"/>
      <c r="Q76" s="86"/>
      <c r="R76" s="86"/>
      <c r="S76" s="86"/>
      <c r="T76" s="86"/>
    </row>
    <row r="77">
      <c r="N77" s="86"/>
      <c r="O77" s="86"/>
      <c r="P77" s="86"/>
      <c r="Q77" s="86"/>
      <c r="R77" s="86"/>
      <c r="S77" s="86"/>
      <c r="T77" s="86"/>
    </row>
    <row r="78">
      <c r="N78" s="86"/>
      <c r="O78" s="86"/>
      <c r="P78" s="86"/>
      <c r="Q78" s="86"/>
      <c r="R78" s="86"/>
      <c r="S78" s="86"/>
      <c r="T78" s="86"/>
    </row>
    <row r="79">
      <c r="N79" s="86"/>
      <c r="O79" s="86"/>
      <c r="P79" s="86"/>
      <c r="Q79" s="86"/>
      <c r="R79" s="86"/>
      <c r="S79" s="86"/>
      <c r="T79" s="86"/>
    </row>
    <row r="80">
      <c r="N80" s="86"/>
      <c r="O80" s="86"/>
      <c r="P80" s="86"/>
      <c r="Q80" s="86"/>
      <c r="R80" s="86"/>
      <c r="S80" s="86"/>
      <c r="T80" s="86"/>
    </row>
    <row r="81">
      <c r="N81" s="86"/>
      <c r="O81" s="86"/>
      <c r="P81" s="86"/>
      <c r="Q81" s="86"/>
      <c r="R81" s="86"/>
      <c r="S81" s="86"/>
      <c r="T81" s="86"/>
    </row>
    <row r="82">
      <c r="N82" s="86"/>
      <c r="O82" s="86"/>
      <c r="P82" s="86"/>
      <c r="Q82" s="86"/>
      <c r="R82" s="86"/>
      <c r="S82" s="86"/>
      <c r="T82" s="86"/>
    </row>
    <row r="83">
      <c r="N83" s="86"/>
      <c r="O83" s="86"/>
      <c r="P83" s="86"/>
      <c r="Q83" s="86"/>
      <c r="R83" s="86"/>
      <c r="S83" s="86"/>
      <c r="T83" s="86"/>
    </row>
    <row r="84">
      <c r="N84" s="86"/>
      <c r="O84" s="86"/>
      <c r="P84" s="86"/>
      <c r="Q84" s="86"/>
      <c r="R84" s="86"/>
      <c r="S84" s="86"/>
      <c r="T84" s="86"/>
    </row>
    <row r="85">
      <c r="N85" s="86"/>
      <c r="O85" s="86"/>
      <c r="P85" s="86"/>
      <c r="Q85" s="86"/>
      <c r="R85" s="86"/>
      <c r="S85" s="86"/>
      <c r="T85" s="86"/>
    </row>
    <row r="86">
      <c r="N86" s="86"/>
      <c r="O86" s="86"/>
      <c r="P86" s="86"/>
      <c r="Q86" s="86"/>
      <c r="R86" s="86"/>
      <c r="S86" s="86"/>
      <c r="T86" s="86"/>
    </row>
    <row r="87">
      <c r="N87" s="86"/>
      <c r="O87" s="86"/>
      <c r="P87" s="86"/>
      <c r="Q87" s="86"/>
      <c r="R87" s="86"/>
      <c r="S87" s="86"/>
      <c r="T87" s="86"/>
    </row>
    <row r="88">
      <c r="N88" s="86"/>
      <c r="O88" s="86"/>
      <c r="P88" s="86"/>
      <c r="Q88" s="86"/>
      <c r="R88" s="86"/>
      <c r="S88" s="86"/>
      <c r="T88" s="86"/>
    </row>
    <row r="89">
      <c r="N89" s="86"/>
      <c r="O89" s="86"/>
      <c r="P89" s="86"/>
      <c r="Q89" s="86"/>
      <c r="R89" s="86"/>
      <c r="S89" s="86"/>
      <c r="T89" s="86"/>
    </row>
    <row r="90">
      <c r="N90" s="86"/>
      <c r="O90" s="86"/>
      <c r="P90" s="86"/>
      <c r="Q90" s="86"/>
      <c r="R90" s="86"/>
      <c r="S90" s="86"/>
      <c r="T90" s="86"/>
    </row>
    <row r="91">
      <c r="N91" s="86"/>
      <c r="O91" s="86"/>
      <c r="P91" s="86"/>
      <c r="Q91" s="86"/>
      <c r="R91" s="86"/>
      <c r="S91" s="86"/>
      <c r="T91" s="86"/>
    </row>
    <row r="92">
      <c r="N92" s="86"/>
      <c r="O92" s="86"/>
      <c r="P92" s="86"/>
      <c r="Q92" s="86"/>
      <c r="R92" s="86"/>
      <c r="S92" s="86"/>
      <c r="T92" s="86"/>
    </row>
    <row r="93">
      <c r="N93" s="86"/>
      <c r="O93" s="86"/>
      <c r="P93" s="86"/>
      <c r="Q93" s="86"/>
      <c r="R93" s="86"/>
      <c r="S93" s="86"/>
      <c r="T93" s="86"/>
    </row>
    <row r="94">
      <c r="N94" s="86"/>
      <c r="O94" s="86"/>
      <c r="P94" s="86"/>
      <c r="Q94" s="86"/>
      <c r="R94" s="86"/>
      <c r="S94" s="86"/>
      <c r="T94" s="86"/>
    </row>
    <row r="95">
      <c r="N95" s="86"/>
      <c r="O95" s="86"/>
      <c r="P95" s="86"/>
      <c r="Q95" s="86"/>
      <c r="R95" s="86"/>
      <c r="S95" s="86"/>
      <c r="T95" s="86"/>
    </row>
    <row r="96">
      <c r="N96" s="86"/>
      <c r="O96" s="86"/>
      <c r="P96" s="86"/>
      <c r="Q96" s="86"/>
      <c r="R96" s="86"/>
      <c r="S96" s="86"/>
      <c r="T96" s="86"/>
    </row>
    <row r="97">
      <c r="N97" s="86"/>
      <c r="O97" s="86"/>
      <c r="P97" s="86"/>
      <c r="Q97" s="86"/>
      <c r="R97" s="86"/>
      <c r="S97" s="86"/>
      <c r="T97" s="86"/>
    </row>
    <row r="98">
      <c r="N98" s="86"/>
      <c r="O98" s="86"/>
      <c r="P98" s="86"/>
      <c r="Q98" s="86"/>
      <c r="R98" s="86"/>
      <c r="S98" s="86"/>
      <c r="T98" s="86"/>
    </row>
    <row r="99">
      <c r="N99" s="86"/>
      <c r="O99" s="86"/>
      <c r="P99" s="86"/>
      <c r="Q99" s="86"/>
      <c r="R99" s="86"/>
      <c r="S99" s="86"/>
      <c r="T99" s="86"/>
    </row>
    <row r="100">
      <c r="N100" s="86"/>
      <c r="O100" s="86"/>
      <c r="P100" s="86"/>
      <c r="Q100" s="86"/>
      <c r="R100" s="86"/>
      <c r="S100" s="86"/>
      <c r="T100" s="86"/>
    </row>
    <row r="101">
      <c r="N101" s="86"/>
      <c r="O101" s="86"/>
      <c r="P101" s="86"/>
      <c r="Q101" s="86"/>
      <c r="R101" s="86"/>
      <c r="S101" s="86"/>
      <c r="T101" s="86"/>
    </row>
    <row r="102">
      <c r="N102" s="86"/>
      <c r="O102" s="86"/>
      <c r="P102" s="86"/>
      <c r="Q102" s="86"/>
      <c r="R102" s="86"/>
      <c r="S102" s="86"/>
      <c r="T102" s="86"/>
    </row>
    <row r="103">
      <c r="N103" s="86"/>
      <c r="O103" s="86"/>
      <c r="P103" s="86"/>
      <c r="Q103" s="86"/>
      <c r="R103" s="86"/>
      <c r="S103" s="86"/>
      <c r="T103" s="86"/>
    </row>
    <row r="104">
      <c r="N104" s="86"/>
      <c r="O104" s="86"/>
      <c r="P104" s="86"/>
      <c r="Q104" s="86"/>
      <c r="R104" s="86"/>
      <c r="S104" s="86"/>
      <c r="T104" s="86"/>
    </row>
    <row r="105">
      <c r="N105" s="86"/>
      <c r="O105" s="86"/>
      <c r="P105" s="86"/>
      <c r="Q105" s="86"/>
      <c r="R105" s="86"/>
      <c r="S105" s="86"/>
      <c r="T105" s="86"/>
    </row>
    <row r="106">
      <c r="N106" s="86"/>
      <c r="O106" s="86"/>
      <c r="P106" s="86"/>
      <c r="Q106" s="86"/>
      <c r="R106" s="86"/>
      <c r="S106" s="86"/>
      <c r="T106" s="86"/>
    </row>
    <row r="107">
      <c r="N107" s="86"/>
      <c r="O107" s="86"/>
      <c r="P107" s="86"/>
      <c r="Q107" s="86"/>
      <c r="R107" s="86"/>
      <c r="S107" s="86"/>
      <c r="T107" s="86"/>
    </row>
    <row r="108">
      <c r="N108" s="86"/>
      <c r="O108" s="86"/>
      <c r="P108" s="86"/>
      <c r="Q108" s="86"/>
      <c r="R108" s="86"/>
      <c r="S108" s="86"/>
      <c r="T108" s="86"/>
    </row>
    <row r="109">
      <c r="N109" s="86"/>
      <c r="O109" s="86"/>
      <c r="P109" s="86"/>
      <c r="Q109" s="86"/>
      <c r="R109" s="86"/>
      <c r="S109" s="86"/>
      <c r="T109" s="86"/>
    </row>
    <row r="110">
      <c r="N110" s="86"/>
      <c r="O110" s="86"/>
      <c r="P110" s="86"/>
      <c r="Q110" s="86"/>
      <c r="R110" s="86"/>
      <c r="S110" s="86"/>
      <c r="T110" s="86"/>
    </row>
    <row r="111">
      <c r="N111" s="86"/>
      <c r="O111" s="86"/>
      <c r="P111" s="86"/>
      <c r="Q111" s="86"/>
      <c r="R111" s="86"/>
      <c r="S111" s="86"/>
      <c r="T111" s="86"/>
    </row>
    <row r="112">
      <c r="N112" s="86"/>
      <c r="O112" s="86"/>
      <c r="P112" s="86"/>
      <c r="Q112" s="86"/>
      <c r="R112" s="86"/>
      <c r="S112" s="86"/>
      <c r="T112" s="86"/>
    </row>
    <row r="113">
      <c r="N113" s="86"/>
      <c r="O113" s="86"/>
      <c r="P113" s="86"/>
      <c r="Q113" s="86"/>
      <c r="R113" s="86"/>
      <c r="S113" s="86"/>
      <c r="T113" s="86"/>
    </row>
    <row r="114">
      <c r="N114" s="86"/>
      <c r="O114" s="86"/>
      <c r="P114" s="86"/>
      <c r="Q114" s="86"/>
      <c r="R114" s="86"/>
      <c r="S114" s="86"/>
      <c r="T114" s="86"/>
    </row>
    <row r="115">
      <c r="N115" s="86"/>
      <c r="O115" s="86"/>
      <c r="P115" s="86"/>
      <c r="Q115" s="86"/>
      <c r="R115" s="86"/>
      <c r="S115" s="86"/>
      <c r="T115" s="86"/>
    </row>
    <row r="116">
      <c r="N116" s="86"/>
      <c r="O116" s="86"/>
      <c r="P116" s="86"/>
      <c r="Q116" s="86"/>
      <c r="R116" s="86"/>
      <c r="S116" s="86"/>
      <c r="T116" s="86"/>
    </row>
    <row r="117">
      <c r="N117" s="86"/>
      <c r="O117" s="86"/>
      <c r="P117" s="86"/>
      <c r="Q117" s="86"/>
      <c r="R117" s="86"/>
      <c r="S117" s="86"/>
      <c r="T117" s="86"/>
    </row>
    <row r="118">
      <c r="N118" s="86"/>
      <c r="O118" s="86"/>
      <c r="P118" s="86"/>
      <c r="Q118" s="86"/>
      <c r="R118" s="86"/>
      <c r="S118" s="86"/>
      <c r="T118" s="86"/>
    </row>
    <row r="119">
      <c r="N119" s="86"/>
      <c r="O119" s="86"/>
      <c r="P119" s="86"/>
      <c r="Q119" s="86"/>
      <c r="R119" s="86"/>
      <c r="S119" s="86"/>
      <c r="T119" s="86"/>
    </row>
    <row r="120">
      <c r="N120" s="86"/>
      <c r="O120" s="86"/>
      <c r="P120" s="86"/>
      <c r="Q120" s="86"/>
      <c r="R120" s="86"/>
      <c r="S120" s="86"/>
      <c r="T120" s="86"/>
    </row>
    <row r="121">
      <c r="N121" s="86"/>
      <c r="O121" s="86"/>
      <c r="P121" s="86"/>
      <c r="Q121" s="86"/>
      <c r="R121" s="86"/>
      <c r="S121" s="86"/>
      <c r="T121" s="86"/>
    </row>
    <row r="122">
      <c r="N122" s="86"/>
      <c r="O122" s="86"/>
      <c r="P122" s="86"/>
      <c r="Q122" s="86"/>
      <c r="R122" s="86"/>
      <c r="S122" s="86"/>
      <c r="T122" s="86"/>
    </row>
    <row r="123">
      <c r="N123" s="86"/>
      <c r="O123" s="86"/>
      <c r="P123" s="86"/>
      <c r="Q123" s="86"/>
      <c r="R123" s="86"/>
      <c r="S123" s="86"/>
      <c r="T123" s="86"/>
    </row>
    <row r="124">
      <c r="N124" s="86"/>
      <c r="O124" s="86"/>
      <c r="P124" s="86"/>
      <c r="Q124" s="86"/>
      <c r="R124" s="86"/>
      <c r="S124" s="86"/>
      <c r="T124" s="86"/>
    </row>
    <row r="125">
      <c r="N125" s="86"/>
      <c r="O125" s="86"/>
      <c r="P125" s="86"/>
      <c r="Q125" s="86"/>
      <c r="R125" s="86"/>
      <c r="S125" s="86"/>
      <c r="T125" s="86"/>
    </row>
    <row r="126">
      <c r="N126" s="86"/>
      <c r="O126" s="86"/>
      <c r="P126" s="86"/>
      <c r="Q126" s="86"/>
      <c r="R126" s="86"/>
      <c r="S126" s="86"/>
      <c r="T126" s="86"/>
    </row>
    <row r="127">
      <c r="N127" s="86"/>
      <c r="O127" s="86"/>
      <c r="P127" s="86"/>
      <c r="Q127" s="86"/>
      <c r="R127" s="86"/>
      <c r="S127" s="86"/>
      <c r="T127" s="86"/>
    </row>
    <row r="128">
      <c r="N128" s="86"/>
      <c r="O128" s="86"/>
      <c r="P128" s="86"/>
      <c r="Q128" s="86"/>
      <c r="R128" s="86"/>
      <c r="S128" s="86"/>
      <c r="T128" s="86"/>
    </row>
    <row r="129">
      <c r="N129" s="86"/>
      <c r="O129" s="86"/>
      <c r="P129" s="86"/>
      <c r="Q129" s="86"/>
      <c r="R129" s="86"/>
      <c r="S129" s="86"/>
      <c r="T129" s="86"/>
    </row>
    <row r="130">
      <c r="N130" s="86"/>
      <c r="O130" s="86"/>
      <c r="P130" s="86"/>
      <c r="Q130" s="86"/>
      <c r="R130" s="86"/>
      <c r="S130" s="86"/>
      <c r="T130" s="86"/>
    </row>
    <row r="131">
      <c r="N131" s="86"/>
      <c r="O131" s="86"/>
      <c r="P131" s="86"/>
      <c r="Q131" s="86"/>
      <c r="R131" s="86"/>
      <c r="S131" s="86"/>
      <c r="T131" s="86"/>
    </row>
    <row r="132">
      <c r="N132" s="86"/>
      <c r="O132" s="86"/>
      <c r="P132" s="86"/>
      <c r="Q132" s="86"/>
      <c r="R132" s="86"/>
      <c r="S132" s="86"/>
      <c r="T132" s="86"/>
    </row>
    <row r="133">
      <c r="N133" s="86"/>
      <c r="O133" s="86"/>
      <c r="P133" s="86"/>
      <c r="Q133" s="86"/>
      <c r="R133" s="86"/>
      <c r="S133" s="86"/>
      <c r="T133" s="86"/>
    </row>
    <row r="134">
      <c r="N134" s="86"/>
      <c r="O134" s="86"/>
      <c r="P134" s="86"/>
      <c r="Q134" s="86"/>
      <c r="R134" s="86"/>
      <c r="S134" s="86"/>
      <c r="T134" s="86"/>
    </row>
    <row r="135">
      <c r="N135" s="86"/>
      <c r="O135" s="86"/>
      <c r="P135" s="86"/>
      <c r="Q135" s="86"/>
      <c r="R135" s="86"/>
      <c r="S135" s="86"/>
      <c r="T135" s="86"/>
    </row>
    <row r="136">
      <c r="N136" s="86"/>
      <c r="O136" s="86"/>
      <c r="P136" s="86"/>
      <c r="Q136" s="86"/>
      <c r="R136" s="86"/>
      <c r="S136" s="86"/>
      <c r="T136" s="86"/>
    </row>
    <row r="137">
      <c r="N137" s="86"/>
      <c r="O137" s="86"/>
      <c r="P137" s="86"/>
      <c r="Q137" s="86"/>
      <c r="R137" s="86"/>
      <c r="S137" s="86"/>
      <c r="T137" s="86"/>
    </row>
    <row r="138">
      <c r="N138" s="86"/>
      <c r="O138" s="86"/>
      <c r="P138" s="86"/>
      <c r="Q138" s="86"/>
      <c r="R138" s="86"/>
      <c r="S138" s="86"/>
      <c r="T138" s="86"/>
    </row>
    <row r="139">
      <c r="N139" s="86"/>
      <c r="O139" s="86"/>
      <c r="P139" s="86"/>
      <c r="Q139" s="86"/>
      <c r="R139" s="86"/>
      <c r="S139" s="86"/>
      <c r="T139" s="86"/>
    </row>
    <row r="140">
      <c r="N140" s="86"/>
      <c r="O140" s="86"/>
      <c r="P140" s="86"/>
      <c r="Q140" s="86"/>
      <c r="R140" s="86"/>
      <c r="S140" s="86"/>
      <c r="T140" s="86"/>
    </row>
    <row r="141">
      <c r="N141" s="86"/>
      <c r="O141" s="86"/>
      <c r="P141" s="86"/>
      <c r="Q141" s="86"/>
      <c r="R141" s="86"/>
      <c r="S141" s="86"/>
      <c r="T141" s="86"/>
    </row>
    <row r="142">
      <c r="N142" s="86"/>
      <c r="O142" s="86"/>
      <c r="P142" s="86"/>
      <c r="Q142" s="86"/>
      <c r="R142" s="86"/>
      <c r="S142" s="86"/>
      <c r="T142" s="86"/>
    </row>
    <row r="143">
      <c r="N143" s="86"/>
      <c r="O143" s="86"/>
      <c r="P143" s="86"/>
      <c r="Q143" s="86"/>
      <c r="R143" s="86"/>
      <c r="S143" s="86"/>
      <c r="T143" s="86"/>
    </row>
    <row r="144">
      <c r="N144" s="86"/>
      <c r="O144" s="86"/>
      <c r="P144" s="86"/>
      <c r="Q144" s="86"/>
      <c r="R144" s="86"/>
      <c r="S144" s="86"/>
      <c r="T144" s="86"/>
    </row>
    <row r="145">
      <c r="N145" s="86"/>
      <c r="O145" s="86"/>
      <c r="P145" s="86"/>
      <c r="Q145" s="86"/>
      <c r="R145" s="86"/>
      <c r="S145" s="86"/>
      <c r="T145" s="86"/>
    </row>
    <row r="146">
      <c r="N146" s="86"/>
      <c r="O146" s="86"/>
      <c r="P146" s="86"/>
      <c r="Q146" s="86"/>
      <c r="R146" s="86"/>
      <c r="S146" s="86"/>
      <c r="T146" s="86"/>
    </row>
    <row r="147">
      <c r="N147" s="86"/>
      <c r="O147" s="86"/>
      <c r="P147" s="86"/>
      <c r="Q147" s="86"/>
      <c r="R147" s="86"/>
      <c r="S147" s="86"/>
      <c r="T147" s="86"/>
    </row>
    <row r="148">
      <c r="N148" s="86"/>
      <c r="O148" s="86"/>
      <c r="P148" s="86"/>
      <c r="Q148" s="86"/>
      <c r="R148" s="86"/>
      <c r="S148" s="86"/>
      <c r="T148" s="86"/>
    </row>
    <row r="149">
      <c r="N149" s="86"/>
      <c r="O149" s="86"/>
      <c r="P149" s="86"/>
      <c r="Q149" s="86"/>
      <c r="R149" s="86"/>
      <c r="S149" s="86"/>
      <c r="T149" s="86"/>
    </row>
    <row r="150">
      <c r="N150" s="86"/>
      <c r="O150" s="86"/>
      <c r="P150" s="86"/>
      <c r="Q150" s="86"/>
      <c r="R150" s="86"/>
      <c r="S150" s="86"/>
      <c r="T150" s="86"/>
    </row>
    <row r="151">
      <c r="N151" s="86"/>
      <c r="O151" s="86"/>
      <c r="P151" s="86"/>
      <c r="Q151" s="86"/>
      <c r="R151" s="86"/>
      <c r="S151" s="86"/>
      <c r="T151" s="86"/>
    </row>
    <row r="152">
      <c r="N152" s="86"/>
      <c r="O152" s="86"/>
      <c r="P152" s="86"/>
      <c r="Q152" s="86"/>
      <c r="R152" s="86"/>
      <c r="S152" s="86"/>
      <c r="T152" s="86"/>
    </row>
    <row r="153">
      <c r="N153" s="86"/>
      <c r="O153" s="86"/>
      <c r="P153" s="86"/>
      <c r="Q153" s="86"/>
      <c r="R153" s="86"/>
      <c r="S153" s="86"/>
      <c r="T153" s="86"/>
    </row>
    <row r="154">
      <c r="N154" s="86"/>
      <c r="O154" s="86"/>
      <c r="P154" s="86"/>
      <c r="Q154" s="86"/>
      <c r="R154" s="86"/>
      <c r="S154" s="86"/>
      <c r="T154" s="86"/>
    </row>
    <row r="155">
      <c r="N155" s="86"/>
      <c r="O155" s="86"/>
      <c r="P155" s="86"/>
      <c r="Q155" s="86"/>
      <c r="R155" s="86"/>
      <c r="S155" s="86"/>
      <c r="T155" s="86"/>
    </row>
    <row r="156">
      <c r="N156" s="86"/>
      <c r="O156" s="86"/>
      <c r="P156" s="86"/>
      <c r="Q156" s="86"/>
      <c r="R156" s="86"/>
      <c r="S156" s="86"/>
      <c r="T156" s="86"/>
    </row>
    <row r="157">
      <c r="N157" s="86"/>
      <c r="O157" s="86"/>
      <c r="P157" s="86"/>
      <c r="Q157" s="86"/>
      <c r="R157" s="86"/>
      <c r="S157" s="86"/>
      <c r="T157" s="86"/>
    </row>
    <row r="158">
      <c r="N158" s="86"/>
      <c r="O158" s="86"/>
      <c r="P158" s="86"/>
      <c r="Q158" s="86"/>
      <c r="R158" s="86"/>
      <c r="S158" s="86"/>
      <c r="T158" s="86"/>
    </row>
    <row r="159">
      <c r="N159" s="86"/>
      <c r="O159" s="86"/>
      <c r="P159" s="86"/>
      <c r="Q159" s="86"/>
      <c r="R159" s="86"/>
      <c r="S159" s="86"/>
      <c r="T159" s="86"/>
    </row>
    <row r="160">
      <c r="N160" s="86"/>
      <c r="O160" s="86"/>
      <c r="P160" s="86"/>
      <c r="Q160" s="86"/>
      <c r="R160" s="86"/>
      <c r="S160" s="86"/>
      <c r="T160" s="86"/>
    </row>
    <row r="161">
      <c r="N161" s="86"/>
      <c r="O161" s="86"/>
      <c r="P161" s="86"/>
      <c r="Q161" s="86"/>
      <c r="R161" s="86"/>
      <c r="S161" s="86"/>
      <c r="T161" s="86"/>
    </row>
    <row r="162">
      <c r="N162" s="86"/>
      <c r="O162" s="86"/>
      <c r="P162" s="86"/>
      <c r="Q162" s="86"/>
      <c r="R162" s="86"/>
      <c r="S162" s="86"/>
      <c r="T162" s="86"/>
    </row>
    <row r="163">
      <c r="N163" s="86"/>
      <c r="O163" s="86"/>
      <c r="P163" s="86"/>
      <c r="Q163" s="86"/>
      <c r="R163" s="86"/>
      <c r="S163" s="86"/>
      <c r="T163" s="86"/>
    </row>
    <row r="164">
      <c r="N164" s="86"/>
      <c r="O164" s="86"/>
      <c r="P164" s="86"/>
      <c r="Q164" s="86"/>
      <c r="R164" s="86"/>
      <c r="S164" s="86"/>
      <c r="T164" s="86"/>
    </row>
    <row r="165">
      <c r="N165" s="86"/>
      <c r="O165" s="86"/>
      <c r="P165" s="86"/>
      <c r="Q165" s="86"/>
      <c r="R165" s="86"/>
      <c r="S165" s="86"/>
      <c r="T165" s="86"/>
    </row>
    <row r="166">
      <c r="N166" s="86"/>
      <c r="O166" s="86"/>
      <c r="P166" s="86"/>
      <c r="Q166" s="86"/>
      <c r="R166" s="86"/>
      <c r="S166" s="86"/>
      <c r="T166" s="86"/>
    </row>
    <row r="167">
      <c r="N167" s="86"/>
      <c r="O167" s="86"/>
      <c r="P167" s="86"/>
      <c r="Q167" s="86"/>
      <c r="R167" s="86"/>
      <c r="S167" s="86"/>
      <c r="T167" s="86"/>
    </row>
    <row r="168">
      <c r="N168" s="86"/>
      <c r="O168" s="86"/>
      <c r="P168" s="86"/>
      <c r="Q168" s="86"/>
      <c r="R168" s="86"/>
      <c r="S168" s="86"/>
      <c r="T168" s="86"/>
    </row>
    <row r="169">
      <c r="N169" s="86"/>
      <c r="O169" s="86"/>
      <c r="P169" s="86"/>
      <c r="Q169" s="86"/>
      <c r="R169" s="86"/>
      <c r="S169" s="86"/>
      <c r="T169" s="86"/>
    </row>
    <row r="170">
      <c r="N170" s="86"/>
      <c r="O170" s="86"/>
      <c r="P170" s="86"/>
      <c r="Q170" s="86"/>
      <c r="R170" s="86"/>
      <c r="S170" s="86"/>
      <c r="T170" s="86"/>
    </row>
    <row r="171">
      <c r="N171" s="86"/>
      <c r="O171" s="86"/>
      <c r="P171" s="86"/>
      <c r="Q171" s="86"/>
      <c r="R171" s="86"/>
      <c r="S171" s="86"/>
      <c r="T171" s="86"/>
    </row>
    <row r="172">
      <c r="N172" s="86"/>
      <c r="O172" s="86"/>
      <c r="P172" s="86"/>
      <c r="Q172" s="86"/>
      <c r="R172" s="86"/>
      <c r="S172" s="86"/>
      <c r="T172" s="86"/>
    </row>
    <row r="173">
      <c r="N173" s="86"/>
      <c r="O173" s="86"/>
      <c r="P173" s="86"/>
      <c r="Q173" s="86"/>
      <c r="R173" s="86"/>
      <c r="S173" s="86"/>
      <c r="T173" s="86"/>
    </row>
    <row r="174">
      <c r="N174" s="86"/>
      <c r="O174" s="86"/>
      <c r="P174" s="86"/>
      <c r="Q174" s="86"/>
      <c r="R174" s="86"/>
      <c r="S174" s="86"/>
      <c r="T174" s="86"/>
    </row>
    <row r="175">
      <c r="N175" s="86"/>
      <c r="O175" s="86"/>
      <c r="P175" s="86"/>
      <c r="Q175" s="86"/>
      <c r="R175" s="86"/>
      <c r="S175" s="86"/>
      <c r="T175" s="86"/>
    </row>
    <row r="176">
      <c r="N176" s="86"/>
      <c r="O176" s="86"/>
      <c r="P176" s="86"/>
      <c r="Q176" s="86"/>
      <c r="R176" s="86"/>
      <c r="S176" s="86"/>
      <c r="T176" s="86"/>
    </row>
    <row r="177">
      <c r="N177" s="86"/>
      <c r="O177" s="86"/>
      <c r="P177" s="86"/>
      <c r="Q177" s="86"/>
      <c r="R177" s="86"/>
      <c r="S177" s="86"/>
      <c r="T177" s="86"/>
    </row>
    <row r="178">
      <c r="N178" s="86"/>
      <c r="O178" s="86"/>
      <c r="P178" s="86"/>
      <c r="Q178" s="86"/>
      <c r="R178" s="86"/>
      <c r="S178" s="86"/>
      <c r="T178" s="86"/>
    </row>
    <row r="179">
      <c r="N179" s="86"/>
      <c r="O179" s="86"/>
      <c r="P179" s="86"/>
      <c r="Q179" s="86"/>
      <c r="R179" s="86"/>
      <c r="S179" s="86"/>
      <c r="T179" s="86"/>
    </row>
    <row r="180">
      <c r="N180" s="86"/>
      <c r="O180" s="86"/>
      <c r="P180" s="86"/>
      <c r="Q180" s="86"/>
      <c r="R180" s="86"/>
      <c r="S180" s="86"/>
      <c r="T180" s="86"/>
    </row>
    <row r="181">
      <c r="N181" s="86"/>
      <c r="O181" s="86"/>
      <c r="P181" s="86"/>
      <c r="Q181" s="86"/>
      <c r="R181" s="86"/>
      <c r="S181" s="86"/>
      <c r="T181" s="86"/>
    </row>
    <row r="182">
      <c r="N182" s="86"/>
      <c r="O182" s="86"/>
      <c r="P182" s="86"/>
      <c r="Q182" s="86"/>
      <c r="R182" s="86"/>
      <c r="S182" s="86"/>
      <c r="T182" s="86"/>
    </row>
    <row r="183">
      <c r="N183" s="86"/>
      <c r="O183" s="86"/>
      <c r="P183" s="86"/>
      <c r="Q183" s="86"/>
      <c r="R183" s="86"/>
      <c r="S183" s="86"/>
      <c r="T183" s="86"/>
    </row>
    <row r="184">
      <c r="N184" s="86"/>
      <c r="O184" s="86"/>
      <c r="P184" s="86"/>
      <c r="Q184" s="86"/>
      <c r="R184" s="86"/>
      <c r="S184" s="86"/>
      <c r="T184" s="86"/>
    </row>
    <row r="185">
      <c r="N185" s="86"/>
      <c r="O185" s="86"/>
      <c r="P185" s="86"/>
      <c r="Q185" s="86"/>
      <c r="R185" s="86"/>
      <c r="S185" s="86"/>
      <c r="T185" s="86"/>
    </row>
    <row r="186">
      <c r="N186" s="86"/>
      <c r="O186" s="86"/>
      <c r="P186" s="86"/>
      <c r="Q186" s="86"/>
      <c r="R186" s="86"/>
      <c r="S186" s="86"/>
      <c r="T186" s="86"/>
    </row>
    <row r="187">
      <c r="N187" s="86"/>
      <c r="O187" s="86"/>
      <c r="P187" s="86"/>
      <c r="Q187" s="86"/>
      <c r="R187" s="86"/>
      <c r="S187" s="86"/>
      <c r="T187" s="86"/>
    </row>
    <row r="188">
      <c r="N188" s="86"/>
      <c r="O188" s="86"/>
      <c r="P188" s="86"/>
      <c r="Q188" s="86"/>
      <c r="R188" s="86"/>
      <c r="S188" s="86"/>
      <c r="T188" s="86"/>
    </row>
    <row r="189">
      <c r="N189" s="86"/>
      <c r="O189" s="86"/>
      <c r="P189" s="86"/>
      <c r="Q189" s="86"/>
      <c r="R189" s="86"/>
      <c r="S189" s="86"/>
      <c r="T189" s="86"/>
    </row>
    <row r="190">
      <c r="N190" s="86"/>
      <c r="O190" s="86"/>
      <c r="P190" s="86"/>
      <c r="Q190" s="86"/>
      <c r="R190" s="86"/>
      <c r="S190" s="86"/>
      <c r="T190" s="86"/>
    </row>
    <row r="191">
      <c r="N191" s="86"/>
      <c r="O191" s="86"/>
      <c r="P191" s="86"/>
      <c r="Q191" s="86"/>
      <c r="R191" s="86"/>
      <c r="S191" s="86"/>
      <c r="T191" s="86"/>
    </row>
    <row r="192">
      <c r="N192" s="86"/>
      <c r="O192" s="86"/>
      <c r="P192" s="86"/>
      <c r="Q192" s="86"/>
      <c r="R192" s="86"/>
      <c r="S192" s="86"/>
      <c r="T192" s="86"/>
    </row>
    <row r="193">
      <c r="N193" s="86"/>
      <c r="O193" s="86"/>
      <c r="P193" s="86"/>
      <c r="Q193" s="86"/>
      <c r="R193" s="86"/>
      <c r="S193" s="86"/>
      <c r="T193" s="86"/>
    </row>
    <row r="194">
      <c r="N194" s="86"/>
      <c r="O194" s="86"/>
      <c r="P194" s="86"/>
      <c r="Q194" s="86"/>
      <c r="R194" s="86"/>
      <c r="S194" s="86"/>
      <c r="T194" s="86"/>
    </row>
    <row r="195">
      <c r="N195" s="86"/>
      <c r="O195" s="86"/>
      <c r="P195" s="86"/>
      <c r="Q195" s="86"/>
      <c r="R195" s="86"/>
      <c r="S195" s="86"/>
      <c r="T195" s="86"/>
    </row>
    <row r="196">
      <c r="N196" s="86"/>
      <c r="O196" s="86"/>
      <c r="P196" s="86"/>
      <c r="Q196" s="86"/>
      <c r="R196" s="86"/>
      <c r="S196" s="86"/>
      <c r="T196" s="86"/>
    </row>
    <row r="197">
      <c r="N197" s="86"/>
      <c r="O197" s="86"/>
      <c r="P197" s="86"/>
      <c r="Q197" s="86"/>
      <c r="R197" s="86"/>
      <c r="S197" s="86"/>
      <c r="T197" s="86"/>
    </row>
    <row r="198">
      <c r="N198" s="86"/>
      <c r="O198" s="86"/>
      <c r="P198" s="86"/>
      <c r="Q198" s="86"/>
      <c r="R198" s="86"/>
      <c r="S198" s="86"/>
      <c r="T198" s="86"/>
    </row>
    <row r="199">
      <c r="N199" s="86"/>
      <c r="O199" s="86"/>
      <c r="P199" s="86"/>
      <c r="Q199" s="86"/>
      <c r="R199" s="86"/>
      <c r="S199" s="86"/>
      <c r="T199" s="86"/>
    </row>
    <row r="200">
      <c r="N200" s="86"/>
      <c r="O200" s="86"/>
      <c r="P200" s="86"/>
      <c r="Q200" s="86"/>
      <c r="R200" s="86"/>
      <c r="S200" s="86"/>
      <c r="T200" s="86"/>
    </row>
    <row r="201">
      <c r="N201" s="86"/>
      <c r="O201" s="86"/>
      <c r="P201" s="86"/>
      <c r="Q201" s="86"/>
      <c r="R201" s="86"/>
      <c r="S201" s="86"/>
      <c r="T201" s="86"/>
    </row>
    <row r="202">
      <c r="N202" s="86"/>
      <c r="O202" s="86"/>
      <c r="P202" s="86"/>
      <c r="Q202" s="86"/>
      <c r="R202" s="86"/>
      <c r="S202" s="86"/>
      <c r="T202" s="86"/>
    </row>
    <row r="203">
      <c r="N203" s="86"/>
      <c r="O203" s="86"/>
      <c r="P203" s="86"/>
      <c r="Q203" s="86"/>
      <c r="R203" s="86"/>
      <c r="S203" s="86"/>
      <c r="T203" s="86"/>
    </row>
    <row r="204">
      <c r="N204" s="86"/>
      <c r="O204" s="86"/>
      <c r="P204" s="86"/>
      <c r="Q204" s="86"/>
      <c r="R204" s="86"/>
      <c r="S204" s="86"/>
      <c r="T204" s="86"/>
    </row>
    <row r="205">
      <c r="N205" s="86"/>
      <c r="O205" s="86"/>
      <c r="P205" s="86"/>
      <c r="Q205" s="86"/>
      <c r="R205" s="86"/>
      <c r="S205" s="86"/>
      <c r="T205" s="86"/>
    </row>
    <row r="206">
      <c r="N206" s="86"/>
      <c r="O206" s="86"/>
      <c r="P206" s="86"/>
      <c r="Q206" s="86"/>
      <c r="R206" s="86"/>
      <c r="S206" s="86"/>
      <c r="T206" s="86"/>
    </row>
    <row r="207">
      <c r="N207" s="86"/>
      <c r="O207" s="86"/>
      <c r="P207" s="86"/>
      <c r="Q207" s="86"/>
      <c r="R207" s="86"/>
      <c r="S207" s="86"/>
      <c r="T207" s="86"/>
    </row>
    <row r="208">
      <c r="N208" s="86"/>
      <c r="O208" s="86"/>
      <c r="P208" s="86"/>
      <c r="Q208" s="86"/>
      <c r="R208" s="86"/>
      <c r="S208" s="86"/>
      <c r="T208" s="86"/>
    </row>
    <row r="209">
      <c r="N209" s="86"/>
      <c r="O209" s="86"/>
      <c r="P209" s="86"/>
      <c r="Q209" s="86"/>
      <c r="R209" s="86"/>
      <c r="S209" s="86"/>
      <c r="T209" s="86"/>
    </row>
    <row r="210">
      <c r="N210" s="86"/>
      <c r="O210" s="86"/>
      <c r="P210" s="86"/>
      <c r="Q210" s="86"/>
      <c r="R210" s="86"/>
      <c r="S210" s="86"/>
      <c r="T210" s="86"/>
    </row>
    <row r="211">
      <c r="N211" s="86"/>
      <c r="O211" s="86"/>
      <c r="P211" s="86"/>
      <c r="Q211" s="86"/>
      <c r="R211" s="86"/>
      <c r="S211" s="86"/>
      <c r="T211" s="86"/>
    </row>
    <row r="212">
      <c r="N212" s="86"/>
      <c r="O212" s="86"/>
      <c r="P212" s="86"/>
      <c r="Q212" s="86"/>
      <c r="R212" s="86"/>
      <c r="S212" s="86"/>
      <c r="T212" s="86"/>
    </row>
    <row r="213">
      <c r="N213" s="86"/>
      <c r="O213" s="86"/>
      <c r="P213" s="86"/>
      <c r="Q213" s="86"/>
      <c r="R213" s="86"/>
      <c r="S213" s="86"/>
      <c r="T213" s="86"/>
    </row>
    <row r="214">
      <c r="N214" s="86"/>
      <c r="O214" s="86"/>
      <c r="P214" s="86"/>
      <c r="Q214" s="86"/>
      <c r="R214" s="86"/>
      <c r="S214" s="86"/>
      <c r="T214" s="86"/>
    </row>
    <row r="215">
      <c r="N215" s="86"/>
      <c r="O215" s="86"/>
      <c r="P215" s="86"/>
      <c r="Q215" s="86"/>
      <c r="R215" s="86"/>
      <c r="S215" s="86"/>
      <c r="T215" s="86"/>
    </row>
    <row r="216">
      <c r="N216" s="86"/>
      <c r="O216" s="86"/>
      <c r="P216" s="86"/>
      <c r="Q216" s="86"/>
      <c r="R216" s="86"/>
      <c r="S216" s="86"/>
      <c r="T216" s="86"/>
    </row>
    <row r="217">
      <c r="N217" s="86"/>
      <c r="O217" s="86"/>
      <c r="P217" s="86"/>
      <c r="Q217" s="86"/>
      <c r="R217" s="86"/>
      <c r="S217" s="86"/>
      <c r="T217" s="86"/>
    </row>
    <row r="218">
      <c r="N218" s="86"/>
      <c r="O218" s="86"/>
      <c r="P218" s="86"/>
      <c r="Q218" s="86"/>
      <c r="R218" s="86"/>
      <c r="S218" s="86"/>
      <c r="T218" s="86"/>
    </row>
    <row r="219">
      <c r="N219" s="86"/>
      <c r="O219" s="86"/>
      <c r="P219" s="86"/>
      <c r="Q219" s="86"/>
      <c r="R219" s="86"/>
      <c r="S219" s="86"/>
      <c r="T219" s="86"/>
    </row>
    <row r="220">
      <c r="N220" s="86"/>
      <c r="O220" s="86"/>
      <c r="P220" s="86"/>
      <c r="Q220" s="86"/>
      <c r="R220" s="86"/>
      <c r="S220" s="86"/>
      <c r="T220" s="86"/>
    </row>
    <row r="221">
      <c r="N221" s="86"/>
      <c r="O221" s="86"/>
      <c r="P221" s="86"/>
      <c r="Q221" s="86"/>
      <c r="R221" s="86"/>
      <c r="S221" s="86"/>
      <c r="T221" s="86"/>
    </row>
    <row r="222">
      <c r="N222" s="86"/>
      <c r="O222" s="86"/>
      <c r="P222" s="86"/>
      <c r="Q222" s="86"/>
      <c r="R222" s="86"/>
      <c r="S222" s="86"/>
      <c r="T222" s="86"/>
    </row>
    <row r="223">
      <c r="N223" s="86"/>
      <c r="O223" s="86"/>
      <c r="P223" s="86"/>
      <c r="Q223" s="86"/>
      <c r="R223" s="86"/>
      <c r="S223" s="86"/>
      <c r="T223" s="86"/>
    </row>
    <row r="224">
      <c r="N224" s="86"/>
      <c r="O224" s="86"/>
      <c r="P224" s="86"/>
      <c r="Q224" s="86"/>
      <c r="R224" s="86"/>
      <c r="S224" s="86"/>
      <c r="T224" s="86"/>
    </row>
    <row r="225">
      <c r="N225" s="86"/>
      <c r="O225" s="86"/>
      <c r="P225" s="86"/>
      <c r="Q225" s="86"/>
      <c r="R225" s="86"/>
      <c r="S225" s="86"/>
      <c r="T225" s="86"/>
    </row>
    <row r="226">
      <c r="N226" s="86"/>
      <c r="O226" s="86"/>
      <c r="P226" s="86"/>
      <c r="Q226" s="86"/>
      <c r="R226" s="86"/>
      <c r="S226" s="86"/>
      <c r="T226" s="86"/>
    </row>
    <row r="227">
      <c r="N227" s="86"/>
      <c r="O227" s="86"/>
      <c r="P227" s="86"/>
      <c r="Q227" s="86"/>
      <c r="R227" s="86"/>
      <c r="S227" s="86"/>
      <c r="T227" s="86"/>
    </row>
    <row r="228">
      <c r="N228" s="86"/>
      <c r="O228" s="86"/>
      <c r="P228" s="86"/>
      <c r="Q228" s="86"/>
      <c r="R228" s="86"/>
      <c r="S228" s="86"/>
      <c r="T228" s="86"/>
    </row>
    <row r="229">
      <c r="N229" s="86"/>
      <c r="O229" s="86"/>
      <c r="P229" s="86"/>
      <c r="Q229" s="86"/>
      <c r="R229" s="86"/>
      <c r="S229" s="86"/>
      <c r="T229" s="86"/>
    </row>
    <row r="230">
      <c r="N230" s="86"/>
      <c r="O230" s="86"/>
      <c r="P230" s="86"/>
      <c r="Q230" s="86"/>
      <c r="R230" s="86"/>
      <c r="S230" s="86"/>
      <c r="T230" s="86"/>
    </row>
    <row r="231">
      <c r="N231" s="86"/>
      <c r="O231" s="86"/>
      <c r="P231" s="86"/>
      <c r="Q231" s="86"/>
      <c r="R231" s="86"/>
      <c r="S231" s="86"/>
      <c r="T231" s="86"/>
    </row>
    <row r="232">
      <c r="N232" s="86"/>
      <c r="O232" s="86"/>
      <c r="P232" s="86"/>
      <c r="Q232" s="86"/>
      <c r="R232" s="86"/>
      <c r="S232" s="86"/>
      <c r="T232" s="86"/>
    </row>
    <row r="233">
      <c r="N233" s="86"/>
      <c r="O233" s="86"/>
      <c r="P233" s="86"/>
      <c r="Q233" s="86"/>
      <c r="R233" s="86"/>
      <c r="S233" s="86"/>
      <c r="T233" s="86"/>
    </row>
    <row r="234">
      <c r="N234" s="86"/>
      <c r="O234" s="86"/>
      <c r="P234" s="86"/>
      <c r="Q234" s="86"/>
      <c r="R234" s="86"/>
      <c r="S234" s="86"/>
      <c r="T234" s="86"/>
    </row>
    <row r="235">
      <c r="N235" s="86"/>
      <c r="O235" s="86"/>
      <c r="P235" s="86"/>
      <c r="Q235" s="86"/>
      <c r="R235" s="86"/>
      <c r="S235" s="86"/>
      <c r="T235" s="86"/>
    </row>
    <row r="236">
      <c r="N236" s="86"/>
      <c r="O236" s="86"/>
      <c r="P236" s="86"/>
      <c r="Q236" s="86"/>
      <c r="R236" s="86"/>
      <c r="S236" s="86"/>
      <c r="T236" s="86"/>
    </row>
    <row r="237">
      <c r="N237" s="86"/>
      <c r="O237" s="86"/>
      <c r="P237" s="86"/>
      <c r="Q237" s="86"/>
      <c r="R237" s="86"/>
      <c r="S237" s="86"/>
      <c r="T237" s="86"/>
    </row>
    <row r="238">
      <c r="N238" s="86"/>
      <c r="O238" s="86"/>
      <c r="P238" s="86"/>
      <c r="Q238" s="86"/>
      <c r="R238" s="86"/>
      <c r="S238" s="86"/>
      <c r="T238" s="86"/>
    </row>
    <row r="239">
      <c r="N239" s="86"/>
      <c r="O239" s="86"/>
      <c r="P239" s="86"/>
      <c r="Q239" s="86"/>
      <c r="R239" s="86"/>
      <c r="S239" s="86"/>
      <c r="T239" s="86"/>
    </row>
    <row r="240">
      <c r="N240" s="86"/>
      <c r="O240" s="86"/>
      <c r="P240" s="86"/>
      <c r="Q240" s="86"/>
      <c r="R240" s="86"/>
      <c r="S240" s="86"/>
      <c r="T240" s="86"/>
    </row>
    <row r="241">
      <c r="N241" s="86"/>
      <c r="O241" s="86"/>
      <c r="P241" s="86"/>
      <c r="Q241" s="86"/>
      <c r="R241" s="86"/>
      <c r="S241" s="86"/>
      <c r="T241" s="86"/>
    </row>
    <row r="242">
      <c r="N242" s="86"/>
      <c r="O242" s="86"/>
      <c r="P242" s="86"/>
      <c r="Q242" s="86"/>
      <c r="R242" s="86"/>
      <c r="S242" s="86"/>
      <c r="T242" s="86"/>
    </row>
    <row r="243">
      <c r="N243" s="86"/>
      <c r="O243" s="86"/>
      <c r="P243" s="86"/>
      <c r="Q243" s="86"/>
      <c r="R243" s="86"/>
      <c r="S243" s="86"/>
      <c r="T243" s="86"/>
    </row>
    <row r="244">
      <c r="N244" s="86"/>
      <c r="O244" s="86"/>
      <c r="P244" s="86"/>
      <c r="Q244" s="86"/>
      <c r="R244" s="86"/>
      <c r="S244" s="86"/>
      <c r="T244" s="86"/>
    </row>
    <row r="245">
      <c r="N245" s="86"/>
      <c r="O245" s="86"/>
      <c r="P245" s="86"/>
      <c r="Q245" s="86"/>
      <c r="R245" s="86"/>
      <c r="S245" s="86"/>
      <c r="T245" s="86"/>
    </row>
    <row r="246">
      <c r="N246" s="86"/>
      <c r="O246" s="86"/>
      <c r="P246" s="86"/>
      <c r="Q246" s="86"/>
      <c r="R246" s="86"/>
      <c r="S246" s="86"/>
      <c r="T246" s="86"/>
    </row>
    <row r="247">
      <c r="N247" s="86"/>
      <c r="O247" s="86"/>
      <c r="P247" s="86"/>
      <c r="Q247" s="86"/>
      <c r="R247" s="86"/>
      <c r="S247" s="86"/>
      <c r="T247" s="86"/>
    </row>
    <row r="248">
      <c r="N248" s="86"/>
      <c r="O248" s="86"/>
      <c r="P248" s="86"/>
      <c r="Q248" s="86"/>
      <c r="R248" s="86"/>
      <c r="S248" s="86"/>
      <c r="T248" s="86"/>
    </row>
    <row r="249">
      <c r="N249" s="86"/>
      <c r="O249" s="86"/>
      <c r="P249" s="86"/>
      <c r="Q249" s="86"/>
      <c r="R249" s="86"/>
      <c r="S249" s="86"/>
      <c r="T249" s="86"/>
    </row>
    <row r="250">
      <c r="N250" s="86"/>
      <c r="O250" s="86"/>
      <c r="P250" s="86"/>
      <c r="Q250" s="86"/>
      <c r="R250" s="86"/>
      <c r="S250" s="86"/>
      <c r="T250" s="86"/>
    </row>
    <row r="251">
      <c r="N251" s="86"/>
      <c r="O251" s="86"/>
      <c r="P251" s="86"/>
      <c r="Q251" s="86"/>
      <c r="R251" s="86"/>
      <c r="S251" s="86"/>
      <c r="T251" s="86"/>
    </row>
    <row r="252">
      <c r="N252" s="86"/>
      <c r="O252" s="86"/>
      <c r="P252" s="86"/>
      <c r="Q252" s="86"/>
      <c r="R252" s="86"/>
      <c r="S252" s="86"/>
      <c r="T252" s="86"/>
    </row>
    <row r="253">
      <c r="N253" s="86"/>
      <c r="O253" s="86"/>
      <c r="P253" s="86"/>
      <c r="Q253" s="86"/>
      <c r="R253" s="86"/>
      <c r="S253" s="86"/>
      <c r="T253" s="86"/>
    </row>
    <row r="254">
      <c r="N254" s="86"/>
      <c r="O254" s="86"/>
      <c r="P254" s="86"/>
      <c r="Q254" s="86"/>
      <c r="R254" s="86"/>
      <c r="S254" s="86"/>
      <c r="T254" s="86"/>
    </row>
    <row r="255">
      <c r="N255" s="86"/>
      <c r="O255" s="86"/>
      <c r="P255" s="86"/>
      <c r="Q255" s="86"/>
      <c r="R255" s="86"/>
      <c r="S255" s="86"/>
      <c r="T255" s="86"/>
    </row>
    <row r="256">
      <c r="N256" s="86"/>
      <c r="O256" s="86"/>
      <c r="P256" s="86"/>
      <c r="Q256" s="86"/>
      <c r="R256" s="86"/>
      <c r="S256" s="86"/>
      <c r="T256" s="86"/>
    </row>
    <row r="257">
      <c r="N257" s="86"/>
      <c r="O257" s="86"/>
      <c r="P257" s="86"/>
      <c r="Q257" s="86"/>
      <c r="R257" s="86"/>
      <c r="S257" s="86"/>
      <c r="T257" s="86"/>
    </row>
    <row r="258">
      <c r="N258" s="86"/>
      <c r="O258" s="86"/>
      <c r="P258" s="86"/>
      <c r="Q258" s="86"/>
      <c r="R258" s="86"/>
      <c r="S258" s="86"/>
      <c r="T258" s="86"/>
    </row>
    <row r="259">
      <c r="N259" s="86"/>
      <c r="O259" s="86"/>
      <c r="P259" s="86"/>
      <c r="Q259" s="86"/>
      <c r="R259" s="86"/>
      <c r="S259" s="86"/>
      <c r="T259" s="86"/>
    </row>
    <row r="260">
      <c r="N260" s="86"/>
      <c r="O260" s="86"/>
      <c r="P260" s="86"/>
      <c r="Q260" s="86"/>
      <c r="R260" s="86"/>
      <c r="S260" s="86"/>
      <c r="T260" s="86"/>
    </row>
    <row r="261">
      <c r="N261" s="86"/>
      <c r="O261" s="86"/>
      <c r="P261" s="86"/>
      <c r="Q261" s="86"/>
      <c r="R261" s="86"/>
      <c r="S261" s="86"/>
      <c r="T261" s="86"/>
    </row>
    <row r="262">
      <c r="N262" s="86"/>
      <c r="O262" s="86"/>
      <c r="P262" s="86"/>
      <c r="Q262" s="86"/>
      <c r="R262" s="86"/>
      <c r="S262" s="86"/>
      <c r="T262" s="86"/>
    </row>
    <row r="263">
      <c r="N263" s="86"/>
      <c r="O263" s="86"/>
      <c r="P263" s="86"/>
      <c r="Q263" s="86"/>
      <c r="R263" s="86"/>
      <c r="S263" s="86"/>
      <c r="T263" s="86"/>
    </row>
    <row r="264">
      <c r="N264" s="86"/>
      <c r="O264" s="86"/>
      <c r="P264" s="86"/>
      <c r="Q264" s="86"/>
      <c r="R264" s="86"/>
      <c r="S264" s="86"/>
      <c r="T264" s="86"/>
    </row>
    <row r="265">
      <c r="N265" s="86"/>
      <c r="O265" s="86"/>
      <c r="P265" s="86"/>
      <c r="Q265" s="86"/>
      <c r="R265" s="86"/>
      <c r="S265" s="86"/>
      <c r="T265" s="86"/>
    </row>
    <row r="266">
      <c r="N266" s="86"/>
      <c r="O266" s="86"/>
      <c r="P266" s="86"/>
      <c r="Q266" s="86"/>
      <c r="R266" s="86"/>
      <c r="S266" s="86"/>
      <c r="T266" s="86"/>
    </row>
    <row r="267">
      <c r="N267" s="86"/>
      <c r="O267" s="86"/>
      <c r="P267" s="86"/>
      <c r="Q267" s="86"/>
      <c r="R267" s="86"/>
      <c r="S267" s="86"/>
      <c r="T267" s="86"/>
    </row>
    <row r="268">
      <c r="N268" s="86"/>
      <c r="O268" s="86"/>
      <c r="P268" s="86"/>
      <c r="Q268" s="86"/>
      <c r="R268" s="86"/>
      <c r="S268" s="86"/>
      <c r="T268" s="86"/>
    </row>
    <row r="269">
      <c r="N269" s="86"/>
      <c r="O269" s="86"/>
      <c r="P269" s="86"/>
      <c r="Q269" s="86"/>
      <c r="R269" s="86"/>
      <c r="S269" s="86"/>
      <c r="T269" s="86"/>
    </row>
    <row r="270">
      <c r="N270" s="86"/>
      <c r="O270" s="86"/>
      <c r="P270" s="86"/>
      <c r="Q270" s="86"/>
      <c r="R270" s="86"/>
      <c r="S270" s="86"/>
      <c r="T270" s="86"/>
    </row>
    <row r="271">
      <c r="N271" s="86"/>
      <c r="O271" s="86"/>
      <c r="P271" s="86"/>
      <c r="Q271" s="86"/>
      <c r="R271" s="86"/>
      <c r="S271" s="86"/>
      <c r="T271" s="86"/>
    </row>
    <row r="272">
      <c r="N272" s="86"/>
      <c r="O272" s="86"/>
      <c r="P272" s="86"/>
      <c r="Q272" s="86"/>
      <c r="R272" s="86"/>
      <c r="S272" s="86"/>
      <c r="T272" s="86"/>
    </row>
    <row r="273">
      <c r="N273" s="86"/>
      <c r="O273" s="86"/>
      <c r="P273" s="86"/>
      <c r="Q273" s="86"/>
      <c r="R273" s="86"/>
      <c r="S273" s="86"/>
      <c r="T273" s="86"/>
    </row>
    <row r="274">
      <c r="N274" s="86"/>
      <c r="O274" s="86"/>
      <c r="P274" s="86"/>
      <c r="Q274" s="86"/>
      <c r="R274" s="86"/>
      <c r="S274" s="86"/>
      <c r="T274" s="86"/>
    </row>
    <row r="275">
      <c r="N275" s="86"/>
      <c r="O275" s="86"/>
      <c r="P275" s="86"/>
      <c r="Q275" s="86"/>
      <c r="R275" s="86"/>
      <c r="S275" s="86"/>
      <c r="T275" s="86"/>
    </row>
    <row r="276">
      <c r="N276" s="86"/>
      <c r="O276" s="86"/>
      <c r="P276" s="86"/>
      <c r="Q276" s="86"/>
      <c r="R276" s="86"/>
      <c r="S276" s="86"/>
      <c r="T276" s="86"/>
    </row>
    <row r="277">
      <c r="N277" s="86"/>
      <c r="O277" s="86"/>
      <c r="P277" s="86"/>
      <c r="Q277" s="86"/>
      <c r="R277" s="86"/>
      <c r="S277" s="86"/>
      <c r="T277" s="86"/>
    </row>
    <row r="278">
      <c r="N278" s="86"/>
      <c r="O278" s="86"/>
      <c r="P278" s="86"/>
      <c r="Q278" s="86"/>
      <c r="R278" s="86"/>
      <c r="S278" s="86"/>
      <c r="T278" s="86"/>
    </row>
    <row r="279">
      <c r="N279" s="86"/>
      <c r="O279" s="86"/>
      <c r="P279" s="86"/>
      <c r="Q279" s="86"/>
      <c r="R279" s="86"/>
      <c r="S279" s="86"/>
      <c r="T279" s="86"/>
    </row>
    <row r="280">
      <c r="N280" s="86"/>
      <c r="O280" s="86"/>
      <c r="P280" s="86"/>
      <c r="Q280" s="86"/>
      <c r="R280" s="86"/>
      <c r="S280" s="86"/>
      <c r="T280" s="86"/>
    </row>
    <row r="281">
      <c r="N281" s="86"/>
      <c r="O281" s="86"/>
      <c r="P281" s="86"/>
      <c r="Q281" s="86"/>
      <c r="R281" s="86"/>
      <c r="S281" s="86"/>
      <c r="T281" s="86"/>
    </row>
    <row r="282">
      <c r="N282" s="86"/>
      <c r="O282" s="86"/>
      <c r="P282" s="86"/>
      <c r="Q282" s="86"/>
      <c r="R282" s="86"/>
      <c r="S282" s="86"/>
      <c r="T282" s="86"/>
    </row>
    <row r="283">
      <c r="N283" s="86"/>
      <c r="O283" s="86"/>
      <c r="P283" s="86"/>
      <c r="Q283" s="86"/>
      <c r="R283" s="86"/>
      <c r="S283" s="86"/>
      <c r="T283" s="86"/>
    </row>
    <row r="284">
      <c r="N284" s="86"/>
      <c r="O284" s="86"/>
      <c r="P284" s="86"/>
      <c r="Q284" s="86"/>
      <c r="R284" s="86"/>
      <c r="S284" s="86"/>
      <c r="T284" s="86"/>
    </row>
    <row r="285">
      <c r="N285" s="86"/>
      <c r="O285" s="86"/>
      <c r="P285" s="86"/>
      <c r="Q285" s="86"/>
      <c r="R285" s="86"/>
      <c r="S285" s="86"/>
      <c r="T285" s="86"/>
    </row>
    <row r="286">
      <c r="N286" s="86"/>
      <c r="O286" s="86"/>
      <c r="P286" s="86"/>
      <c r="Q286" s="86"/>
      <c r="R286" s="86"/>
      <c r="S286" s="86"/>
      <c r="T286" s="86"/>
    </row>
    <row r="287">
      <c r="N287" s="86"/>
      <c r="O287" s="86"/>
      <c r="P287" s="86"/>
      <c r="Q287" s="86"/>
      <c r="R287" s="86"/>
      <c r="S287" s="86"/>
      <c r="T287" s="86"/>
    </row>
    <row r="288">
      <c r="N288" s="86"/>
      <c r="O288" s="86"/>
      <c r="P288" s="86"/>
      <c r="Q288" s="86"/>
      <c r="R288" s="86"/>
      <c r="S288" s="86"/>
      <c r="T288" s="86"/>
    </row>
    <row r="289">
      <c r="N289" s="86"/>
      <c r="O289" s="86"/>
      <c r="P289" s="86"/>
      <c r="Q289" s="86"/>
      <c r="R289" s="86"/>
      <c r="S289" s="86"/>
      <c r="T289" s="86"/>
    </row>
    <row r="290">
      <c r="N290" s="86"/>
      <c r="O290" s="86"/>
      <c r="P290" s="86"/>
      <c r="Q290" s="86"/>
      <c r="R290" s="86"/>
      <c r="S290" s="86"/>
      <c r="T290" s="86"/>
    </row>
    <row r="291">
      <c r="N291" s="86"/>
      <c r="O291" s="86"/>
      <c r="P291" s="86"/>
      <c r="Q291" s="86"/>
      <c r="R291" s="86"/>
      <c r="S291" s="86"/>
      <c r="T291" s="86"/>
    </row>
    <row r="292">
      <c r="N292" s="86"/>
      <c r="O292" s="86"/>
      <c r="P292" s="86"/>
      <c r="Q292" s="86"/>
      <c r="R292" s="86"/>
      <c r="S292" s="86"/>
      <c r="T292" s="86"/>
    </row>
    <row r="293">
      <c r="N293" s="86"/>
      <c r="O293" s="86"/>
      <c r="P293" s="86"/>
      <c r="Q293" s="86"/>
      <c r="R293" s="86"/>
      <c r="S293" s="86"/>
      <c r="T293" s="86"/>
    </row>
    <row r="294">
      <c r="N294" s="86"/>
      <c r="O294" s="86"/>
      <c r="P294" s="86"/>
      <c r="Q294" s="86"/>
      <c r="R294" s="86"/>
      <c r="S294" s="86"/>
      <c r="T294" s="86"/>
    </row>
    <row r="295">
      <c r="N295" s="86"/>
      <c r="O295" s="86"/>
      <c r="P295" s="86"/>
      <c r="Q295" s="86"/>
      <c r="R295" s="86"/>
      <c r="S295" s="86"/>
      <c r="T295" s="86"/>
    </row>
    <row r="296">
      <c r="N296" s="86"/>
      <c r="O296" s="86"/>
      <c r="P296" s="86"/>
      <c r="Q296" s="86"/>
      <c r="R296" s="86"/>
      <c r="S296" s="86"/>
      <c r="T296" s="86"/>
    </row>
    <row r="297">
      <c r="N297" s="86"/>
      <c r="O297" s="86"/>
      <c r="P297" s="86"/>
      <c r="Q297" s="86"/>
      <c r="R297" s="86"/>
      <c r="S297" s="86"/>
      <c r="T297" s="86"/>
    </row>
    <row r="298">
      <c r="N298" s="86"/>
      <c r="O298" s="86"/>
      <c r="P298" s="86"/>
      <c r="Q298" s="86"/>
      <c r="R298" s="86"/>
      <c r="S298" s="86"/>
      <c r="T298" s="86"/>
    </row>
    <row r="299">
      <c r="N299" s="86"/>
      <c r="O299" s="86"/>
      <c r="P299" s="86"/>
      <c r="Q299" s="86"/>
      <c r="R299" s="86"/>
      <c r="S299" s="86"/>
      <c r="T299" s="86"/>
    </row>
    <row r="300">
      <c r="N300" s="86"/>
      <c r="O300" s="86"/>
      <c r="P300" s="86"/>
      <c r="Q300" s="86"/>
      <c r="R300" s="86"/>
      <c r="S300" s="86"/>
      <c r="T300" s="86"/>
    </row>
    <row r="301">
      <c r="N301" s="86"/>
      <c r="O301" s="86"/>
      <c r="P301" s="86"/>
      <c r="Q301" s="86"/>
      <c r="R301" s="86"/>
      <c r="S301" s="86"/>
      <c r="T301" s="86"/>
    </row>
    <row r="302">
      <c r="N302" s="86"/>
      <c r="O302" s="86"/>
      <c r="P302" s="86"/>
      <c r="Q302" s="86"/>
      <c r="R302" s="86"/>
      <c r="S302" s="86"/>
      <c r="T302" s="86"/>
    </row>
    <row r="303">
      <c r="N303" s="86"/>
      <c r="O303" s="86"/>
      <c r="P303" s="86"/>
      <c r="Q303" s="86"/>
      <c r="R303" s="86"/>
      <c r="S303" s="86"/>
      <c r="T303" s="86"/>
    </row>
    <row r="304">
      <c r="N304" s="86"/>
      <c r="O304" s="86"/>
      <c r="P304" s="86"/>
      <c r="Q304" s="86"/>
      <c r="R304" s="86"/>
      <c r="S304" s="86"/>
      <c r="T304" s="86"/>
    </row>
    <row r="305">
      <c r="N305" s="86"/>
      <c r="O305" s="86"/>
      <c r="P305" s="86"/>
      <c r="Q305" s="86"/>
      <c r="R305" s="86"/>
      <c r="S305" s="86"/>
      <c r="T305" s="86"/>
    </row>
    <row r="306">
      <c r="N306" s="86"/>
      <c r="O306" s="86"/>
      <c r="P306" s="86"/>
      <c r="Q306" s="86"/>
      <c r="R306" s="86"/>
      <c r="S306" s="86"/>
      <c r="T306" s="86"/>
    </row>
    <row r="307">
      <c r="N307" s="86"/>
      <c r="O307" s="86"/>
      <c r="P307" s="86"/>
      <c r="Q307" s="86"/>
      <c r="R307" s="86"/>
      <c r="S307" s="86"/>
      <c r="T307" s="86"/>
    </row>
    <row r="308">
      <c r="N308" s="86"/>
      <c r="O308" s="86"/>
      <c r="P308" s="86"/>
      <c r="Q308" s="86"/>
      <c r="R308" s="86"/>
      <c r="S308" s="86"/>
      <c r="T308" s="86"/>
    </row>
    <row r="309">
      <c r="N309" s="86"/>
      <c r="O309" s="86"/>
      <c r="P309" s="86"/>
      <c r="Q309" s="86"/>
      <c r="R309" s="86"/>
      <c r="S309" s="86"/>
      <c r="T309" s="86"/>
    </row>
    <row r="310">
      <c r="N310" s="86"/>
      <c r="O310" s="86"/>
      <c r="P310" s="86"/>
      <c r="Q310" s="86"/>
      <c r="R310" s="86"/>
      <c r="S310" s="86"/>
      <c r="T310" s="86"/>
    </row>
    <row r="311">
      <c r="N311" s="86"/>
      <c r="O311" s="86"/>
      <c r="P311" s="86"/>
      <c r="Q311" s="86"/>
      <c r="R311" s="86"/>
      <c r="S311" s="86"/>
      <c r="T311" s="86"/>
    </row>
    <row r="312">
      <c r="N312" s="86"/>
      <c r="O312" s="86"/>
      <c r="P312" s="86"/>
      <c r="Q312" s="86"/>
      <c r="R312" s="86"/>
      <c r="S312" s="86"/>
      <c r="T312" s="86"/>
    </row>
    <row r="313">
      <c r="N313" s="86"/>
      <c r="O313" s="86"/>
      <c r="P313" s="86"/>
      <c r="Q313" s="86"/>
      <c r="R313" s="86"/>
      <c r="S313" s="86"/>
      <c r="T313" s="86"/>
    </row>
    <row r="314">
      <c r="N314" s="86"/>
      <c r="O314" s="86"/>
      <c r="P314" s="86"/>
      <c r="Q314" s="86"/>
      <c r="R314" s="86"/>
      <c r="S314" s="86"/>
      <c r="T314" s="86"/>
    </row>
    <row r="315">
      <c r="N315" s="86"/>
      <c r="O315" s="86"/>
      <c r="P315" s="86"/>
      <c r="Q315" s="86"/>
      <c r="R315" s="86"/>
      <c r="S315" s="86"/>
      <c r="T315" s="86"/>
    </row>
    <row r="316">
      <c r="N316" s="86"/>
      <c r="O316" s="86"/>
      <c r="P316" s="86"/>
      <c r="Q316" s="86"/>
      <c r="R316" s="86"/>
      <c r="S316" s="86"/>
      <c r="T316" s="86"/>
    </row>
    <row r="317">
      <c r="N317" s="86"/>
      <c r="O317" s="86"/>
      <c r="P317" s="86"/>
      <c r="Q317" s="86"/>
      <c r="R317" s="86"/>
      <c r="S317" s="86"/>
      <c r="T317" s="86"/>
    </row>
    <row r="318">
      <c r="N318" s="86"/>
      <c r="O318" s="86"/>
      <c r="P318" s="86"/>
      <c r="Q318" s="86"/>
      <c r="R318" s="86"/>
      <c r="S318" s="86"/>
      <c r="T318" s="86"/>
    </row>
    <row r="319">
      <c r="N319" s="86"/>
      <c r="O319" s="86"/>
      <c r="P319" s="86"/>
      <c r="Q319" s="86"/>
      <c r="R319" s="86"/>
      <c r="S319" s="86"/>
      <c r="T319" s="86"/>
    </row>
    <row r="320">
      <c r="N320" s="86"/>
      <c r="O320" s="86"/>
      <c r="P320" s="86"/>
      <c r="Q320" s="86"/>
      <c r="R320" s="86"/>
      <c r="S320" s="86"/>
      <c r="T320" s="86"/>
    </row>
    <row r="321">
      <c r="N321" s="86"/>
      <c r="O321" s="86"/>
      <c r="P321" s="86"/>
      <c r="Q321" s="86"/>
      <c r="R321" s="86"/>
      <c r="S321" s="86"/>
      <c r="T321" s="86"/>
    </row>
    <row r="322">
      <c r="N322" s="86"/>
      <c r="O322" s="86"/>
      <c r="P322" s="86"/>
      <c r="Q322" s="86"/>
      <c r="R322" s="86"/>
      <c r="S322" s="86"/>
      <c r="T322" s="86"/>
    </row>
    <row r="323">
      <c r="N323" s="86"/>
      <c r="O323" s="86"/>
      <c r="P323" s="86"/>
      <c r="Q323" s="86"/>
      <c r="R323" s="86"/>
      <c r="S323" s="86"/>
      <c r="T323" s="86"/>
    </row>
    <row r="324">
      <c r="N324" s="86"/>
      <c r="O324" s="86"/>
      <c r="P324" s="86"/>
      <c r="Q324" s="86"/>
      <c r="R324" s="86"/>
      <c r="S324" s="86"/>
      <c r="T324" s="86"/>
    </row>
    <row r="325">
      <c r="N325" s="86"/>
      <c r="O325" s="86"/>
      <c r="P325" s="86"/>
      <c r="Q325" s="86"/>
      <c r="R325" s="86"/>
      <c r="S325" s="86"/>
      <c r="T325" s="86"/>
    </row>
    <row r="326">
      <c r="N326" s="86"/>
      <c r="O326" s="86"/>
      <c r="P326" s="86"/>
      <c r="Q326" s="86"/>
      <c r="R326" s="86"/>
      <c r="S326" s="86"/>
      <c r="T326" s="86"/>
    </row>
    <row r="327">
      <c r="N327" s="86"/>
      <c r="O327" s="86"/>
      <c r="P327" s="86"/>
      <c r="Q327" s="86"/>
      <c r="R327" s="86"/>
      <c r="S327" s="86"/>
      <c r="T327" s="86"/>
    </row>
    <row r="328">
      <c r="N328" s="86"/>
      <c r="O328" s="86"/>
      <c r="P328" s="86"/>
      <c r="Q328" s="86"/>
      <c r="R328" s="86"/>
      <c r="S328" s="86"/>
      <c r="T328" s="86"/>
    </row>
    <row r="329">
      <c r="N329" s="86"/>
      <c r="O329" s="86"/>
      <c r="P329" s="86"/>
      <c r="Q329" s="86"/>
      <c r="R329" s="86"/>
      <c r="S329" s="86"/>
      <c r="T329" s="86"/>
    </row>
    <row r="330">
      <c r="N330" s="86"/>
      <c r="O330" s="86"/>
      <c r="P330" s="86"/>
      <c r="Q330" s="86"/>
      <c r="R330" s="86"/>
      <c r="S330" s="86"/>
      <c r="T330" s="86"/>
    </row>
    <row r="331">
      <c r="N331" s="86"/>
      <c r="O331" s="86"/>
      <c r="P331" s="86"/>
      <c r="Q331" s="86"/>
      <c r="R331" s="86"/>
      <c r="S331" s="86"/>
      <c r="T331" s="86"/>
    </row>
    <row r="332">
      <c r="N332" s="86"/>
      <c r="O332" s="86"/>
      <c r="P332" s="86"/>
      <c r="Q332" s="86"/>
      <c r="R332" s="86"/>
      <c r="S332" s="86"/>
      <c r="T332" s="86"/>
    </row>
    <row r="333">
      <c r="N333" s="86"/>
      <c r="O333" s="86"/>
      <c r="P333" s="86"/>
      <c r="Q333" s="86"/>
      <c r="R333" s="86"/>
      <c r="S333" s="86"/>
      <c r="T333" s="86"/>
    </row>
    <row r="334">
      <c r="N334" s="86"/>
      <c r="O334" s="86"/>
      <c r="P334" s="86"/>
      <c r="Q334" s="86"/>
      <c r="R334" s="86"/>
      <c r="S334" s="86"/>
      <c r="T334" s="86"/>
    </row>
    <row r="335">
      <c r="N335" s="86"/>
      <c r="O335" s="86"/>
      <c r="P335" s="86"/>
      <c r="Q335" s="86"/>
      <c r="R335" s="86"/>
      <c r="S335" s="86"/>
      <c r="T335" s="86"/>
    </row>
    <row r="336">
      <c r="N336" s="86"/>
      <c r="O336" s="86"/>
      <c r="P336" s="86"/>
      <c r="Q336" s="86"/>
      <c r="R336" s="86"/>
      <c r="S336" s="86"/>
      <c r="T336" s="86"/>
    </row>
    <row r="337">
      <c r="N337" s="86"/>
      <c r="O337" s="86"/>
      <c r="P337" s="86"/>
      <c r="Q337" s="86"/>
      <c r="R337" s="86"/>
      <c r="S337" s="86"/>
      <c r="T337" s="86"/>
    </row>
    <row r="338">
      <c r="N338" s="86"/>
      <c r="O338" s="86"/>
      <c r="P338" s="86"/>
      <c r="Q338" s="86"/>
      <c r="R338" s="86"/>
      <c r="S338" s="86"/>
      <c r="T338" s="86"/>
    </row>
    <row r="339">
      <c r="N339" s="86"/>
      <c r="O339" s="86"/>
      <c r="P339" s="86"/>
      <c r="Q339" s="86"/>
      <c r="R339" s="86"/>
      <c r="S339" s="86"/>
      <c r="T339" s="86"/>
    </row>
    <row r="340">
      <c r="N340" s="86"/>
      <c r="O340" s="86"/>
      <c r="P340" s="86"/>
      <c r="Q340" s="86"/>
      <c r="R340" s="86"/>
      <c r="S340" s="86"/>
      <c r="T340" s="86"/>
    </row>
    <row r="341">
      <c r="N341" s="86"/>
      <c r="O341" s="86"/>
      <c r="P341" s="86"/>
      <c r="Q341" s="86"/>
      <c r="R341" s="86"/>
      <c r="S341" s="86"/>
      <c r="T341" s="86"/>
    </row>
    <row r="342">
      <c r="N342" s="86"/>
      <c r="O342" s="86"/>
      <c r="P342" s="86"/>
      <c r="Q342" s="86"/>
      <c r="R342" s="86"/>
      <c r="S342" s="86"/>
      <c r="T342" s="86"/>
    </row>
    <row r="343">
      <c r="N343" s="86"/>
      <c r="O343" s="86"/>
      <c r="P343" s="86"/>
      <c r="Q343" s="86"/>
      <c r="R343" s="86"/>
      <c r="S343" s="86"/>
      <c r="T343" s="86"/>
    </row>
    <row r="344">
      <c r="N344" s="86"/>
      <c r="O344" s="86"/>
      <c r="P344" s="86"/>
      <c r="Q344" s="86"/>
      <c r="R344" s="86"/>
      <c r="S344" s="86"/>
      <c r="T344" s="86"/>
    </row>
    <row r="345">
      <c r="N345" s="86"/>
      <c r="O345" s="86"/>
      <c r="P345" s="86"/>
      <c r="Q345" s="86"/>
      <c r="R345" s="86"/>
      <c r="S345" s="86"/>
      <c r="T345" s="86"/>
    </row>
    <row r="346">
      <c r="N346" s="86"/>
      <c r="O346" s="86"/>
      <c r="P346" s="86"/>
      <c r="Q346" s="86"/>
      <c r="R346" s="86"/>
      <c r="S346" s="86"/>
      <c r="T346" s="86"/>
    </row>
    <row r="347">
      <c r="N347" s="86"/>
      <c r="O347" s="86"/>
      <c r="P347" s="86"/>
      <c r="Q347" s="86"/>
      <c r="R347" s="86"/>
      <c r="S347" s="86"/>
      <c r="T347" s="86"/>
    </row>
    <row r="348">
      <c r="N348" s="86"/>
      <c r="O348" s="86"/>
      <c r="P348" s="86"/>
      <c r="Q348" s="86"/>
      <c r="R348" s="86"/>
      <c r="S348" s="86"/>
      <c r="T348" s="86"/>
    </row>
    <row r="349">
      <c r="N349" s="86"/>
      <c r="O349" s="86"/>
      <c r="P349" s="86"/>
      <c r="Q349" s="86"/>
      <c r="R349" s="86"/>
      <c r="S349" s="86"/>
      <c r="T349" s="86"/>
    </row>
    <row r="350">
      <c r="N350" s="86"/>
      <c r="O350" s="86"/>
      <c r="P350" s="86"/>
      <c r="Q350" s="86"/>
      <c r="R350" s="86"/>
      <c r="S350" s="86"/>
      <c r="T350" s="86"/>
    </row>
    <row r="351">
      <c r="N351" s="86"/>
      <c r="O351" s="86"/>
      <c r="P351" s="86"/>
      <c r="Q351" s="86"/>
      <c r="R351" s="86"/>
      <c r="S351" s="86"/>
      <c r="T351" s="86"/>
    </row>
    <row r="352">
      <c r="N352" s="86"/>
      <c r="O352" s="86"/>
      <c r="P352" s="86"/>
      <c r="Q352" s="86"/>
      <c r="R352" s="86"/>
      <c r="S352" s="86"/>
      <c r="T352" s="86"/>
    </row>
    <row r="353">
      <c r="N353" s="86"/>
      <c r="O353" s="86"/>
      <c r="P353" s="86"/>
      <c r="Q353" s="86"/>
      <c r="R353" s="86"/>
      <c r="S353" s="86"/>
      <c r="T353" s="86"/>
    </row>
    <row r="354">
      <c r="N354" s="86"/>
      <c r="O354" s="86"/>
      <c r="P354" s="86"/>
      <c r="Q354" s="86"/>
      <c r="R354" s="86"/>
      <c r="S354" s="86"/>
      <c r="T354" s="86"/>
    </row>
    <row r="355">
      <c r="N355" s="86"/>
      <c r="O355" s="86"/>
      <c r="P355" s="86"/>
      <c r="Q355" s="86"/>
      <c r="R355" s="86"/>
      <c r="S355" s="86"/>
      <c r="T355" s="86"/>
    </row>
    <row r="356">
      <c r="N356" s="86"/>
      <c r="O356" s="86"/>
      <c r="P356" s="86"/>
      <c r="Q356" s="86"/>
      <c r="R356" s="86"/>
      <c r="S356" s="86"/>
      <c r="T356" s="86"/>
    </row>
    <row r="357">
      <c r="N357" s="86"/>
      <c r="O357" s="86"/>
      <c r="P357" s="86"/>
      <c r="Q357" s="86"/>
      <c r="R357" s="86"/>
      <c r="S357" s="86"/>
      <c r="T357" s="86"/>
    </row>
    <row r="358">
      <c r="N358" s="86"/>
      <c r="O358" s="86"/>
      <c r="P358" s="86"/>
      <c r="Q358" s="86"/>
      <c r="R358" s="86"/>
      <c r="S358" s="86"/>
      <c r="T358" s="86"/>
    </row>
    <row r="359">
      <c r="N359" s="86"/>
      <c r="O359" s="86"/>
      <c r="P359" s="86"/>
      <c r="Q359" s="86"/>
      <c r="R359" s="86"/>
      <c r="S359" s="86"/>
      <c r="T359" s="86"/>
    </row>
    <row r="360">
      <c r="N360" s="86"/>
      <c r="O360" s="86"/>
      <c r="P360" s="86"/>
      <c r="Q360" s="86"/>
      <c r="R360" s="86"/>
      <c r="S360" s="86"/>
      <c r="T360" s="86"/>
    </row>
    <row r="361">
      <c r="N361" s="86"/>
      <c r="O361" s="86"/>
      <c r="P361" s="86"/>
      <c r="Q361" s="86"/>
      <c r="R361" s="86"/>
      <c r="S361" s="86"/>
      <c r="T361" s="86"/>
    </row>
    <row r="362">
      <c r="N362" s="86"/>
      <c r="O362" s="86"/>
      <c r="P362" s="86"/>
      <c r="Q362" s="86"/>
      <c r="R362" s="86"/>
      <c r="S362" s="86"/>
      <c r="T362" s="86"/>
    </row>
    <row r="363">
      <c r="N363" s="86"/>
      <c r="O363" s="86"/>
      <c r="P363" s="86"/>
      <c r="Q363" s="86"/>
      <c r="R363" s="86"/>
      <c r="S363" s="86"/>
      <c r="T363" s="86"/>
    </row>
    <row r="364">
      <c r="N364" s="86"/>
      <c r="O364" s="86"/>
      <c r="P364" s="86"/>
      <c r="Q364" s="86"/>
      <c r="R364" s="86"/>
      <c r="S364" s="86"/>
      <c r="T364" s="86"/>
    </row>
    <row r="365">
      <c r="N365" s="86"/>
      <c r="O365" s="86"/>
      <c r="P365" s="86"/>
      <c r="Q365" s="86"/>
      <c r="R365" s="86"/>
      <c r="S365" s="86"/>
      <c r="T365" s="86"/>
    </row>
    <row r="366">
      <c r="N366" s="86"/>
      <c r="O366" s="86"/>
      <c r="P366" s="86"/>
      <c r="Q366" s="86"/>
      <c r="R366" s="86"/>
      <c r="S366" s="86"/>
      <c r="T366" s="86"/>
    </row>
    <row r="367">
      <c r="N367" s="86"/>
      <c r="O367" s="86"/>
      <c r="P367" s="86"/>
      <c r="Q367" s="86"/>
      <c r="R367" s="86"/>
      <c r="S367" s="86"/>
      <c r="T367" s="86"/>
    </row>
    <row r="368">
      <c r="N368" s="86"/>
      <c r="O368" s="86"/>
      <c r="P368" s="86"/>
      <c r="Q368" s="86"/>
      <c r="R368" s="86"/>
      <c r="S368" s="86"/>
      <c r="T368" s="86"/>
    </row>
    <row r="369">
      <c r="N369" s="86"/>
      <c r="O369" s="86"/>
      <c r="P369" s="86"/>
      <c r="Q369" s="86"/>
      <c r="R369" s="86"/>
      <c r="S369" s="86"/>
      <c r="T369" s="86"/>
    </row>
    <row r="370">
      <c r="N370" s="86"/>
      <c r="O370" s="86"/>
      <c r="P370" s="86"/>
      <c r="Q370" s="86"/>
      <c r="R370" s="86"/>
      <c r="S370" s="86"/>
      <c r="T370" s="86"/>
    </row>
    <row r="371">
      <c r="N371" s="86"/>
      <c r="O371" s="86"/>
      <c r="P371" s="86"/>
      <c r="Q371" s="86"/>
      <c r="R371" s="86"/>
      <c r="S371" s="86"/>
      <c r="T371" s="86"/>
    </row>
    <row r="372">
      <c r="N372" s="86"/>
      <c r="O372" s="86"/>
      <c r="P372" s="86"/>
      <c r="Q372" s="86"/>
      <c r="R372" s="86"/>
      <c r="S372" s="86"/>
      <c r="T372" s="86"/>
    </row>
    <row r="373">
      <c r="N373" s="86"/>
      <c r="O373" s="86"/>
      <c r="P373" s="86"/>
      <c r="Q373" s="86"/>
      <c r="R373" s="86"/>
      <c r="S373" s="86"/>
      <c r="T373" s="86"/>
    </row>
    <row r="374">
      <c r="N374" s="86"/>
      <c r="O374" s="86"/>
      <c r="P374" s="86"/>
      <c r="Q374" s="86"/>
      <c r="R374" s="86"/>
      <c r="S374" s="86"/>
      <c r="T374" s="86"/>
    </row>
    <row r="375">
      <c r="N375" s="86"/>
      <c r="O375" s="86"/>
      <c r="P375" s="86"/>
      <c r="Q375" s="86"/>
      <c r="R375" s="86"/>
      <c r="S375" s="86"/>
      <c r="T375" s="86"/>
    </row>
    <row r="376">
      <c r="N376" s="86"/>
      <c r="O376" s="86"/>
      <c r="P376" s="86"/>
      <c r="Q376" s="86"/>
      <c r="R376" s="86"/>
      <c r="S376" s="86"/>
      <c r="T376" s="86"/>
    </row>
    <row r="377">
      <c r="N377" s="86"/>
      <c r="O377" s="86"/>
      <c r="P377" s="86"/>
      <c r="Q377" s="86"/>
      <c r="R377" s="86"/>
      <c r="S377" s="86"/>
      <c r="T377" s="86"/>
    </row>
    <row r="378">
      <c r="N378" s="86"/>
      <c r="O378" s="86"/>
      <c r="P378" s="86"/>
      <c r="Q378" s="86"/>
      <c r="R378" s="86"/>
      <c r="S378" s="86"/>
      <c r="T378" s="86"/>
    </row>
    <row r="379">
      <c r="N379" s="86"/>
      <c r="O379" s="86"/>
      <c r="P379" s="86"/>
      <c r="Q379" s="86"/>
      <c r="R379" s="86"/>
      <c r="S379" s="86"/>
      <c r="T379" s="86"/>
    </row>
    <row r="380">
      <c r="N380" s="86"/>
      <c r="O380" s="86"/>
      <c r="P380" s="86"/>
      <c r="Q380" s="86"/>
      <c r="R380" s="86"/>
      <c r="S380" s="86"/>
      <c r="T380" s="86"/>
    </row>
    <row r="381">
      <c r="N381" s="86"/>
      <c r="O381" s="86"/>
      <c r="P381" s="86"/>
      <c r="Q381" s="86"/>
      <c r="R381" s="86"/>
      <c r="S381" s="86"/>
      <c r="T381" s="86"/>
    </row>
    <row r="382">
      <c r="N382" s="86"/>
      <c r="O382" s="86"/>
      <c r="P382" s="86"/>
      <c r="Q382" s="86"/>
      <c r="R382" s="86"/>
      <c r="S382" s="86"/>
      <c r="T382" s="86"/>
    </row>
    <row r="383">
      <c r="N383" s="86"/>
      <c r="O383" s="86"/>
      <c r="P383" s="86"/>
      <c r="Q383" s="86"/>
      <c r="R383" s="86"/>
      <c r="S383" s="86"/>
      <c r="T383" s="86"/>
    </row>
    <row r="384">
      <c r="N384" s="86"/>
      <c r="O384" s="86"/>
      <c r="P384" s="86"/>
      <c r="Q384" s="86"/>
      <c r="R384" s="86"/>
      <c r="S384" s="86"/>
      <c r="T384" s="86"/>
    </row>
    <row r="385">
      <c r="N385" s="86"/>
      <c r="O385" s="86"/>
      <c r="P385" s="86"/>
      <c r="Q385" s="86"/>
      <c r="R385" s="86"/>
      <c r="S385" s="86"/>
      <c r="T385" s="86"/>
    </row>
    <row r="386">
      <c r="N386" s="86"/>
      <c r="O386" s="86"/>
      <c r="P386" s="86"/>
      <c r="Q386" s="86"/>
      <c r="R386" s="86"/>
      <c r="S386" s="86"/>
      <c r="T386" s="86"/>
    </row>
    <row r="387">
      <c r="N387" s="86"/>
      <c r="O387" s="86"/>
      <c r="P387" s="86"/>
      <c r="Q387" s="86"/>
      <c r="R387" s="86"/>
      <c r="S387" s="86"/>
      <c r="T387" s="86"/>
    </row>
    <row r="388">
      <c r="N388" s="86"/>
      <c r="O388" s="86"/>
      <c r="P388" s="86"/>
      <c r="Q388" s="86"/>
      <c r="R388" s="86"/>
      <c r="S388" s="86"/>
      <c r="T388" s="86"/>
    </row>
    <row r="389">
      <c r="N389" s="86"/>
      <c r="O389" s="86"/>
      <c r="P389" s="86"/>
      <c r="Q389" s="86"/>
      <c r="R389" s="86"/>
      <c r="S389" s="86"/>
      <c r="T389" s="86"/>
    </row>
    <row r="390">
      <c r="N390" s="86"/>
      <c r="O390" s="86"/>
      <c r="P390" s="86"/>
      <c r="Q390" s="86"/>
      <c r="R390" s="86"/>
      <c r="S390" s="86"/>
      <c r="T390" s="86"/>
    </row>
    <row r="391">
      <c r="N391" s="86"/>
      <c r="O391" s="86"/>
      <c r="P391" s="86"/>
      <c r="Q391" s="86"/>
      <c r="R391" s="86"/>
      <c r="S391" s="86"/>
      <c r="T391" s="86"/>
    </row>
    <row r="392">
      <c r="N392" s="86"/>
      <c r="O392" s="86"/>
      <c r="P392" s="86"/>
      <c r="Q392" s="86"/>
      <c r="R392" s="86"/>
      <c r="S392" s="86"/>
      <c r="T392" s="86"/>
    </row>
    <row r="393">
      <c r="N393" s="86"/>
      <c r="O393" s="86"/>
      <c r="P393" s="86"/>
      <c r="Q393" s="86"/>
      <c r="R393" s="86"/>
      <c r="S393" s="86"/>
      <c r="T393" s="86"/>
    </row>
    <row r="394">
      <c r="N394" s="86"/>
      <c r="O394" s="86"/>
      <c r="P394" s="86"/>
      <c r="Q394" s="86"/>
      <c r="R394" s="86"/>
      <c r="S394" s="86"/>
      <c r="T394" s="86"/>
    </row>
    <row r="395">
      <c r="N395" s="86"/>
      <c r="O395" s="86"/>
      <c r="P395" s="86"/>
      <c r="Q395" s="86"/>
      <c r="R395" s="86"/>
      <c r="S395" s="86"/>
      <c r="T395" s="86"/>
    </row>
    <row r="396">
      <c r="N396" s="86"/>
      <c r="O396" s="86"/>
      <c r="P396" s="86"/>
      <c r="Q396" s="86"/>
      <c r="R396" s="86"/>
      <c r="S396" s="86"/>
      <c r="T396" s="86"/>
    </row>
    <row r="397">
      <c r="N397" s="86"/>
      <c r="O397" s="86"/>
      <c r="P397" s="86"/>
      <c r="Q397" s="86"/>
      <c r="R397" s="86"/>
      <c r="S397" s="86"/>
      <c r="T397" s="86"/>
    </row>
    <row r="398">
      <c r="N398" s="86"/>
      <c r="O398" s="86"/>
      <c r="P398" s="86"/>
      <c r="Q398" s="86"/>
      <c r="R398" s="86"/>
      <c r="S398" s="86"/>
      <c r="T398" s="86"/>
    </row>
    <row r="399">
      <c r="N399" s="86"/>
      <c r="O399" s="86"/>
      <c r="P399" s="86"/>
      <c r="Q399" s="86"/>
      <c r="R399" s="86"/>
      <c r="S399" s="86"/>
      <c r="T399" s="86"/>
    </row>
    <row r="400">
      <c r="N400" s="86"/>
      <c r="O400" s="86"/>
      <c r="P400" s="86"/>
      <c r="Q400" s="86"/>
      <c r="R400" s="86"/>
      <c r="S400" s="86"/>
      <c r="T400" s="86"/>
    </row>
    <row r="401">
      <c r="N401" s="86"/>
      <c r="O401" s="86"/>
      <c r="P401" s="86"/>
      <c r="Q401" s="86"/>
      <c r="R401" s="86"/>
      <c r="S401" s="86"/>
      <c r="T401" s="86"/>
    </row>
    <row r="402">
      <c r="N402" s="86"/>
      <c r="O402" s="86"/>
      <c r="P402" s="86"/>
      <c r="Q402" s="86"/>
      <c r="R402" s="86"/>
      <c r="S402" s="86"/>
      <c r="T402" s="86"/>
    </row>
    <row r="403">
      <c r="N403" s="86"/>
      <c r="O403" s="86"/>
      <c r="P403" s="86"/>
      <c r="Q403" s="86"/>
      <c r="R403" s="86"/>
      <c r="S403" s="86"/>
      <c r="T403" s="86"/>
    </row>
    <row r="404">
      <c r="N404" s="86"/>
      <c r="O404" s="86"/>
      <c r="P404" s="86"/>
      <c r="Q404" s="86"/>
      <c r="R404" s="86"/>
      <c r="S404" s="86"/>
      <c r="T404" s="86"/>
    </row>
    <row r="405">
      <c r="N405" s="86"/>
      <c r="O405" s="86"/>
      <c r="P405" s="86"/>
      <c r="Q405" s="86"/>
      <c r="R405" s="86"/>
      <c r="S405" s="86"/>
      <c r="T405" s="86"/>
    </row>
    <row r="406">
      <c r="N406" s="86"/>
      <c r="O406" s="86"/>
      <c r="P406" s="86"/>
      <c r="Q406" s="86"/>
      <c r="R406" s="86"/>
      <c r="S406" s="86"/>
      <c r="T406" s="86"/>
    </row>
    <row r="407">
      <c r="N407" s="86"/>
      <c r="O407" s="86"/>
      <c r="P407" s="86"/>
      <c r="Q407" s="86"/>
      <c r="R407" s="86"/>
      <c r="S407" s="86"/>
      <c r="T407" s="86"/>
    </row>
    <row r="408">
      <c r="N408" s="86"/>
      <c r="O408" s="86"/>
      <c r="P408" s="86"/>
      <c r="Q408" s="86"/>
      <c r="R408" s="86"/>
      <c r="S408" s="86"/>
      <c r="T408" s="86"/>
    </row>
    <row r="409">
      <c r="N409" s="86"/>
      <c r="O409" s="86"/>
      <c r="P409" s="86"/>
      <c r="Q409" s="86"/>
      <c r="R409" s="86"/>
      <c r="S409" s="86"/>
      <c r="T409" s="86"/>
    </row>
    <row r="410">
      <c r="N410" s="86"/>
      <c r="O410" s="86"/>
      <c r="P410" s="86"/>
      <c r="Q410" s="86"/>
      <c r="R410" s="86"/>
      <c r="S410" s="86"/>
      <c r="T410" s="86"/>
    </row>
    <row r="411">
      <c r="N411" s="86"/>
      <c r="O411" s="86"/>
      <c r="P411" s="86"/>
      <c r="Q411" s="86"/>
      <c r="R411" s="86"/>
      <c r="S411" s="86"/>
      <c r="T411" s="86"/>
    </row>
    <row r="412">
      <c r="N412" s="86"/>
      <c r="O412" s="86"/>
      <c r="P412" s="86"/>
      <c r="Q412" s="86"/>
      <c r="R412" s="86"/>
      <c r="S412" s="86"/>
      <c r="T412" s="86"/>
    </row>
    <row r="413">
      <c r="N413" s="86"/>
      <c r="O413" s="86"/>
      <c r="P413" s="86"/>
      <c r="Q413" s="86"/>
      <c r="R413" s="86"/>
      <c r="S413" s="86"/>
      <c r="T413" s="86"/>
    </row>
    <row r="414">
      <c r="N414" s="86"/>
      <c r="O414" s="86"/>
      <c r="P414" s="86"/>
      <c r="Q414" s="86"/>
      <c r="R414" s="86"/>
      <c r="S414" s="86"/>
      <c r="T414" s="86"/>
    </row>
    <row r="415">
      <c r="N415" s="86"/>
      <c r="O415" s="86"/>
      <c r="P415" s="86"/>
      <c r="Q415" s="86"/>
      <c r="R415" s="86"/>
      <c r="S415" s="86"/>
      <c r="T415" s="86"/>
    </row>
    <row r="416">
      <c r="N416" s="86"/>
      <c r="O416" s="86"/>
      <c r="P416" s="86"/>
      <c r="Q416" s="86"/>
      <c r="R416" s="86"/>
      <c r="S416" s="86"/>
      <c r="T416" s="86"/>
    </row>
    <row r="417">
      <c r="N417" s="86"/>
      <c r="O417" s="86"/>
      <c r="P417" s="86"/>
      <c r="Q417" s="86"/>
      <c r="R417" s="86"/>
      <c r="S417" s="86"/>
      <c r="T417" s="86"/>
    </row>
    <row r="418">
      <c r="N418" s="86"/>
      <c r="O418" s="86"/>
      <c r="P418" s="86"/>
      <c r="Q418" s="86"/>
      <c r="R418" s="86"/>
      <c r="S418" s="86"/>
      <c r="T418" s="86"/>
    </row>
    <row r="419">
      <c r="N419" s="86"/>
      <c r="O419" s="86"/>
      <c r="P419" s="86"/>
      <c r="Q419" s="86"/>
      <c r="R419" s="86"/>
      <c r="S419" s="86"/>
      <c r="T419" s="86"/>
    </row>
    <row r="420">
      <c r="N420" s="86"/>
      <c r="O420" s="86"/>
      <c r="P420" s="86"/>
      <c r="Q420" s="86"/>
      <c r="R420" s="86"/>
      <c r="S420" s="86"/>
      <c r="T420" s="86"/>
    </row>
    <row r="421">
      <c r="N421" s="86"/>
      <c r="O421" s="86"/>
      <c r="P421" s="86"/>
      <c r="Q421" s="86"/>
      <c r="R421" s="86"/>
      <c r="S421" s="86"/>
      <c r="T421" s="86"/>
    </row>
    <row r="422">
      <c r="N422" s="86"/>
      <c r="O422" s="86"/>
      <c r="P422" s="86"/>
      <c r="Q422" s="86"/>
      <c r="R422" s="86"/>
      <c r="S422" s="86"/>
      <c r="T422" s="86"/>
    </row>
    <row r="423">
      <c r="N423" s="86"/>
      <c r="O423" s="86"/>
      <c r="P423" s="86"/>
      <c r="Q423" s="86"/>
      <c r="R423" s="86"/>
      <c r="S423" s="86"/>
      <c r="T423" s="86"/>
    </row>
    <row r="424">
      <c r="N424" s="86"/>
      <c r="O424" s="86"/>
      <c r="P424" s="86"/>
      <c r="Q424" s="86"/>
      <c r="R424" s="86"/>
      <c r="S424" s="86"/>
      <c r="T424" s="86"/>
    </row>
    <row r="425">
      <c r="N425" s="86"/>
      <c r="O425" s="86"/>
      <c r="P425" s="86"/>
      <c r="Q425" s="86"/>
      <c r="R425" s="86"/>
      <c r="S425" s="86"/>
      <c r="T425" s="86"/>
    </row>
    <row r="426">
      <c r="N426" s="86"/>
      <c r="O426" s="86"/>
      <c r="P426" s="86"/>
      <c r="Q426" s="86"/>
      <c r="R426" s="86"/>
      <c r="S426" s="86"/>
      <c r="T426" s="86"/>
    </row>
    <row r="427">
      <c r="N427" s="86"/>
      <c r="O427" s="86"/>
      <c r="P427" s="86"/>
      <c r="Q427" s="86"/>
      <c r="R427" s="86"/>
      <c r="S427" s="86"/>
      <c r="T427" s="86"/>
    </row>
    <row r="428">
      <c r="N428" s="86"/>
      <c r="O428" s="86"/>
      <c r="P428" s="86"/>
      <c r="Q428" s="86"/>
      <c r="R428" s="86"/>
      <c r="S428" s="86"/>
      <c r="T428" s="86"/>
    </row>
    <row r="429">
      <c r="N429" s="86"/>
      <c r="O429" s="86"/>
      <c r="P429" s="86"/>
      <c r="Q429" s="86"/>
      <c r="R429" s="86"/>
      <c r="S429" s="86"/>
      <c r="T429" s="86"/>
    </row>
    <row r="430">
      <c r="N430" s="86"/>
      <c r="O430" s="86"/>
      <c r="P430" s="86"/>
      <c r="Q430" s="86"/>
      <c r="R430" s="86"/>
      <c r="S430" s="86"/>
      <c r="T430" s="86"/>
    </row>
    <row r="431">
      <c r="N431" s="86"/>
      <c r="O431" s="86"/>
      <c r="P431" s="86"/>
      <c r="Q431" s="86"/>
      <c r="R431" s="86"/>
      <c r="S431" s="86"/>
      <c r="T431" s="86"/>
    </row>
    <row r="432">
      <c r="N432" s="86"/>
      <c r="O432" s="86"/>
      <c r="P432" s="86"/>
      <c r="Q432" s="86"/>
      <c r="R432" s="86"/>
      <c r="S432" s="86"/>
      <c r="T432" s="86"/>
    </row>
    <row r="433">
      <c r="N433" s="86"/>
      <c r="O433" s="86"/>
      <c r="P433" s="86"/>
      <c r="Q433" s="86"/>
      <c r="R433" s="86"/>
      <c r="S433" s="86"/>
      <c r="T433" s="86"/>
    </row>
    <row r="434">
      <c r="N434" s="86"/>
      <c r="O434" s="86"/>
      <c r="P434" s="86"/>
      <c r="Q434" s="86"/>
      <c r="R434" s="86"/>
      <c r="S434" s="86"/>
      <c r="T434" s="86"/>
    </row>
    <row r="435">
      <c r="N435" s="86"/>
      <c r="O435" s="86"/>
      <c r="P435" s="86"/>
      <c r="Q435" s="86"/>
      <c r="R435" s="86"/>
      <c r="S435" s="86"/>
      <c r="T435" s="86"/>
    </row>
    <row r="436">
      <c r="N436" s="86"/>
      <c r="O436" s="86"/>
      <c r="P436" s="86"/>
      <c r="Q436" s="86"/>
      <c r="R436" s="86"/>
      <c r="S436" s="86"/>
      <c r="T436" s="86"/>
    </row>
    <row r="437">
      <c r="N437" s="86"/>
      <c r="O437" s="86"/>
      <c r="P437" s="86"/>
      <c r="Q437" s="86"/>
      <c r="R437" s="86"/>
      <c r="S437" s="86"/>
      <c r="T437" s="86"/>
    </row>
    <row r="438">
      <c r="N438" s="86"/>
      <c r="O438" s="86"/>
      <c r="P438" s="86"/>
      <c r="Q438" s="86"/>
      <c r="R438" s="86"/>
      <c r="S438" s="86"/>
      <c r="T438" s="86"/>
    </row>
    <row r="439">
      <c r="N439" s="86"/>
      <c r="O439" s="86"/>
      <c r="P439" s="86"/>
      <c r="Q439" s="86"/>
      <c r="R439" s="86"/>
      <c r="S439" s="86"/>
      <c r="T439" s="86"/>
    </row>
    <row r="440">
      <c r="N440" s="86"/>
      <c r="O440" s="86"/>
      <c r="P440" s="86"/>
      <c r="Q440" s="86"/>
      <c r="R440" s="86"/>
      <c r="S440" s="86"/>
      <c r="T440" s="86"/>
    </row>
    <row r="441">
      <c r="N441" s="86"/>
      <c r="O441" s="86"/>
      <c r="P441" s="86"/>
      <c r="Q441" s="86"/>
      <c r="R441" s="86"/>
      <c r="S441" s="86"/>
      <c r="T441" s="86"/>
    </row>
    <row r="442">
      <c r="N442" s="86"/>
      <c r="O442" s="86"/>
      <c r="P442" s="86"/>
      <c r="Q442" s="86"/>
      <c r="R442" s="86"/>
      <c r="S442" s="86"/>
      <c r="T442" s="86"/>
    </row>
    <row r="443">
      <c r="N443" s="86"/>
      <c r="O443" s="86"/>
      <c r="P443" s="86"/>
      <c r="Q443" s="86"/>
      <c r="R443" s="86"/>
      <c r="S443" s="86"/>
      <c r="T443" s="86"/>
    </row>
    <row r="444">
      <c r="N444" s="86"/>
      <c r="O444" s="86"/>
      <c r="P444" s="86"/>
      <c r="Q444" s="86"/>
      <c r="R444" s="86"/>
      <c r="S444" s="86"/>
      <c r="T444" s="86"/>
    </row>
    <row r="445">
      <c r="N445" s="86"/>
      <c r="O445" s="86"/>
      <c r="P445" s="86"/>
      <c r="Q445" s="86"/>
      <c r="R445" s="86"/>
      <c r="S445" s="86"/>
      <c r="T445" s="86"/>
    </row>
    <row r="446">
      <c r="N446" s="86"/>
      <c r="O446" s="86"/>
      <c r="P446" s="86"/>
      <c r="Q446" s="86"/>
      <c r="R446" s="86"/>
      <c r="S446" s="86"/>
      <c r="T446" s="86"/>
    </row>
    <row r="447">
      <c r="N447" s="86"/>
      <c r="O447" s="86"/>
      <c r="P447" s="86"/>
      <c r="Q447" s="86"/>
      <c r="R447" s="86"/>
      <c r="S447" s="86"/>
      <c r="T447" s="86"/>
    </row>
    <row r="448">
      <c r="N448" s="86"/>
      <c r="O448" s="86"/>
      <c r="P448" s="86"/>
      <c r="Q448" s="86"/>
      <c r="R448" s="86"/>
      <c r="S448" s="86"/>
      <c r="T448" s="86"/>
    </row>
    <row r="449">
      <c r="N449" s="86"/>
      <c r="O449" s="86"/>
      <c r="P449" s="86"/>
      <c r="Q449" s="86"/>
      <c r="R449" s="86"/>
      <c r="S449" s="86"/>
      <c r="T449" s="86"/>
    </row>
    <row r="450">
      <c r="N450" s="86"/>
      <c r="O450" s="86"/>
      <c r="P450" s="86"/>
      <c r="Q450" s="86"/>
      <c r="R450" s="86"/>
      <c r="S450" s="86"/>
      <c r="T450" s="86"/>
    </row>
    <row r="451">
      <c r="N451" s="86"/>
      <c r="O451" s="86"/>
      <c r="P451" s="86"/>
      <c r="Q451" s="86"/>
      <c r="R451" s="86"/>
      <c r="S451" s="86"/>
      <c r="T451" s="86"/>
    </row>
    <row r="452">
      <c r="N452" s="86"/>
      <c r="O452" s="86"/>
      <c r="P452" s="86"/>
      <c r="Q452" s="86"/>
      <c r="R452" s="86"/>
      <c r="S452" s="86"/>
      <c r="T452" s="86"/>
    </row>
    <row r="453">
      <c r="N453" s="86"/>
      <c r="O453" s="86"/>
      <c r="P453" s="86"/>
      <c r="Q453" s="86"/>
      <c r="R453" s="86"/>
      <c r="S453" s="86"/>
      <c r="T453" s="86"/>
    </row>
    <row r="454">
      <c r="N454" s="86"/>
      <c r="O454" s="86"/>
      <c r="P454" s="86"/>
      <c r="Q454" s="86"/>
      <c r="R454" s="86"/>
      <c r="S454" s="86"/>
      <c r="T454" s="86"/>
    </row>
    <row r="455">
      <c r="N455" s="86"/>
      <c r="O455" s="86"/>
      <c r="P455" s="86"/>
      <c r="Q455" s="86"/>
      <c r="R455" s="86"/>
      <c r="S455" s="86"/>
      <c r="T455" s="86"/>
    </row>
    <row r="456">
      <c r="N456" s="86"/>
      <c r="O456" s="86"/>
      <c r="P456" s="86"/>
      <c r="Q456" s="86"/>
      <c r="R456" s="86"/>
      <c r="S456" s="86"/>
      <c r="T456" s="86"/>
    </row>
    <row r="457">
      <c r="N457" s="86"/>
      <c r="O457" s="86"/>
      <c r="P457" s="86"/>
      <c r="Q457" s="86"/>
      <c r="R457" s="86"/>
      <c r="S457" s="86"/>
      <c r="T457" s="86"/>
    </row>
    <row r="458">
      <c r="N458" s="86"/>
      <c r="O458" s="86"/>
      <c r="P458" s="86"/>
      <c r="Q458" s="86"/>
      <c r="R458" s="86"/>
      <c r="S458" s="86"/>
      <c r="T458" s="86"/>
    </row>
    <row r="459">
      <c r="N459" s="86"/>
      <c r="O459" s="86"/>
      <c r="P459" s="86"/>
      <c r="Q459" s="86"/>
      <c r="R459" s="86"/>
      <c r="S459" s="86"/>
      <c r="T459" s="86"/>
    </row>
    <row r="460">
      <c r="N460" s="86"/>
      <c r="O460" s="86"/>
      <c r="P460" s="86"/>
      <c r="Q460" s="86"/>
      <c r="R460" s="86"/>
      <c r="S460" s="86"/>
      <c r="T460" s="86"/>
    </row>
    <row r="461">
      <c r="N461" s="86"/>
      <c r="O461" s="86"/>
      <c r="P461" s="86"/>
      <c r="Q461" s="86"/>
      <c r="R461" s="86"/>
      <c r="S461" s="86"/>
      <c r="T461" s="86"/>
    </row>
    <row r="462">
      <c r="N462" s="86"/>
      <c r="O462" s="86"/>
      <c r="P462" s="86"/>
      <c r="Q462" s="86"/>
      <c r="R462" s="86"/>
      <c r="S462" s="86"/>
      <c r="T462" s="86"/>
    </row>
    <row r="463">
      <c r="N463" s="86"/>
      <c r="O463" s="86"/>
      <c r="P463" s="86"/>
      <c r="Q463" s="86"/>
      <c r="R463" s="86"/>
      <c r="S463" s="86"/>
      <c r="T463" s="86"/>
    </row>
    <row r="464">
      <c r="N464" s="86"/>
      <c r="O464" s="86"/>
      <c r="P464" s="86"/>
      <c r="Q464" s="86"/>
      <c r="R464" s="86"/>
      <c r="S464" s="86"/>
      <c r="T464" s="86"/>
    </row>
    <row r="465">
      <c r="N465" s="86"/>
      <c r="O465" s="86"/>
      <c r="P465" s="86"/>
      <c r="Q465" s="86"/>
      <c r="R465" s="86"/>
      <c r="S465" s="86"/>
      <c r="T465" s="86"/>
    </row>
    <row r="466">
      <c r="N466" s="86"/>
      <c r="O466" s="86"/>
      <c r="P466" s="86"/>
      <c r="Q466" s="86"/>
      <c r="R466" s="86"/>
      <c r="S466" s="86"/>
      <c r="T466" s="86"/>
    </row>
    <row r="467">
      <c r="N467" s="86"/>
      <c r="O467" s="86"/>
      <c r="P467" s="86"/>
      <c r="Q467" s="86"/>
      <c r="R467" s="86"/>
      <c r="S467" s="86"/>
      <c r="T467" s="86"/>
    </row>
    <row r="468">
      <c r="N468" s="86"/>
      <c r="O468" s="86"/>
      <c r="P468" s="86"/>
      <c r="Q468" s="86"/>
      <c r="R468" s="86"/>
      <c r="S468" s="86"/>
      <c r="T468" s="86"/>
    </row>
    <row r="469">
      <c r="N469" s="86"/>
      <c r="O469" s="86"/>
      <c r="P469" s="86"/>
      <c r="Q469" s="86"/>
      <c r="R469" s="86"/>
      <c r="S469" s="86"/>
      <c r="T469" s="86"/>
    </row>
    <row r="470">
      <c r="N470" s="86"/>
      <c r="O470" s="86"/>
      <c r="P470" s="86"/>
      <c r="Q470" s="86"/>
      <c r="R470" s="86"/>
      <c r="S470" s="86"/>
      <c r="T470" s="86"/>
    </row>
    <row r="471">
      <c r="N471" s="86"/>
      <c r="O471" s="86"/>
      <c r="P471" s="86"/>
      <c r="Q471" s="86"/>
      <c r="R471" s="86"/>
      <c r="S471" s="86"/>
      <c r="T471" s="86"/>
    </row>
    <row r="472">
      <c r="N472" s="86"/>
      <c r="O472" s="86"/>
      <c r="P472" s="86"/>
      <c r="Q472" s="86"/>
      <c r="R472" s="86"/>
      <c r="S472" s="86"/>
      <c r="T472" s="86"/>
    </row>
    <row r="473">
      <c r="N473" s="86"/>
      <c r="O473" s="86"/>
      <c r="P473" s="86"/>
      <c r="Q473" s="86"/>
      <c r="R473" s="86"/>
      <c r="S473" s="86"/>
      <c r="T473" s="86"/>
    </row>
    <row r="474">
      <c r="N474" s="86"/>
      <c r="O474" s="86"/>
      <c r="P474" s="86"/>
      <c r="Q474" s="86"/>
      <c r="R474" s="86"/>
      <c r="S474" s="86"/>
      <c r="T474" s="86"/>
    </row>
    <row r="475">
      <c r="N475" s="86"/>
      <c r="O475" s="86"/>
      <c r="P475" s="86"/>
      <c r="Q475" s="86"/>
      <c r="R475" s="86"/>
      <c r="S475" s="86"/>
      <c r="T475" s="86"/>
    </row>
    <row r="476">
      <c r="N476" s="86"/>
      <c r="O476" s="86"/>
      <c r="P476" s="86"/>
      <c r="Q476" s="86"/>
      <c r="R476" s="86"/>
      <c r="S476" s="86"/>
      <c r="T476" s="86"/>
    </row>
    <row r="477">
      <c r="N477" s="86"/>
      <c r="O477" s="86"/>
      <c r="P477" s="86"/>
      <c r="Q477" s="86"/>
      <c r="R477" s="86"/>
      <c r="S477" s="86"/>
      <c r="T477" s="86"/>
    </row>
    <row r="478">
      <c r="N478" s="86"/>
      <c r="O478" s="86"/>
      <c r="P478" s="86"/>
      <c r="Q478" s="86"/>
      <c r="R478" s="86"/>
      <c r="S478" s="86"/>
      <c r="T478" s="86"/>
    </row>
    <row r="479">
      <c r="N479" s="86"/>
      <c r="O479" s="86"/>
      <c r="P479" s="86"/>
      <c r="Q479" s="86"/>
      <c r="R479" s="86"/>
      <c r="S479" s="86"/>
      <c r="T479" s="86"/>
    </row>
    <row r="480">
      <c r="N480" s="86"/>
      <c r="O480" s="86"/>
      <c r="P480" s="86"/>
      <c r="Q480" s="86"/>
      <c r="R480" s="86"/>
      <c r="S480" s="86"/>
      <c r="T480" s="86"/>
    </row>
    <row r="481">
      <c r="N481" s="86"/>
      <c r="O481" s="86"/>
      <c r="P481" s="86"/>
      <c r="Q481" s="86"/>
      <c r="R481" s="86"/>
      <c r="S481" s="86"/>
      <c r="T481" s="86"/>
    </row>
    <row r="482">
      <c r="N482" s="86"/>
      <c r="O482" s="86"/>
      <c r="P482" s="86"/>
      <c r="Q482" s="86"/>
      <c r="R482" s="86"/>
      <c r="S482" s="86"/>
      <c r="T482" s="86"/>
    </row>
    <row r="483">
      <c r="N483" s="86"/>
      <c r="O483" s="86"/>
      <c r="P483" s="86"/>
      <c r="Q483" s="86"/>
      <c r="R483" s="86"/>
      <c r="S483" s="86"/>
      <c r="T483" s="86"/>
    </row>
    <row r="484">
      <c r="N484" s="86"/>
      <c r="O484" s="86"/>
      <c r="P484" s="86"/>
      <c r="Q484" s="86"/>
      <c r="R484" s="86"/>
      <c r="S484" s="86"/>
      <c r="T484" s="86"/>
    </row>
    <row r="485">
      <c r="N485" s="86"/>
      <c r="O485" s="86"/>
      <c r="P485" s="86"/>
      <c r="Q485" s="86"/>
      <c r="R485" s="86"/>
      <c r="S485" s="86"/>
      <c r="T485" s="86"/>
    </row>
    <row r="486">
      <c r="N486" s="86"/>
      <c r="O486" s="86"/>
      <c r="P486" s="86"/>
      <c r="Q486" s="86"/>
      <c r="R486" s="86"/>
      <c r="S486" s="86"/>
      <c r="T486" s="86"/>
    </row>
    <row r="487">
      <c r="N487" s="86"/>
      <c r="O487" s="86"/>
      <c r="P487" s="86"/>
      <c r="Q487" s="86"/>
      <c r="R487" s="86"/>
      <c r="S487" s="86"/>
      <c r="T487" s="86"/>
    </row>
    <row r="488">
      <c r="N488" s="86"/>
      <c r="O488" s="86"/>
      <c r="P488" s="86"/>
      <c r="Q488" s="86"/>
      <c r="R488" s="86"/>
      <c r="S488" s="86"/>
      <c r="T488" s="86"/>
    </row>
    <row r="489">
      <c r="N489" s="86"/>
      <c r="O489" s="86"/>
      <c r="P489" s="86"/>
      <c r="Q489" s="86"/>
      <c r="R489" s="86"/>
      <c r="S489" s="86"/>
      <c r="T489" s="86"/>
    </row>
    <row r="490">
      <c r="N490" s="86"/>
      <c r="O490" s="86"/>
      <c r="P490" s="86"/>
      <c r="Q490" s="86"/>
      <c r="R490" s="86"/>
      <c r="S490" s="86"/>
      <c r="T490" s="86"/>
    </row>
    <row r="491">
      <c r="N491" s="86"/>
      <c r="O491" s="86"/>
      <c r="P491" s="86"/>
      <c r="Q491" s="86"/>
      <c r="R491" s="86"/>
      <c r="S491" s="86"/>
      <c r="T491" s="86"/>
    </row>
    <row r="492">
      <c r="N492" s="86"/>
      <c r="O492" s="86"/>
      <c r="P492" s="86"/>
      <c r="Q492" s="86"/>
      <c r="R492" s="86"/>
      <c r="S492" s="86"/>
      <c r="T492" s="86"/>
    </row>
    <row r="493">
      <c r="N493" s="86"/>
      <c r="O493" s="86"/>
      <c r="P493" s="86"/>
      <c r="Q493" s="86"/>
      <c r="R493" s="86"/>
      <c r="S493" s="86"/>
      <c r="T493" s="86"/>
    </row>
    <row r="494">
      <c r="N494" s="86"/>
      <c r="O494" s="86"/>
      <c r="P494" s="86"/>
      <c r="Q494" s="86"/>
      <c r="R494" s="86"/>
      <c r="S494" s="86"/>
      <c r="T494" s="86"/>
    </row>
    <row r="495">
      <c r="N495" s="86"/>
      <c r="O495" s="86"/>
      <c r="P495" s="86"/>
      <c r="Q495" s="86"/>
      <c r="R495" s="86"/>
      <c r="S495" s="86"/>
      <c r="T495" s="86"/>
    </row>
    <row r="496">
      <c r="N496" s="86"/>
      <c r="O496" s="86"/>
      <c r="P496" s="86"/>
      <c r="Q496" s="86"/>
      <c r="R496" s="86"/>
      <c r="S496" s="86"/>
      <c r="T496" s="86"/>
    </row>
    <row r="497">
      <c r="N497" s="86"/>
      <c r="O497" s="86"/>
      <c r="P497" s="86"/>
      <c r="Q497" s="86"/>
      <c r="R497" s="86"/>
      <c r="S497" s="86"/>
      <c r="T497" s="86"/>
    </row>
    <row r="498">
      <c r="N498" s="86"/>
      <c r="O498" s="86"/>
      <c r="P498" s="86"/>
      <c r="Q498" s="86"/>
      <c r="R498" s="86"/>
      <c r="S498" s="86"/>
      <c r="T498" s="86"/>
    </row>
    <row r="499">
      <c r="N499" s="86"/>
      <c r="O499" s="86"/>
      <c r="P499" s="86"/>
      <c r="Q499" s="86"/>
      <c r="R499" s="86"/>
      <c r="S499" s="86"/>
      <c r="T499" s="86"/>
    </row>
    <row r="500">
      <c r="N500" s="86"/>
      <c r="O500" s="86"/>
      <c r="P500" s="86"/>
      <c r="Q500" s="86"/>
      <c r="R500" s="86"/>
      <c r="S500" s="86"/>
      <c r="T500" s="86"/>
    </row>
    <row r="501">
      <c r="N501" s="86"/>
      <c r="O501" s="86"/>
      <c r="P501" s="86"/>
      <c r="Q501" s="86"/>
      <c r="R501" s="86"/>
      <c r="S501" s="86"/>
      <c r="T501" s="86"/>
    </row>
    <row r="502">
      <c r="N502" s="86"/>
      <c r="O502" s="86"/>
      <c r="P502" s="86"/>
      <c r="Q502" s="86"/>
      <c r="R502" s="86"/>
      <c r="S502" s="86"/>
      <c r="T502" s="86"/>
    </row>
    <row r="503">
      <c r="N503" s="86"/>
      <c r="O503" s="86"/>
      <c r="P503" s="86"/>
      <c r="Q503" s="86"/>
      <c r="R503" s="86"/>
      <c r="S503" s="86"/>
      <c r="T503" s="86"/>
    </row>
    <row r="504">
      <c r="N504" s="86"/>
      <c r="O504" s="86"/>
      <c r="P504" s="86"/>
      <c r="Q504" s="86"/>
      <c r="R504" s="86"/>
      <c r="S504" s="86"/>
      <c r="T504" s="86"/>
    </row>
    <row r="505">
      <c r="N505" s="86"/>
      <c r="O505" s="86"/>
      <c r="P505" s="86"/>
      <c r="Q505" s="86"/>
      <c r="R505" s="86"/>
      <c r="S505" s="86"/>
      <c r="T505" s="86"/>
    </row>
    <row r="506">
      <c r="N506" s="86"/>
      <c r="O506" s="86"/>
      <c r="P506" s="86"/>
      <c r="Q506" s="86"/>
      <c r="R506" s="86"/>
      <c r="S506" s="86"/>
      <c r="T506" s="86"/>
    </row>
    <row r="507">
      <c r="N507" s="86"/>
      <c r="O507" s="86"/>
      <c r="P507" s="86"/>
      <c r="Q507" s="86"/>
      <c r="R507" s="86"/>
      <c r="S507" s="86"/>
      <c r="T507" s="86"/>
    </row>
    <row r="508">
      <c r="N508" s="86"/>
      <c r="O508" s="86"/>
      <c r="P508" s="86"/>
      <c r="Q508" s="86"/>
      <c r="R508" s="86"/>
      <c r="S508" s="86"/>
      <c r="T508" s="86"/>
    </row>
    <row r="509">
      <c r="N509" s="86"/>
      <c r="O509" s="86"/>
      <c r="P509" s="86"/>
      <c r="Q509" s="86"/>
      <c r="R509" s="86"/>
      <c r="S509" s="86"/>
      <c r="T509" s="86"/>
    </row>
    <row r="510">
      <c r="N510" s="86"/>
      <c r="O510" s="86"/>
      <c r="P510" s="86"/>
      <c r="Q510" s="86"/>
      <c r="R510" s="86"/>
      <c r="S510" s="86"/>
      <c r="T510" s="86"/>
    </row>
    <row r="511">
      <c r="N511" s="86"/>
      <c r="O511" s="86"/>
      <c r="P511" s="86"/>
      <c r="Q511" s="86"/>
      <c r="R511" s="86"/>
      <c r="S511" s="86"/>
      <c r="T511" s="86"/>
    </row>
    <row r="512">
      <c r="N512" s="86"/>
      <c r="O512" s="86"/>
      <c r="P512" s="86"/>
      <c r="Q512" s="86"/>
      <c r="R512" s="86"/>
      <c r="S512" s="86"/>
      <c r="T512" s="86"/>
    </row>
    <row r="513">
      <c r="N513" s="86"/>
      <c r="O513" s="86"/>
      <c r="P513" s="86"/>
      <c r="Q513" s="86"/>
      <c r="R513" s="86"/>
      <c r="S513" s="86"/>
      <c r="T513" s="86"/>
    </row>
    <row r="514">
      <c r="N514" s="86"/>
      <c r="O514" s="86"/>
      <c r="P514" s="86"/>
      <c r="Q514" s="86"/>
      <c r="R514" s="86"/>
      <c r="S514" s="86"/>
      <c r="T514" s="86"/>
    </row>
    <row r="515">
      <c r="N515" s="86"/>
      <c r="O515" s="86"/>
      <c r="P515" s="86"/>
      <c r="Q515" s="86"/>
      <c r="R515" s="86"/>
      <c r="S515" s="86"/>
      <c r="T515" s="86"/>
    </row>
    <row r="516">
      <c r="N516" s="86"/>
      <c r="O516" s="86"/>
      <c r="P516" s="86"/>
      <c r="Q516" s="86"/>
      <c r="R516" s="86"/>
      <c r="S516" s="86"/>
      <c r="T516" s="86"/>
    </row>
    <row r="517">
      <c r="N517" s="86"/>
      <c r="O517" s="86"/>
      <c r="P517" s="86"/>
      <c r="Q517" s="86"/>
      <c r="R517" s="86"/>
      <c r="S517" s="86"/>
      <c r="T517" s="86"/>
    </row>
    <row r="518">
      <c r="N518" s="86"/>
      <c r="O518" s="86"/>
      <c r="P518" s="86"/>
      <c r="Q518" s="86"/>
      <c r="R518" s="86"/>
      <c r="S518" s="86"/>
      <c r="T518" s="86"/>
    </row>
    <row r="519">
      <c r="N519" s="86"/>
      <c r="O519" s="86"/>
      <c r="P519" s="86"/>
      <c r="Q519" s="86"/>
      <c r="R519" s="86"/>
      <c r="S519" s="86"/>
      <c r="T519" s="86"/>
    </row>
    <row r="520">
      <c r="N520" s="86"/>
      <c r="O520" s="86"/>
      <c r="P520" s="86"/>
      <c r="Q520" s="86"/>
      <c r="R520" s="86"/>
      <c r="S520" s="86"/>
      <c r="T520" s="86"/>
    </row>
    <row r="521">
      <c r="N521" s="86"/>
      <c r="O521" s="86"/>
      <c r="P521" s="86"/>
      <c r="Q521" s="86"/>
      <c r="R521" s="86"/>
      <c r="S521" s="86"/>
      <c r="T521" s="86"/>
    </row>
    <row r="522">
      <c r="N522" s="86"/>
      <c r="O522" s="86"/>
      <c r="P522" s="86"/>
      <c r="Q522" s="86"/>
      <c r="R522" s="86"/>
      <c r="S522" s="86"/>
      <c r="T522" s="86"/>
    </row>
    <row r="523">
      <c r="N523" s="86"/>
      <c r="O523" s="86"/>
      <c r="P523" s="86"/>
      <c r="Q523" s="86"/>
      <c r="R523" s="86"/>
      <c r="S523" s="86"/>
      <c r="T523" s="86"/>
    </row>
    <row r="524">
      <c r="N524" s="86"/>
      <c r="O524" s="86"/>
      <c r="P524" s="86"/>
      <c r="Q524" s="86"/>
      <c r="R524" s="86"/>
      <c r="S524" s="86"/>
      <c r="T524" s="86"/>
    </row>
    <row r="525">
      <c r="N525" s="86"/>
      <c r="O525" s="86"/>
      <c r="P525" s="86"/>
      <c r="Q525" s="86"/>
      <c r="R525" s="86"/>
      <c r="S525" s="86"/>
      <c r="T525" s="86"/>
    </row>
    <row r="526">
      <c r="N526" s="86"/>
      <c r="O526" s="86"/>
      <c r="P526" s="86"/>
      <c r="Q526" s="86"/>
      <c r="R526" s="86"/>
      <c r="S526" s="86"/>
      <c r="T526" s="86"/>
    </row>
    <row r="527">
      <c r="N527" s="86"/>
      <c r="O527" s="86"/>
      <c r="P527" s="86"/>
      <c r="Q527" s="86"/>
      <c r="R527" s="86"/>
      <c r="S527" s="86"/>
      <c r="T527" s="86"/>
    </row>
    <row r="528">
      <c r="N528" s="86"/>
      <c r="O528" s="86"/>
      <c r="P528" s="86"/>
      <c r="Q528" s="86"/>
      <c r="R528" s="86"/>
      <c r="S528" s="86"/>
      <c r="T528" s="86"/>
    </row>
    <row r="529">
      <c r="N529" s="86"/>
      <c r="O529" s="86"/>
      <c r="P529" s="86"/>
      <c r="Q529" s="86"/>
      <c r="R529" s="86"/>
      <c r="S529" s="86"/>
      <c r="T529" s="86"/>
    </row>
    <row r="530">
      <c r="N530" s="86"/>
      <c r="O530" s="86"/>
      <c r="P530" s="86"/>
      <c r="Q530" s="86"/>
      <c r="R530" s="86"/>
      <c r="S530" s="86"/>
      <c r="T530" s="86"/>
    </row>
    <row r="531">
      <c r="N531" s="86"/>
      <c r="O531" s="86"/>
      <c r="P531" s="86"/>
      <c r="Q531" s="86"/>
      <c r="R531" s="86"/>
      <c r="S531" s="86"/>
      <c r="T531" s="86"/>
    </row>
    <row r="532">
      <c r="N532" s="86"/>
      <c r="O532" s="86"/>
      <c r="P532" s="86"/>
      <c r="Q532" s="86"/>
      <c r="R532" s="86"/>
      <c r="S532" s="86"/>
      <c r="T532" s="86"/>
    </row>
    <row r="533">
      <c r="N533" s="86"/>
      <c r="O533" s="86"/>
      <c r="P533" s="86"/>
      <c r="Q533" s="86"/>
      <c r="R533" s="86"/>
      <c r="S533" s="86"/>
      <c r="T533" s="86"/>
    </row>
    <row r="534">
      <c r="N534" s="86"/>
      <c r="O534" s="86"/>
      <c r="P534" s="86"/>
      <c r="Q534" s="86"/>
      <c r="R534" s="86"/>
      <c r="S534" s="86"/>
      <c r="T534" s="86"/>
    </row>
    <row r="535">
      <c r="N535" s="86"/>
      <c r="O535" s="86"/>
      <c r="P535" s="86"/>
      <c r="Q535" s="86"/>
      <c r="R535" s="86"/>
      <c r="S535" s="86"/>
      <c r="T535" s="86"/>
    </row>
    <row r="536">
      <c r="N536" s="86"/>
      <c r="O536" s="86"/>
      <c r="P536" s="86"/>
      <c r="Q536" s="86"/>
      <c r="R536" s="86"/>
      <c r="S536" s="86"/>
      <c r="T536" s="86"/>
    </row>
    <row r="537">
      <c r="N537" s="86"/>
      <c r="O537" s="86"/>
      <c r="P537" s="86"/>
      <c r="Q537" s="86"/>
      <c r="R537" s="86"/>
      <c r="S537" s="86"/>
      <c r="T537" s="86"/>
    </row>
    <row r="538">
      <c r="N538" s="86"/>
      <c r="O538" s="86"/>
      <c r="P538" s="86"/>
      <c r="Q538" s="86"/>
      <c r="R538" s="86"/>
      <c r="S538" s="86"/>
      <c r="T538" s="86"/>
    </row>
    <row r="539">
      <c r="N539" s="86"/>
      <c r="O539" s="86"/>
      <c r="P539" s="86"/>
      <c r="Q539" s="86"/>
      <c r="R539" s="86"/>
      <c r="S539" s="86"/>
      <c r="T539" s="86"/>
    </row>
    <row r="540">
      <c r="N540" s="86"/>
      <c r="O540" s="86"/>
      <c r="P540" s="86"/>
      <c r="Q540" s="86"/>
      <c r="R540" s="86"/>
      <c r="S540" s="86"/>
      <c r="T540" s="86"/>
    </row>
    <row r="541">
      <c r="N541" s="86"/>
      <c r="O541" s="86"/>
      <c r="P541" s="86"/>
      <c r="Q541" s="86"/>
      <c r="R541" s="86"/>
      <c r="S541" s="86"/>
      <c r="T541" s="86"/>
    </row>
    <row r="542">
      <c r="N542" s="86"/>
      <c r="O542" s="86"/>
      <c r="P542" s="86"/>
      <c r="Q542" s="86"/>
      <c r="R542" s="86"/>
      <c r="S542" s="86"/>
      <c r="T542" s="86"/>
    </row>
    <row r="543">
      <c r="N543" s="86"/>
      <c r="O543" s="86"/>
      <c r="P543" s="86"/>
      <c r="Q543" s="86"/>
      <c r="R543" s="86"/>
      <c r="S543" s="86"/>
      <c r="T543" s="86"/>
    </row>
    <row r="544">
      <c r="N544" s="86"/>
      <c r="O544" s="86"/>
      <c r="P544" s="86"/>
      <c r="Q544" s="86"/>
      <c r="R544" s="86"/>
      <c r="S544" s="86"/>
      <c r="T544" s="86"/>
    </row>
    <row r="545">
      <c r="N545" s="86"/>
      <c r="O545" s="86"/>
      <c r="P545" s="86"/>
      <c r="Q545" s="86"/>
      <c r="R545" s="86"/>
      <c r="S545" s="86"/>
      <c r="T545" s="86"/>
    </row>
    <row r="546">
      <c r="N546" s="86"/>
      <c r="O546" s="86"/>
      <c r="P546" s="86"/>
      <c r="Q546" s="86"/>
      <c r="R546" s="86"/>
      <c r="S546" s="86"/>
      <c r="T546" s="86"/>
    </row>
    <row r="547">
      <c r="N547" s="86"/>
      <c r="O547" s="86"/>
      <c r="P547" s="86"/>
      <c r="Q547" s="86"/>
      <c r="R547" s="86"/>
      <c r="S547" s="86"/>
      <c r="T547" s="86"/>
    </row>
    <row r="548">
      <c r="N548" s="86"/>
      <c r="O548" s="86"/>
      <c r="P548" s="86"/>
      <c r="Q548" s="86"/>
      <c r="R548" s="86"/>
      <c r="S548" s="86"/>
      <c r="T548" s="86"/>
    </row>
    <row r="549">
      <c r="N549" s="86"/>
      <c r="O549" s="86"/>
      <c r="P549" s="86"/>
      <c r="Q549" s="86"/>
      <c r="R549" s="86"/>
      <c r="S549" s="86"/>
      <c r="T549" s="86"/>
    </row>
    <row r="550">
      <c r="N550" s="86"/>
      <c r="O550" s="86"/>
      <c r="P550" s="86"/>
      <c r="Q550" s="86"/>
      <c r="R550" s="86"/>
      <c r="S550" s="86"/>
      <c r="T550" s="86"/>
    </row>
    <row r="551">
      <c r="N551" s="86"/>
      <c r="O551" s="86"/>
      <c r="P551" s="86"/>
      <c r="Q551" s="86"/>
      <c r="R551" s="86"/>
      <c r="S551" s="86"/>
      <c r="T551" s="86"/>
    </row>
    <row r="552">
      <c r="N552" s="86"/>
      <c r="O552" s="86"/>
      <c r="P552" s="86"/>
      <c r="Q552" s="86"/>
      <c r="R552" s="86"/>
      <c r="S552" s="86"/>
      <c r="T552" s="86"/>
    </row>
    <row r="553">
      <c r="N553" s="86"/>
      <c r="O553" s="86"/>
      <c r="P553" s="86"/>
      <c r="Q553" s="86"/>
      <c r="R553" s="86"/>
      <c r="S553" s="86"/>
      <c r="T553" s="86"/>
    </row>
    <row r="554">
      <c r="N554" s="86"/>
      <c r="O554" s="86"/>
      <c r="P554" s="86"/>
      <c r="Q554" s="86"/>
      <c r="R554" s="86"/>
      <c r="S554" s="86"/>
      <c r="T554" s="86"/>
    </row>
    <row r="555">
      <c r="N555" s="86"/>
      <c r="O555" s="86"/>
      <c r="P555" s="86"/>
      <c r="Q555" s="86"/>
      <c r="R555" s="86"/>
      <c r="S555" s="86"/>
      <c r="T555" s="86"/>
    </row>
    <row r="556">
      <c r="N556" s="86"/>
      <c r="O556" s="86"/>
      <c r="P556" s="86"/>
      <c r="Q556" s="86"/>
      <c r="R556" s="86"/>
      <c r="S556" s="86"/>
      <c r="T556" s="86"/>
    </row>
    <row r="557">
      <c r="N557" s="86"/>
      <c r="O557" s="86"/>
      <c r="P557" s="86"/>
      <c r="Q557" s="86"/>
      <c r="R557" s="86"/>
      <c r="S557" s="86"/>
      <c r="T557" s="86"/>
    </row>
    <row r="558">
      <c r="N558" s="86"/>
      <c r="O558" s="86"/>
      <c r="P558" s="86"/>
      <c r="Q558" s="86"/>
      <c r="R558" s="86"/>
      <c r="S558" s="86"/>
      <c r="T558" s="86"/>
    </row>
    <row r="559">
      <c r="N559" s="86"/>
      <c r="O559" s="86"/>
      <c r="P559" s="86"/>
      <c r="Q559" s="86"/>
      <c r="R559" s="86"/>
      <c r="S559" s="86"/>
      <c r="T559" s="86"/>
    </row>
    <row r="560">
      <c r="N560" s="86"/>
      <c r="O560" s="86"/>
      <c r="P560" s="86"/>
      <c r="Q560" s="86"/>
      <c r="R560" s="86"/>
      <c r="S560" s="86"/>
      <c r="T560" s="86"/>
    </row>
    <row r="561">
      <c r="N561" s="86"/>
      <c r="O561" s="86"/>
      <c r="P561" s="86"/>
      <c r="Q561" s="86"/>
      <c r="R561" s="86"/>
      <c r="S561" s="86"/>
      <c r="T561" s="86"/>
    </row>
    <row r="562">
      <c r="N562" s="86"/>
      <c r="O562" s="86"/>
      <c r="P562" s="86"/>
      <c r="Q562" s="86"/>
      <c r="R562" s="86"/>
      <c r="S562" s="86"/>
      <c r="T562" s="86"/>
    </row>
    <row r="563">
      <c r="N563" s="86"/>
      <c r="O563" s="86"/>
      <c r="P563" s="86"/>
      <c r="Q563" s="86"/>
      <c r="R563" s="86"/>
      <c r="S563" s="86"/>
      <c r="T563" s="86"/>
    </row>
    <row r="564">
      <c r="N564" s="86"/>
      <c r="O564" s="86"/>
      <c r="P564" s="86"/>
      <c r="Q564" s="86"/>
      <c r="R564" s="86"/>
      <c r="S564" s="86"/>
      <c r="T564" s="86"/>
    </row>
    <row r="565">
      <c r="N565" s="86"/>
      <c r="O565" s="86"/>
      <c r="P565" s="86"/>
      <c r="Q565" s="86"/>
      <c r="R565" s="86"/>
      <c r="S565" s="86"/>
      <c r="T565" s="86"/>
    </row>
    <row r="566">
      <c r="N566" s="86"/>
      <c r="O566" s="86"/>
      <c r="P566" s="86"/>
      <c r="Q566" s="86"/>
      <c r="R566" s="86"/>
      <c r="S566" s="86"/>
      <c r="T566" s="86"/>
    </row>
    <row r="567">
      <c r="N567" s="86"/>
      <c r="O567" s="86"/>
      <c r="P567" s="86"/>
      <c r="Q567" s="86"/>
      <c r="R567" s="86"/>
      <c r="S567" s="86"/>
      <c r="T567" s="86"/>
    </row>
    <row r="568">
      <c r="N568" s="86"/>
      <c r="O568" s="86"/>
      <c r="P568" s="86"/>
      <c r="Q568" s="86"/>
      <c r="R568" s="86"/>
      <c r="S568" s="86"/>
      <c r="T568" s="86"/>
    </row>
    <row r="569">
      <c r="N569" s="86"/>
      <c r="O569" s="86"/>
      <c r="P569" s="86"/>
      <c r="Q569" s="86"/>
      <c r="R569" s="86"/>
      <c r="S569" s="86"/>
      <c r="T569" s="86"/>
    </row>
    <row r="570">
      <c r="N570" s="86"/>
      <c r="O570" s="86"/>
      <c r="P570" s="86"/>
      <c r="Q570" s="86"/>
      <c r="R570" s="86"/>
      <c r="S570" s="86"/>
      <c r="T570" s="86"/>
    </row>
    <row r="571">
      <c r="N571" s="86"/>
      <c r="O571" s="86"/>
      <c r="P571" s="86"/>
      <c r="Q571" s="86"/>
      <c r="R571" s="86"/>
      <c r="S571" s="86"/>
      <c r="T571" s="86"/>
    </row>
    <row r="572">
      <c r="N572" s="86"/>
      <c r="O572" s="86"/>
      <c r="P572" s="86"/>
      <c r="Q572" s="86"/>
      <c r="R572" s="86"/>
      <c r="S572" s="86"/>
      <c r="T572" s="86"/>
    </row>
    <row r="573">
      <c r="N573" s="86"/>
      <c r="O573" s="86"/>
      <c r="P573" s="86"/>
      <c r="Q573" s="86"/>
      <c r="R573" s="86"/>
      <c r="S573" s="86"/>
      <c r="T573" s="86"/>
    </row>
    <row r="574">
      <c r="N574" s="86"/>
      <c r="O574" s="86"/>
      <c r="P574" s="86"/>
      <c r="Q574" s="86"/>
      <c r="R574" s="86"/>
      <c r="S574" s="86"/>
      <c r="T574" s="86"/>
    </row>
    <row r="575">
      <c r="N575" s="86"/>
      <c r="O575" s="86"/>
      <c r="P575" s="86"/>
      <c r="Q575" s="86"/>
      <c r="R575" s="86"/>
      <c r="S575" s="86"/>
      <c r="T575" s="86"/>
    </row>
    <row r="576">
      <c r="N576" s="86"/>
      <c r="O576" s="86"/>
      <c r="P576" s="86"/>
      <c r="Q576" s="86"/>
      <c r="R576" s="86"/>
      <c r="S576" s="86"/>
      <c r="T576" s="86"/>
    </row>
    <row r="577">
      <c r="N577" s="86"/>
      <c r="O577" s="86"/>
      <c r="P577" s="86"/>
      <c r="Q577" s="86"/>
      <c r="R577" s="86"/>
      <c r="S577" s="86"/>
      <c r="T577" s="86"/>
    </row>
    <row r="578">
      <c r="N578" s="86"/>
      <c r="O578" s="86"/>
      <c r="P578" s="86"/>
      <c r="Q578" s="86"/>
      <c r="R578" s="86"/>
      <c r="S578" s="86"/>
      <c r="T578" s="86"/>
    </row>
    <row r="579">
      <c r="N579" s="86"/>
      <c r="O579" s="86"/>
      <c r="P579" s="86"/>
      <c r="Q579" s="86"/>
      <c r="R579" s="86"/>
      <c r="S579" s="86"/>
      <c r="T579" s="86"/>
    </row>
    <row r="580">
      <c r="N580" s="86"/>
      <c r="O580" s="86"/>
      <c r="P580" s="86"/>
      <c r="Q580" s="86"/>
      <c r="R580" s="86"/>
      <c r="S580" s="86"/>
      <c r="T580" s="86"/>
    </row>
    <row r="581">
      <c r="N581" s="86"/>
      <c r="O581" s="86"/>
      <c r="P581" s="86"/>
      <c r="Q581" s="86"/>
      <c r="R581" s="86"/>
      <c r="S581" s="86"/>
      <c r="T581" s="86"/>
    </row>
    <row r="582">
      <c r="N582" s="86"/>
      <c r="O582" s="86"/>
      <c r="P582" s="86"/>
      <c r="Q582" s="86"/>
      <c r="R582" s="86"/>
      <c r="S582" s="86"/>
      <c r="T582" s="86"/>
    </row>
    <row r="583">
      <c r="N583" s="86"/>
      <c r="O583" s="86"/>
      <c r="P583" s="86"/>
      <c r="Q583" s="86"/>
      <c r="R583" s="86"/>
      <c r="S583" s="86"/>
      <c r="T583" s="86"/>
    </row>
    <row r="584">
      <c r="N584" s="86"/>
      <c r="O584" s="86"/>
      <c r="P584" s="86"/>
      <c r="Q584" s="86"/>
      <c r="R584" s="86"/>
      <c r="S584" s="86"/>
      <c r="T584" s="86"/>
    </row>
    <row r="585">
      <c r="N585" s="86"/>
      <c r="O585" s="86"/>
      <c r="P585" s="86"/>
      <c r="Q585" s="86"/>
      <c r="R585" s="86"/>
      <c r="S585" s="86"/>
      <c r="T585" s="86"/>
    </row>
    <row r="586">
      <c r="N586" s="86"/>
      <c r="O586" s="86"/>
      <c r="P586" s="86"/>
      <c r="Q586" s="86"/>
      <c r="R586" s="86"/>
      <c r="S586" s="86"/>
      <c r="T586" s="86"/>
    </row>
    <row r="587">
      <c r="N587" s="86"/>
      <c r="O587" s="86"/>
      <c r="P587" s="86"/>
      <c r="Q587" s="86"/>
      <c r="R587" s="86"/>
      <c r="S587" s="86"/>
      <c r="T587" s="86"/>
    </row>
    <row r="588">
      <c r="N588" s="86"/>
      <c r="O588" s="86"/>
      <c r="P588" s="86"/>
      <c r="Q588" s="86"/>
      <c r="R588" s="86"/>
      <c r="S588" s="86"/>
      <c r="T588" s="86"/>
    </row>
    <row r="589">
      <c r="N589" s="86"/>
      <c r="O589" s="86"/>
      <c r="P589" s="86"/>
      <c r="Q589" s="86"/>
      <c r="R589" s="86"/>
      <c r="S589" s="86"/>
      <c r="T589" s="86"/>
    </row>
    <row r="590">
      <c r="N590" s="86"/>
      <c r="O590" s="86"/>
      <c r="P590" s="86"/>
      <c r="Q590" s="86"/>
      <c r="R590" s="86"/>
      <c r="S590" s="86"/>
      <c r="T590" s="86"/>
    </row>
    <row r="591">
      <c r="N591" s="86"/>
      <c r="O591" s="86"/>
      <c r="P591" s="86"/>
      <c r="Q591" s="86"/>
      <c r="R591" s="86"/>
      <c r="S591" s="86"/>
      <c r="T591" s="86"/>
    </row>
    <row r="592">
      <c r="N592" s="86"/>
      <c r="O592" s="86"/>
      <c r="P592" s="86"/>
      <c r="Q592" s="86"/>
      <c r="R592" s="86"/>
      <c r="S592" s="86"/>
      <c r="T592" s="86"/>
    </row>
    <row r="593">
      <c r="N593" s="86"/>
      <c r="O593" s="86"/>
      <c r="P593" s="86"/>
      <c r="Q593" s="86"/>
      <c r="R593" s="86"/>
      <c r="S593" s="86"/>
      <c r="T593" s="86"/>
    </row>
    <row r="594">
      <c r="N594" s="86"/>
      <c r="O594" s="86"/>
      <c r="P594" s="86"/>
      <c r="Q594" s="86"/>
      <c r="R594" s="86"/>
      <c r="S594" s="86"/>
      <c r="T594" s="86"/>
    </row>
    <row r="595">
      <c r="N595" s="86"/>
      <c r="O595" s="86"/>
      <c r="P595" s="86"/>
      <c r="Q595" s="86"/>
      <c r="R595" s="86"/>
      <c r="S595" s="86"/>
      <c r="T595" s="86"/>
    </row>
    <row r="596">
      <c r="N596" s="86"/>
      <c r="O596" s="86"/>
      <c r="P596" s="86"/>
      <c r="Q596" s="86"/>
      <c r="R596" s="86"/>
      <c r="S596" s="86"/>
      <c r="T596" s="86"/>
    </row>
    <row r="597">
      <c r="N597" s="86"/>
      <c r="O597" s="86"/>
      <c r="P597" s="86"/>
      <c r="Q597" s="86"/>
      <c r="R597" s="86"/>
      <c r="S597" s="86"/>
      <c r="T597" s="86"/>
    </row>
    <row r="598">
      <c r="N598" s="86"/>
      <c r="O598" s="86"/>
      <c r="P598" s="86"/>
      <c r="Q598" s="86"/>
      <c r="R598" s="86"/>
      <c r="S598" s="86"/>
      <c r="T598" s="86"/>
    </row>
    <row r="599">
      <c r="N599" s="86"/>
      <c r="O599" s="86"/>
      <c r="P599" s="86"/>
      <c r="Q599" s="86"/>
      <c r="R599" s="86"/>
      <c r="S599" s="86"/>
      <c r="T599" s="86"/>
    </row>
    <row r="600">
      <c r="N600" s="86"/>
      <c r="O600" s="86"/>
      <c r="P600" s="86"/>
      <c r="Q600" s="86"/>
      <c r="R600" s="86"/>
      <c r="S600" s="86"/>
      <c r="T600" s="86"/>
    </row>
    <row r="601">
      <c r="N601" s="86"/>
      <c r="O601" s="86"/>
      <c r="P601" s="86"/>
      <c r="Q601" s="86"/>
      <c r="R601" s="86"/>
      <c r="S601" s="86"/>
      <c r="T601" s="86"/>
    </row>
    <row r="602">
      <c r="N602" s="86"/>
      <c r="O602" s="86"/>
      <c r="P602" s="86"/>
      <c r="Q602" s="86"/>
      <c r="R602" s="86"/>
      <c r="S602" s="86"/>
      <c r="T602" s="86"/>
    </row>
    <row r="603">
      <c r="N603" s="86"/>
      <c r="O603" s="86"/>
      <c r="P603" s="86"/>
      <c r="Q603" s="86"/>
      <c r="R603" s="86"/>
      <c r="S603" s="86"/>
      <c r="T603" s="86"/>
    </row>
    <row r="604">
      <c r="N604" s="86"/>
      <c r="O604" s="86"/>
      <c r="P604" s="86"/>
      <c r="Q604" s="86"/>
      <c r="R604" s="86"/>
      <c r="S604" s="86"/>
      <c r="T604" s="86"/>
    </row>
    <row r="605">
      <c r="N605" s="86"/>
      <c r="O605" s="86"/>
      <c r="P605" s="86"/>
      <c r="Q605" s="86"/>
      <c r="R605" s="86"/>
      <c r="S605" s="86"/>
      <c r="T605" s="86"/>
    </row>
    <row r="606">
      <c r="N606" s="86"/>
      <c r="O606" s="86"/>
      <c r="P606" s="86"/>
      <c r="Q606" s="86"/>
      <c r="R606" s="86"/>
      <c r="S606" s="86"/>
      <c r="T606" s="86"/>
    </row>
    <row r="607">
      <c r="N607" s="86"/>
      <c r="O607" s="86"/>
      <c r="P607" s="86"/>
      <c r="Q607" s="86"/>
      <c r="R607" s="86"/>
      <c r="S607" s="86"/>
      <c r="T607" s="86"/>
    </row>
    <row r="608">
      <c r="N608" s="86"/>
      <c r="O608" s="86"/>
      <c r="P608" s="86"/>
      <c r="Q608" s="86"/>
      <c r="R608" s="86"/>
      <c r="S608" s="86"/>
      <c r="T608" s="86"/>
    </row>
    <row r="609">
      <c r="N609" s="86"/>
      <c r="O609" s="86"/>
      <c r="P609" s="86"/>
      <c r="Q609" s="86"/>
      <c r="R609" s="86"/>
      <c r="S609" s="86"/>
      <c r="T609" s="86"/>
    </row>
    <row r="610">
      <c r="N610" s="86"/>
      <c r="O610" s="86"/>
      <c r="P610" s="86"/>
      <c r="Q610" s="86"/>
      <c r="R610" s="86"/>
      <c r="S610" s="86"/>
      <c r="T610" s="86"/>
    </row>
    <row r="611">
      <c r="N611" s="86"/>
      <c r="O611" s="86"/>
      <c r="P611" s="86"/>
      <c r="Q611" s="86"/>
      <c r="R611" s="86"/>
      <c r="S611" s="86"/>
      <c r="T611" s="86"/>
    </row>
    <row r="612">
      <c r="N612" s="86"/>
      <c r="O612" s="86"/>
      <c r="P612" s="86"/>
      <c r="Q612" s="86"/>
      <c r="R612" s="86"/>
      <c r="S612" s="86"/>
      <c r="T612" s="86"/>
    </row>
    <row r="613">
      <c r="N613" s="86"/>
      <c r="O613" s="86"/>
      <c r="P613" s="86"/>
      <c r="Q613" s="86"/>
      <c r="R613" s="86"/>
      <c r="S613" s="86"/>
      <c r="T613" s="86"/>
    </row>
    <row r="614">
      <c r="N614" s="86"/>
      <c r="O614" s="86"/>
      <c r="P614" s="86"/>
      <c r="Q614" s="86"/>
      <c r="R614" s="86"/>
      <c r="S614" s="86"/>
      <c r="T614" s="86"/>
    </row>
    <row r="615">
      <c r="N615" s="86"/>
      <c r="O615" s="86"/>
      <c r="P615" s="86"/>
      <c r="Q615" s="86"/>
      <c r="R615" s="86"/>
      <c r="S615" s="86"/>
      <c r="T615" s="86"/>
    </row>
    <row r="616">
      <c r="N616" s="86"/>
      <c r="O616" s="86"/>
      <c r="P616" s="86"/>
      <c r="Q616" s="86"/>
      <c r="R616" s="86"/>
      <c r="S616" s="86"/>
      <c r="T616" s="86"/>
    </row>
    <row r="617">
      <c r="N617" s="86"/>
      <c r="O617" s="86"/>
      <c r="P617" s="86"/>
      <c r="Q617" s="86"/>
      <c r="R617" s="86"/>
      <c r="S617" s="86"/>
      <c r="T617" s="86"/>
    </row>
    <row r="618">
      <c r="N618" s="86"/>
      <c r="O618" s="86"/>
      <c r="P618" s="86"/>
      <c r="Q618" s="86"/>
      <c r="R618" s="86"/>
      <c r="S618" s="86"/>
      <c r="T618" s="86"/>
    </row>
    <row r="619">
      <c r="N619" s="86"/>
      <c r="O619" s="86"/>
      <c r="P619" s="86"/>
      <c r="Q619" s="86"/>
      <c r="R619" s="86"/>
      <c r="S619" s="86"/>
      <c r="T619" s="86"/>
    </row>
    <row r="620">
      <c r="N620" s="86"/>
      <c r="O620" s="86"/>
      <c r="P620" s="86"/>
      <c r="Q620" s="86"/>
      <c r="R620" s="86"/>
      <c r="S620" s="86"/>
      <c r="T620" s="86"/>
    </row>
    <row r="621">
      <c r="N621" s="86"/>
      <c r="O621" s="86"/>
      <c r="P621" s="86"/>
      <c r="Q621" s="86"/>
      <c r="R621" s="86"/>
      <c r="S621" s="86"/>
      <c r="T621" s="86"/>
    </row>
    <row r="622">
      <c r="N622" s="86"/>
      <c r="O622" s="86"/>
      <c r="P622" s="86"/>
      <c r="Q622" s="86"/>
      <c r="R622" s="86"/>
      <c r="S622" s="86"/>
      <c r="T622" s="86"/>
    </row>
    <row r="623">
      <c r="N623" s="86"/>
      <c r="O623" s="86"/>
      <c r="P623" s="86"/>
      <c r="Q623" s="86"/>
      <c r="R623" s="86"/>
      <c r="S623" s="86"/>
      <c r="T623" s="86"/>
    </row>
    <row r="624">
      <c r="N624" s="86"/>
      <c r="O624" s="86"/>
      <c r="P624" s="86"/>
      <c r="Q624" s="86"/>
      <c r="R624" s="86"/>
      <c r="S624" s="86"/>
      <c r="T624" s="86"/>
    </row>
    <row r="625">
      <c r="N625" s="86"/>
      <c r="O625" s="86"/>
      <c r="P625" s="86"/>
      <c r="Q625" s="86"/>
      <c r="R625" s="86"/>
      <c r="S625" s="86"/>
      <c r="T625" s="86"/>
    </row>
    <row r="626">
      <c r="N626" s="86"/>
      <c r="O626" s="86"/>
      <c r="P626" s="86"/>
      <c r="Q626" s="86"/>
      <c r="R626" s="86"/>
      <c r="S626" s="86"/>
      <c r="T626" s="86"/>
    </row>
    <row r="627">
      <c r="N627" s="86"/>
      <c r="O627" s="86"/>
      <c r="P627" s="86"/>
      <c r="Q627" s="86"/>
      <c r="R627" s="86"/>
      <c r="S627" s="86"/>
      <c r="T627" s="86"/>
    </row>
    <row r="628">
      <c r="N628" s="86"/>
      <c r="O628" s="86"/>
      <c r="P628" s="86"/>
      <c r="Q628" s="86"/>
      <c r="R628" s="86"/>
      <c r="S628" s="86"/>
      <c r="T628" s="86"/>
    </row>
    <row r="629">
      <c r="N629" s="86"/>
      <c r="O629" s="86"/>
      <c r="P629" s="86"/>
      <c r="Q629" s="86"/>
      <c r="R629" s="86"/>
      <c r="S629" s="86"/>
      <c r="T629" s="86"/>
    </row>
    <row r="630">
      <c r="N630" s="86"/>
      <c r="O630" s="86"/>
      <c r="P630" s="86"/>
      <c r="Q630" s="86"/>
      <c r="R630" s="86"/>
      <c r="S630" s="86"/>
      <c r="T630" s="86"/>
    </row>
    <row r="631">
      <c r="N631" s="86"/>
      <c r="O631" s="86"/>
      <c r="P631" s="86"/>
      <c r="Q631" s="86"/>
      <c r="R631" s="86"/>
      <c r="S631" s="86"/>
      <c r="T631" s="86"/>
    </row>
    <row r="632">
      <c r="N632" s="86"/>
      <c r="O632" s="86"/>
      <c r="P632" s="86"/>
      <c r="Q632" s="86"/>
      <c r="R632" s="86"/>
      <c r="S632" s="86"/>
      <c r="T632" s="86"/>
    </row>
    <row r="633">
      <c r="N633" s="86"/>
      <c r="O633" s="86"/>
      <c r="P633" s="86"/>
      <c r="Q633" s="86"/>
      <c r="R633" s="86"/>
      <c r="S633" s="86"/>
      <c r="T633" s="86"/>
    </row>
    <row r="634">
      <c r="N634" s="86"/>
      <c r="O634" s="86"/>
      <c r="P634" s="86"/>
      <c r="Q634" s="86"/>
      <c r="R634" s="86"/>
      <c r="S634" s="86"/>
      <c r="T634" s="86"/>
    </row>
    <row r="635">
      <c r="N635" s="86"/>
      <c r="O635" s="86"/>
      <c r="P635" s="86"/>
      <c r="Q635" s="86"/>
      <c r="R635" s="86"/>
      <c r="S635" s="86"/>
      <c r="T635" s="86"/>
    </row>
    <row r="636">
      <c r="N636" s="86"/>
      <c r="O636" s="86"/>
      <c r="P636" s="86"/>
      <c r="Q636" s="86"/>
      <c r="R636" s="86"/>
      <c r="S636" s="86"/>
      <c r="T636" s="86"/>
    </row>
    <row r="637">
      <c r="N637" s="86"/>
      <c r="O637" s="86"/>
      <c r="P637" s="86"/>
      <c r="Q637" s="86"/>
      <c r="R637" s="86"/>
      <c r="S637" s="86"/>
      <c r="T637" s="86"/>
    </row>
    <row r="638">
      <c r="N638" s="86"/>
      <c r="O638" s="86"/>
      <c r="P638" s="86"/>
      <c r="Q638" s="86"/>
      <c r="R638" s="86"/>
      <c r="S638" s="86"/>
      <c r="T638" s="86"/>
    </row>
    <row r="639">
      <c r="N639" s="86"/>
      <c r="O639" s="86"/>
      <c r="P639" s="86"/>
      <c r="Q639" s="86"/>
      <c r="R639" s="86"/>
      <c r="S639" s="86"/>
      <c r="T639" s="86"/>
    </row>
    <row r="640">
      <c r="N640" s="86"/>
      <c r="O640" s="86"/>
      <c r="P640" s="86"/>
      <c r="Q640" s="86"/>
      <c r="R640" s="86"/>
      <c r="S640" s="86"/>
      <c r="T640" s="86"/>
    </row>
    <row r="641">
      <c r="N641" s="86"/>
      <c r="O641" s="86"/>
      <c r="P641" s="86"/>
      <c r="Q641" s="86"/>
      <c r="R641" s="86"/>
      <c r="S641" s="86"/>
      <c r="T641" s="86"/>
    </row>
    <row r="642">
      <c r="N642" s="86"/>
      <c r="O642" s="86"/>
      <c r="P642" s="86"/>
      <c r="Q642" s="86"/>
      <c r="R642" s="86"/>
      <c r="S642" s="86"/>
      <c r="T642" s="86"/>
    </row>
    <row r="643">
      <c r="N643" s="86"/>
      <c r="O643" s="86"/>
      <c r="P643" s="86"/>
      <c r="Q643" s="86"/>
      <c r="R643" s="86"/>
      <c r="S643" s="86"/>
      <c r="T643" s="86"/>
    </row>
    <row r="644">
      <c r="N644" s="86"/>
      <c r="O644" s="86"/>
      <c r="P644" s="86"/>
      <c r="Q644" s="86"/>
      <c r="R644" s="86"/>
      <c r="S644" s="86"/>
      <c r="T644" s="86"/>
    </row>
    <row r="645">
      <c r="N645" s="86"/>
      <c r="O645" s="86"/>
      <c r="P645" s="86"/>
      <c r="Q645" s="86"/>
      <c r="R645" s="86"/>
      <c r="S645" s="86"/>
      <c r="T645" s="86"/>
    </row>
    <row r="646">
      <c r="N646" s="86"/>
      <c r="O646" s="86"/>
      <c r="P646" s="86"/>
      <c r="Q646" s="86"/>
      <c r="R646" s="86"/>
      <c r="S646" s="86"/>
      <c r="T646" s="86"/>
    </row>
    <row r="647">
      <c r="N647" s="86"/>
      <c r="O647" s="86"/>
      <c r="P647" s="86"/>
      <c r="Q647" s="86"/>
      <c r="R647" s="86"/>
      <c r="S647" s="86"/>
      <c r="T647" s="86"/>
    </row>
    <row r="648">
      <c r="N648" s="86"/>
      <c r="O648" s="86"/>
      <c r="P648" s="86"/>
      <c r="Q648" s="86"/>
      <c r="R648" s="86"/>
      <c r="S648" s="86"/>
      <c r="T648" s="86"/>
    </row>
    <row r="649">
      <c r="N649" s="86"/>
      <c r="O649" s="86"/>
      <c r="P649" s="86"/>
      <c r="Q649" s="86"/>
      <c r="R649" s="86"/>
      <c r="S649" s="86"/>
      <c r="T649" s="86"/>
    </row>
    <row r="650">
      <c r="N650" s="86"/>
      <c r="O650" s="86"/>
      <c r="P650" s="86"/>
      <c r="Q650" s="86"/>
      <c r="R650" s="86"/>
      <c r="S650" s="86"/>
      <c r="T650" s="86"/>
    </row>
    <row r="651">
      <c r="N651" s="86"/>
      <c r="O651" s="86"/>
      <c r="P651" s="86"/>
      <c r="Q651" s="86"/>
      <c r="R651" s="86"/>
      <c r="S651" s="86"/>
      <c r="T651" s="86"/>
    </row>
    <row r="652">
      <c r="N652" s="86"/>
      <c r="O652" s="86"/>
      <c r="P652" s="86"/>
      <c r="Q652" s="86"/>
      <c r="R652" s="86"/>
      <c r="S652" s="86"/>
      <c r="T652" s="86"/>
    </row>
    <row r="653">
      <c r="N653" s="86"/>
      <c r="O653" s="86"/>
      <c r="P653" s="86"/>
      <c r="Q653" s="86"/>
      <c r="R653" s="86"/>
      <c r="S653" s="86"/>
      <c r="T653" s="86"/>
    </row>
    <row r="654">
      <c r="N654" s="86"/>
      <c r="O654" s="86"/>
      <c r="P654" s="86"/>
      <c r="Q654" s="86"/>
      <c r="R654" s="86"/>
      <c r="S654" s="86"/>
      <c r="T654" s="86"/>
    </row>
    <row r="655">
      <c r="N655" s="86"/>
      <c r="O655" s="86"/>
      <c r="P655" s="86"/>
      <c r="Q655" s="86"/>
      <c r="R655" s="86"/>
      <c r="S655" s="86"/>
      <c r="T655" s="86"/>
    </row>
    <row r="656">
      <c r="N656" s="86"/>
      <c r="O656" s="86"/>
      <c r="P656" s="86"/>
      <c r="Q656" s="86"/>
      <c r="R656" s="86"/>
      <c r="S656" s="86"/>
      <c r="T656" s="86"/>
    </row>
    <row r="657">
      <c r="N657" s="86"/>
      <c r="O657" s="86"/>
      <c r="P657" s="86"/>
      <c r="Q657" s="86"/>
      <c r="R657" s="86"/>
      <c r="S657" s="86"/>
      <c r="T657" s="86"/>
    </row>
    <row r="658">
      <c r="N658" s="86"/>
      <c r="O658" s="86"/>
      <c r="P658" s="86"/>
      <c r="Q658" s="86"/>
      <c r="R658" s="86"/>
      <c r="S658" s="86"/>
      <c r="T658" s="86"/>
    </row>
    <row r="659">
      <c r="N659" s="86"/>
      <c r="O659" s="86"/>
      <c r="P659" s="86"/>
      <c r="Q659" s="86"/>
      <c r="R659" s="86"/>
      <c r="S659" s="86"/>
      <c r="T659" s="86"/>
    </row>
    <row r="660">
      <c r="N660" s="86"/>
      <c r="O660" s="86"/>
      <c r="P660" s="86"/>
      <c r="Q660" s="86"/>
      <c r="R660" s="86"/>
      <c r="S660" s="86"/>
      <c r="T660" s="86"/>
    </row>
    <row r="661">
      <c r="N661" s="86"/>
      <c r="O661" s="86"/>
      <c r="P661" s="86"/>
      <c r="Q661" s="86"/>
      <c r="R661" s="86"/>
      <c r="S661" s="86"/>
      <c r="T661" s="86"/>
    </row>
    <row r="662">
      <c r="N662" s="86"/>
      <c r="O662" s="86"/>
      <c r="P662" s="86"/>
      <c r="Q662" s="86"/>
      <c r="R662" s="86"/>
      <c r="S662" s="86"/>
      <c r="T662" s="86"/>
    </row>
    <row r="663">
      <c r="N663" s="86"/>
      <c r="O663" s="86"/>
      <c r="P663" s="86"/>
      <c r="Q663" s="86"/>
      <c r="R663" s="86"/>
      <c r="S663" s="86"/>
      <c r="T663" s="86"/>
    </row>
    <row r="664">
      <c r="N664" s="86"/>
      <c r="O664" s="86"/>
      <c r="P664" s="86"/>
      <c r="Q664" s="86"/>
      <c r="R664" s="86"/>
      <c r="S664" s="86"/>
      <c r="T664" s="86"/>
    </row>
    <row r="665">
      <c r="N665" s="86"/>
      <c r="O665" s="86"/>
      <c r="P665" s="86"/>
      <c r="Q665" s="86"/>
      <c r="R665" s="86"/>
      <c r="S665" s="86"/>
      <c r="T665" s="86"/>
    </row>
    <row r="666">
      <c r="N666" s="86"/>
      <c r="O666" s="86"/>
      <c r="P666" s="86"/>
      <c r="Q666" s="86"/>
      <c r="R666" s="86"/>
      <c r="S666" s="86"/>
      <c r="T666" s="86"/>
    </row>
    <row r="667">
      <c r="N667" s="86"/>
      <c r="O667" s="86"/>
      <c r="P667" s="86"/>
      <c r="Q667" s="86"/>
      <c r="R667" s="86"/>
      <c r="S667" s="86"/>
      <c r="T667" s="86"/>
    </row>
    <row r="668">
      <c r="N668" s="86"/>
      <c r="O668" s="86"/>
      <c r="P668" s="86"/>
      <c r="Q668" s="86"/>
      <c r="R668" s="86"/>
      <c r="S668" s="86"/>
      <c r="T668" s="86"/>
    </row>
    <row r="669">
      <c r="N669" s="86"/>
      <c r="O669" s="86"/>
      <c r="P669" s="86"/>
      <c r="Q669" s="86"/>
      <c r="R669" s="86"/>
      <c r="S669" s="86"/>
      <c r="T669" s="86"/>
    </row>
    <row r="670">
      <c r="N670" s="86"/>
      <c r="O670" s="86"/>
      <c r="P670" s="86"/>
      <c r="Q670" s="86"/>
      <c r="R670" s="86"/>
      <c r="S670" s="86"/>
      <c r="T670" s="86"/>
    </row>
    <row r="671">
      <c r="N671" s="86"/>
      <c r="O671" s="86"/>
      <c r="P671" s="86"/>
      <c r="Q671" s="86"/>
      <c r="R671" s="86"/>
      <c r="S671" s="86"/>
      <c r="T671" s="86"/>
    </row>
    <row r="672">
      <c r="N672" s="86"/>
      <c r="O672" s="86"/>
      <c r="P672" s="86"/>
      <c r="Q672" s="86"/>
      <c r="R672" s="86"/>
      <c r="S672" s="86"/>
      <c r="T672" s="86"/>
    </row>
    <row r="673">
      <c r="N673" s="86"/>
      <c r="O673" s="86"/>
      <c r="P673" s="86"/>
      <c r="Q673" s="86"/>
      <c r="R673" s="86"/>
      <c r="S673" s="86"/>
      <c r="T673" s="86"/>
    </row>
    <row r="674">
      <c r="N674" s="86"/>
      <c r="O674" s="86"/>
      <c r="P674" s="86"/>
      <c r="Q674" s="86"/>
      <c r="R674" s="86"/>
      <c r="S674" s="86"/>
      <c r="T674" s="86"/>
    </row>
    <row r="675">
      <c r="N675" s="86"/>
      <c r="O675" s="86"/>
      <c r="P675" s="86"/>
      <c r="Q675" s="86"/>
      <c r="R675" s="86"/>
      <c r="S675" s="86"/>
      <c r="T675" s="86"/>
    </row>
    <row r="676">
      <c r="N676" s="86"/>
      <c r="O676" s="86"/>
      <c r="P676" s="86"/>
      <c r="Q676" s="86"/>
      <c r="R676" s="86"/>
      <c r="S676" s="86"/>
      <c r="T676" s="86"/>
    </row>
    <row r="677">
      <c r="N677" s="86"/>
      <c r="O677" s="86"/>
      <c r="P677" s="86"/>
      <c r="Q677" s="86"/>
      <c r="R677" s="86"/>
      <c r="S677" s="86"/>
      <c r="T677" s="86"/>
    </row>
    <row r="678">
      <c r="N678" s="86"/>
      <c r="O678" s="86"/>
      <c r="P678" s="86"/>
      <c r="Q678" s="86"/>
      <c r="R678" s="86"/>
      <c r="S678" s="86"/>
      <c r="T678" s="86"/>
    </row>
    <row r="679">
      <c r="N679" s="86"/>
      <c r="O679" s="86"/>
      <c r="P679" s="86"/>
      <c r="Q679" s="86"/>
      <c r="R679" s="86"/>
      <c r="S679" s="86"/>
      <c r="T679" s="86"/>
    </row>
    <row r="680">
      <c r="N680" s="86"/>
      <c r="O680" s="86"/>
      <c r="P680" s="86"/>
      <c r="Q680" s="86"/>
      <c r="R680" s="86"/>
      <c r="S680" s="86"/>
      <c r="T680" s="86"/>
    </row>
    <row r="681">
      <c r="N681" s="86"/>
      <c r="O681" s="86"/>
      <c r="P681" s="86"/>
      <c r="Q681" s="86"/>
      <c r="R681" s="86"/>
      <c r="S681" s="86"/>
      <c r="T681" s="86"/>
    </row>
    <row r="682">
      <c r="N682" s="86"/>
      <c r="O682" s="86"/>
      <c r="P682" s="86"/>
      <c r="Q682" s="86"/>
      <c r="R682" s="86"/>
      <c r="S682" s="86"/>
      <c r="T682" s="86"/>
    </row>
    <row r="683">
      <c r="N683" s="86"/>
      <c r="O683" s="86"/>
      <c r="P683" s="86"/>
      <c r="Q683" s="86"/>
      <c r="R683" s="86"/>
      <c r="S683" s="86"/>
      <c r="T683" s="86"/>
    </row>
    <row r="684">
      <c r="N684" s="86"/>
      <c r="O684" s="86"/>
      <c r="P684" s="86"/>
      <c r="Q684" s="86"/>
      <c r="R684" s="86"/>
      <c r="S684" s="86"/>
      <c r="T684" s="86"/>
    </row>
    <row r="685">
      <c r="N685" s="86"/>
      <c r="O685" s="86"/>
      <c r="P685" s="86"/>
      <c r="Q685" s="86"/>
      <c r="R685" s="86"/>
      <c r="S685" s="86"/>
      <c r="T685" s="86"/>
    </row>
    <row r="686">
      <c r="N686" s="86"/>
      <c r="O686" s="86"/>
      <c r="P686" s="86"/>
      <c r="Q686" s="86"/>
      <c r="R686" s="86"/>
      <c r="S686" s="86"/>
      <c r="T686" s="86"/>
    </row>
    <row r="687">
      <c r="N687" s="86"/>
      <c r="O687" s="86"/>
      <c r="P687" s="86"/>
      <c r="Q687" s="86"/>
      <c r="R687" s="86"/>
      <c r="S687" s="86"/>
      <c r="T687" s="86"/>
    </row>
    <row r="688">
      <c r="N688" s="86"/>
      <c r="O688" s="86"/>
      <c r="P688" s="86"/>
      <c r="Q688" s="86"/>
      <c r="R688" s="86"/>
      <c r="S688" s="86"/>
      <c r="T688" s="86"/>
    </row>
    <row r="689">
      <c r="N689" s="86"/>
      <c r="O689" s="86"/>
      <c r="P689" s="86"/>
      <c r="Q689" s="86"/>
      <c r="R689" s="86"/>
      <c r="S689" s="86"/>
      <c r="T689" s="86"/>
    </row>
    <row r="690">
      <c r="N690" s="86"/>
      <c r="O690" s="86"/>
      <c r="P690" s="86"/>
      <c r="Q690" s="86"/>
      <c r="R690" s="86"/>
      <c r="S690" s="86"/>
      <c r="T690" s="86"/>
    </row>
    <row r="691">
      <c r="N691" s="86"/>
      <c r="O691" s="86"/>
      <c r="P691" s="86"/>
      <c r="Q691" s="86"/>
      <c r="R691" s="86"/>
      <c r="S691" s="86"/>
      <c r="T691" s="86"/>
    </row>
    <row r="692">
      <c r="N692" s="86"/>
      <c r="O692" s="86"/>
      <c r="P692" s="86"/>
      <c r="Q692" s="86"/>
      <c r="R692" s="86"/>
      <c r="S692" s="86"/>
      <c r="T692" s="86"/>
    </row>
    <row r="693">
      <c r="N693" s="86"/>
      <c r="O693" s="86"/>
      <c r="P693" s="86"/>
      <c r="Q693" s="86"/>
      <c r="R693" s="86"/>
      <c r="S693" s="86"/>
      <c r="T693" s="86"/>
    </row>
    <row r="694">
      <c r="N694" s="86"/>
      <c r="O694" s="86"/>
      <c r="P694" s="86"/>
      <c r="Q694" s="86"/>
      <c r="R694" s="86"/>
      <c r="S694" s="86"/>
      <c r="T694" s="86"/>
    </row>
    <row r="695">
      <c r="N695" s="86"/>
      <c r="O695" s="86"/>
      <c r="P695" s="86"/>
      <c r="Q695" s="86"/>
      <c r="R695" s="86"/>
      <c r="S695" s="86"/>
      <c r="T695" s="86"/>
    </row>
    <row r="696">
      <c r="N696" s="86"/>
      <c r="O696" s="86"/>
      <c r="P696" s="86"/>
      <c r="Q696" s="86"/>
      <c r="R696" s="86"/>
      <c r="S696" s="86"/>
      <c r="T696" s="86"/>
    </row>
    <row r="697">
      <c r="N697" s="86"/>
      <c r="O697" s="86"/>
      <c r="P697" s="86"/>
      <c r="Q697" s="86"/>
      <c r="R697" s="86"/>
      <c r="S697" s="86"/>
      <c r="T697" s="86"/>
    </row>
    <row r="698">
      <c r="N698" s="86"/>
      <c r="O698" s="86"/>
      <c r="P698" s="86"/>
      <c r="Q698" s="86"/>
      <c r="R698" s="86"/>
      <c r="S698" s="86"/>
      <c r="T698" s="86"/>
    </row>
    <row r="699">
      <c r="N699" s="86"/>
      <c r="O699" s="86"/>
      <c r="P699" s="86"/>
      <c r="Q699" s="86"/>
      <c r="R699" s="86"/>
      <c r="S699" s="86"/>
      <c r="T699" s="86"/>
    </row>
    <row r="700">
      <c r="N700" s="86"/>
      <c r="O700" s="86"/>
      <c r="P700" s="86"/>
      <c r="Q700" s="86"/>
      <c r="R700" s="86"/>
      <c r="S700" s="86"/>
      <c r="T700" s="86"/>
    </row>
    <row r="701">
      <c r="N701" s="86"/>
      <c r="O701" s="86"/>
      <c r="P701" s="86"/>
      <c r="Q701" s="86"/>
      <c r="R701" s="86"/>
      <c r="S701" s="86"/>
      <c r="T701" s="86"/>
    </row>
    <row r="702">
      <c r="N702" s="86"/>
      <c r="O702" s="86"/>
      <c r="P702" s="86"/>
      <c r="Q702" s="86"/>
      <c r="R702" s="86"/>
      <c r="S702" s="86"/>
      <c r="T702" s="86"/>
    </row>
    <row r="703">
      <c r="N703" s="86"/>
      <c r="O703" s="86"/>
      <c r="P703" s="86"/>
      <c r="Q703" s="86"/>
      <c r="R703" s="86"/>
      <c r="S703" s="86"/>
      <c r="T703" s="86"/>
    </row>
    <row r="704">
      <c r="N704" s="86"/>
      <c r="O704" s="86"/>
      <c r="P704" s="86"/>
      <c r="Q704" s="86"/>
      <c r="R704" s="86"/>
      <c r="S704" s="86"/>
      <c r="T704" s="86"/>
    </row>
    <row r="705">
      <c r="N705" s="86"/>
      <c r="O705" s="86"/>
      <c r="P705" s="86"/>
      <c r="Q705" s="86"/>
      <c r="R705" s="86"/>
      <c r="S705" s="86"/>
      <c r="T705" s="86"/>
    </row>
    <row r="706">
      <c r="N706" s="86"/>
      <c r="O706" s="86"/>
      <c r="P706" s="86"/>
      <c r="Q706" s="86"/>
      <c r="R706" s="86"/>
      <c r="S706" s="86"/>
      <c r="T706" s="86"/>
    </row>
    <row r="707">
      <c r="N707" s="86"/>
      <c r="O707" s="86"/>
      <c r="P707" s="86"/>
      <c r="Q707" s="86"/>
      <c r="R707" s="86"/>
      <c r="S707" s="86"/>
      <c r="T707" s="86"/>
    </row>
    <row r="708">
      <c r="N708" s="86"/>
      <c r="O708" s="86"/>
      <c r="P708" s="86"/>
      <c r="Q708" s="86"/>
      <c r="R708" s="86"/>
      <c r="S708" s="86"/>
      <c r="T708" s="86"/>
    </row>
    <row r="709">
      <c r="N709" s="86"/>
      <c r="O709" s="86"/>
      <c r="P709" s="86"/>
      <c r="Q709" s="86"/>
      <c r="R709" s="86"/>
      <c r="S709" s="86"/>
      <c r="T709" s="86"/>
    </row>
    <row r="710">
      <c r="N710" s="86"/>
      <c r="O710" s="86"/>
      <c r="P710" s="86"/>
      <c r="Q710" s="86"/>
      <c r="R710" s="86"/>
      <c r="S710" s="86"/>
      <c r="T710" s="86"/>
    </row>
    <row r="711">
      <c r="N711" s="86"/>
      <c r="O711" s="86"/>
      <c r="P711" s="86"/>
      <c r="Q711" s="86"/>
      <c r="R711" s="86"/>
      <c r="S711" s="86"/>
      <c r="T711" s="86"/>
    </row>
    <row r="712">
      <c r="N712" s="86"/>
      <c r="O712" s="86"/>
      <c r="P712" s="86"/>
      <c r="Q712" s="86"/>
      <c r="R712" s="86"/>
      <c r="S712" s="86"/>
      <c r="T712" s="86"/>
    </row>
    <row r="713">
      <c r="N713" s="86"/>
      <c r="O713" s="86"/>
      <c r="P713" s="86"/>
      <c r="Q713" s="86"/>
      <c r="R713" s="86"/>
      <c r="S713" s="86"/>
      <c r="T713" s="86"/>
    </row>
    <row r="714">
      <c r="N714" s="86"/>
      <c r="O714" s="86"/>
      <c r="P714" s="86"/>
      <c r="Q714" s="86"/>
      <c r="R714" s="86"/>
      <c r="S714" s="86"/>
      <c r="T714" s="86"/>
    </row>
    <row r="715">
      <c r="N715" s="86"/>
      <c r="O715" s="86"/>
      <c r="P715" s="86"/>
      <c r="Q715" s="86"/>
      <c r="R715" s="86"/>
      <c r="S715" s="86"/>
      <c r="T715" s="86"/>
    </row>
    <row r="716">
      <c r="N716" s="86"/>
      <c r="O716" s="86"/>
      <c r="P716" s="86"/>
      <c r="Q716" s="86"/>
      <c r="R716" s="86"/>
      <c r="S716" s="86"/>
      <c r="T716" s="86"/>
    </row>
    <row r="717">
      <c r="N717" s="86"/>
      <c r="O717" s="86"/>
      <c r="P717" s="86"/>
      <c r="Q717" s="86"/>
      <c r="R717" s="86"/>
      <c r="S717" s="86"/>
      <c r="T717" s="86"/>
    </row>
    <row r="718">
      <c r="N718" s="86"/>
      <c r="O718" s="86"/>
      <c r="P718" s="86"/>
      <c r="Q718" s="86"/>
      <c r="R718" s="86"/>
      <c r="S718" s="86"/>
      <c r="T718" s="86"/>
    </row>
    <row r="719">
      <c r="N719" s="86"/>
      <c r="O719" s="86"/>
      <c r="P719" s="86"/>
      <c r="Q719" s="86"/>
      <c r="R719" s="86"/>
      <c r="S719" s="86"/>
      <c r="T719" s="86"/>
    </row>
    <row r="720">
      <c r="N720" s="86"/>
      <c r="O720" s="86"/>
      <c r="P720" s="86"/>
      <c r="Q720" s="86"/>
      <c r="R720" s="86"/>
      <c r="S720" s="86"/>
      <c r="T720" s="86"/>
    </row>
    <row r="721">
      <c r="N721" s="86"/>
      <c r="O721" s="86"/>
      <c r="P721" s="86"/>
      <c r="Q721" s="86"/>
      <c r="R721" s="86"/>
      <c r="S721" s="86"/>
      <c r="T721" s="86"/>
    </row>
    <row r="722">
      <c r="N722" s="86"/>
      <c r="O722" s="86"/>
      <c r="P722" s="86"/>
      <c r="Q722" s="86"/>
      <c r="R722" s="86"/>
      <c r="S722" s="86"/>
      <c r="T722" s="86"/>
    </row>
    <row r="723">
      <c r="N723" s="86"/>
      <c r="O723" s="86"/>
      <c r="P723" s="86"/>
      <c r="Q723" s="86"/>
      <c r="R723" s="86"/>
      <c r="S723" s="86"/>
      <c r="T723" s="86"/>
    </row>
    <row r="724">
      <c r="N724" s="86"/>
      <c r="O724" s="86"/>
      <c r="P724" s="86"/>
      <c r="Q724" s="86"/>
      <c r="R724" s="86"/>
      <c r="S724" s="86"/>
      <c r="T724" s="86"/>
    </row>
    <row r="725">
      <c r="N725" s="86"/>
      <c r="O725" s="86"/>
      <c r="P725" s="86"/>
      <c r="Q725" s="86"/>
      <c r="R725" s="86"/>
      <c r="S725" s="86"/>
      <c r="T725" s="86"/>
    </row>
    <row r="726">
      <c r="N726" s="86"/>
      <c r="O726" s="86"/>
      <c r="P726" s="86"/>
      <c r="Q726" s="86"/>
      <c r="R726" s="86"/>
      <c r="S726" s="86"/>
      <c r="T726" s="86"/>
    </row>
    <row r="727">
      <c r="N727" s="86"/>
      <c r="O727" s="86"/>
      <c r="P727" s="86"/>
      <c r="Q727" s="86"/>
      <c r="R727" s="86"/>
      <c r="S727" s="86"/>
      <c r="T727" s="86"/>
    </row>
    <row r="728">
      <c r="N728" s="86"/>
      <c r="O728" s="86"/>
      <c r="P728" s="86"/>
      <c r="Q728" s="86"/>
      <c r="R728" s="86"/>
      <c r="S728" s="86"/>
      <c r="T728" s="86"/>
    </row>
    <row r="729">
      <c r="N729" s="86"/>
      <c r="O729" s="86"/>
      <c r="P729" s="86"/>
      <c r="Q729" s="86"/>
      <c r="R729" s="86"/>
      <c r="S729" s="86"/>
      <c r="T729" s="86"/>
    </row>
    <row r="730">
      <c r="N730" s="86"/>
      <c r="O730" s="86"/>
      <c r="P730" s="86"/>
      <c r="Q730" s="86"/>
      <c r="R730" s="86"/>
      <c r="S730" s="86"/>
      <c r="T730" s="86"/>
    </row>
    <row r="731">
      <c r="N731" s="86"/>
      <c r="O731" s="86"/>
      <c r="P731" s="86"/>
      <c r="Q731" s="86"/>
      <c r="R731" s="86"/>
      <c r="S731" s="86"/>
      <c r="T731" s="86"/>
    </row>
    <row r="732">
      <c r="N732" s="86"/>
      <c r="O732" s="86"/>
      <c r="P732" s="86"/>
      <c r="Q732" s="86"/>
      <c r="R732" s="86"/>
      <c r="S732" s="86"/>
      <c r="T732" s="86"/>
    </row>
    <row r="733">
      <c r="N733" s="86"/>
      <c r="O733" s="86"/>
      <c r="P733" s="86"/>
      <c r="Q733" s="86"/>
      <c r="R733" s="86"/>
      <c r="S733" s="86"/>
      <c r="T733" s="86"/>
    </row>
    <row r="734">
      <c r="N734" s="86"/>
      <c r="O734" s="86"/>
      <c r="P734" s="86"/>
      <c r="Q734" s="86"/>
      <c r="R734" s="86"/>
      <c r="S734" s="86"/>
      <c r="T734" s="86"/>
    </row>
    <row r="735">
      <c r="N735" s="86"/>
      <c r="O735" s="86"/>
      <c r="P735" s="86"/>
      <c r="Q735" s="86"/>
      <c r="R735" s="86"/>
      <c r="S735" s="86"/>
      <c r="T735" s="86"/>
    </row>
    <row r="736">
      <c r="N736" s="86"/>
      <c r="O736" s="86"/>
      <c r="P736" s="86"/>
      <c r="Q736" s="86"/>
      <c r="R736" s="86"/>
      <c r="S736" s="86"/>
      <c r="T736" s="86"/>
    </row>
    <row r="737">
      <c r="N737" s="86"/>
      <c r="O737" s="86"/>
      <c r="P737" s="86"/>
      <c r="Q737" s="86"/>
      <c r="R737" s="86"/>
      <c r="S737" s="86"/>
      <c r="T737" s="86"/>
    </row>
    <row r="738">
      <c r="N738" s="86"/>
      <c r="O738" s="86"/>
      <c r="P738" s="86"/>
      <c r="Q738" s="86"/>
      <c r="R738" s="86"/>
      <c r="S738" s="86"/>
      <c r="T738" s="86"/>
    </row>
    <row r="739">
      <c r="N739" s="86"/>
      <c r="O739" s="86"/>
      <c r="P739" s="86"/>
      <c r="Q739" s="86"/>
      <c r="R739" s="86"/>
      <c r="S739" s="86"/>
      <c r="T739" s="86"/>
    </row>
    <row r="740">
      <c r="N740" s="86"/>
      <c r="O740" s="86"/>
      <c r="P740" s="86"/>
      <c r="Q740" s="86"/>
      <c r="R740" s="86"/>
      <c r="S740" s="86"/>
      <c r="T740" s="86"/>
    </row>
    <row r="741">
      <c r="N741" s="86"/>
      <c r="O741" s="86"/>
      <c r="P741" s="86"/>
      <c r="Q741" s="86"/>
      <c r="R741" s="86"/>
      <c r="S741" s="86"/>
      <c r="T741" s="86"/>
    </row>
    <row r="742">
      <c r="N742" s="86"/>
      <c r="O742" s="86"/>
      <c r="P742" s="86"/>
      <c r="Q742" s="86"/>
      <c r="R742" s="86"/>
      <c r="S742" s="86"/>
      <c r="T742" s="86"/>
    </row>
    <row r="743">
      <c r="N743" s="86"/>
      <c r="O743" s="86"/>
      <c r="P743" s="86"/>
      <c r="Q743" s="86"/>
      <c r="R743" s="86"/>
      <c r="S743" s="86"/>
      <c r="T743" s="86"/>
    </row>
    <row r="744">
      <c r="N744" s="86"/>
      <c r="O744" s="86"/>
      <c r="P744" s="86"/>
      <c r="Q744" s="86"/>
      <c r="R744" s="86"/>
      <c r="S744" s="86"/>
      <c r="T744" s="86"/>
    </row>
    <row r="745">
      <c r="N745" s="86"/>
      <c r="O745" s="86"/>
      <c r="P745" s="86"/>
      <c r="Q745" s="86"/>
      <c r="R745" s="86"/>
      <c r="S745" s="86"/>
      <c r="T745" s="86"/>
    </row>
    <row r="746">
      <c r="N746" s="86"/>
      <c r="O746" s="86"/>
      <c r="P746" s="86"/>
      <c r="Q746" s="86"/>
      <c r="R746" s="86"/>
      <c r="S746" s="86"/>
      <c r="T746" s="86"/>
    </row>
    <row r="747">
      <c r="N747" s="86"/>
      <c r="O747" s="86"/>
      <c r="P747" s="86"/>
      <c r="Q747" s="86"/>
      <c r="R747" s="86"/>
      <c r="S747" s="86"/>
      <c r="T747" s="86"/>
    </row>
    <row r="748">
      <c r="N748" s="86"/>
      <c r="O748" s="86"/>
      <c r="P748" s="86"/>
      <c r="Q748" s="86"/>
      <c r="R748" s="86"/>
      <c r="S748" s="86"/>
      <c r="T748" s="86"/>
    </row>
    <row r="749">
      <c r="N749" s="86"/>
      <c r="O749" s="86"/>
      <c r="P749" s="86"/>
      <c r="Q749" s="86"/>
      <c r="R749" s="86"/>
      <c r="S749" s="86"/>
      <c r="T749" s="86"/>
    </row>
    <row r="750">
      <c r="N750" s="86"/>
      <c r="O750" s="86"/>
      <c r="P750" s="86"/>
      <c r="Q750" s="86"/>
      <c r="R750" s="86"/>
      <c r="S750" s="86"/>
      <c r="T750" s="86"/>
    </row>
    <row r="751">
      <c r="N751" s="86"/>
      <c r="O751" s="86"/>
      <c r="P751" s="86"/>
      <c r="Q751" s="86"/>
      <c r="R751" s="86"/>
      <c r="S751" s="86"/>
      <c r="T751" s="86"/>
    </row>
    <row r="752">
      <c r="N752" s="86"/>
      <c r="O752" s="86"/>
      <c r="P752" s="86"/>
      <c r="Q752" s="86"/>
      <c r="R752" s="86"/>
      <c r="S752" s="86"/>
      <c r="T752" s="86"/>
    </row>
    <row r="753">
      <c r="N753" s="86"/>
      <c r="O753" s="86"/>
      <c r="P753" s="86"/>
      <c r="Q753" s="86"/>
      <c r="R753" s="86"/>
      <c r="S753" s="86"/>
      <c r="T753" s="86"/>
    </row>
    <row r="754">
      <c r="N754" s="86"/>
      <c r="O754" s="86"/>
      <c r="P754" s="86"/>
      <c r="Q754" s="86"/>
      <c r="R754" s="86"/>
      <c r="S754" s="86"/>
      <c r="T754" s="86"/>
    </row>
    <row r="755">
      <c r="N755" s="86"/>
      <c r="O755" s="86"/>
      <c r="P755" s="86"/>
      <c r="Q755" s="86"/>
      <c r="R755" s="86"/>
      <c r="S755" s="86"/>
      <c r="T755" s="86"/>
    </row>
    <row r="756">
      <c r="N756" s="86"/>
      <c r="O756" s="86"/>
      <c r="P756" s="86"/>
      <c r="Q756" s="86"/>
      <c r="R756" s="86"/>
      <c r="S756" s="86"/>
      <c r="T756" s="86"/>
    </row>
    <row r="757">
      <c r="N757" s="86"/>
      <c r="O757" s="86"/>
      <c r="P757" s="86"/>
      <c r="Q757" s="86"/>
      <c r="R757" s="86"/>
      <c r="S757" s="86"/>
      <c r="T757" s="86"/>
    </row>
    <row r="758">
      <c r="N758" s="86"/>
      <c r="O758" s="86"/>
      <c r="P758" s="86"/>
      <c r="Q758" s="86"/>
      <c r="R758" s="86"/>
      <c r="S758" s="86"/>
      <c r="T758" s="86"/>
    </row>
    <row r="759">
      <c r="N759" s="86"/>
      <c r="O759" s="86"/>
      <c r="P759" s="86"/>
      <c r="Q759" s="86"/>
      <c r="R759" s="86"/>
      <c r="S759" s="86"/>
      <c r="T759" s="86"/>
    </row>
    <row r="760">
      <c r="N760" s="86"/>
      <c r="O760" s="86"/>
      <c r="P760" s="86"/>
      <c r="Q760" s="86"/>
      <c r="R760" s="86"/>
      <c r="S760" s="86"/>
      <c r="T760" s="86"/>
    </row>
    <row r="761">
      <c r="N761" s="86"/>
      <c r="O761" s="86"/>
      <c r="P761" s="86"/>
      <c r="Q761" s="86"/>
      <c r="R761" s="86"/>
      <c r="S761" s="86"/>
      <c r="T761" s="86"/>
    </row>
    <row r="762">
      <c r="N762" s="86"/>
      <c r="O762" s="86"/>
      <c r="P762" s="86"/>
      <c r="Q762" s="86"/>
      <c r="R762" s="86"/>
      <c r="S762" s="86"/>
      <c r="T762" s="86"/>
    </row>
    <row r="763">
      <c r="N763" s="86"/>
      <c r="O763" s="86"/>
      <c r="P763" s="86"/>
      <c r="Q763" s="86"/>
      <c r="R763" s="86"/>
      <c r="S763" s="86"/>
      <c r="T763" s="86"/>
    </row>
    <row r="764">
      <c r="N764" s="86"/>
      <c r="O764" s="86"/>
      <c r="P764" s="86"/>
      <c r="Q764" s="86"/>
      <c r="R764" s="86"/>
      <c r="S764" s="86"/>
      <c r="T764" s="86"/>
    </row>
    <row r="765">
      <c r="N765" s="86"/>
      <c r="O765" s="86"/>
      <c r="P765" s="86"/>
      <c r="Q765" s="86"/>
      <c r="R765" s="86"/>
      <c r="S765" s="86"/>
      <c r="T765" s="86"/>
    </row>
    <row r="766">
      <c r="N766" s="86"/>
      <c r="O766" s="86"/>
      <c r="P766" s="86"/>
      <c r="Q766" s="86"/>
      <c r="R766" s="86"/>
      <c r="S766" s="86"/>
      <c r="T766" s="86"/>
    </row>
    <row r="767">
      <c r="N767" s="86"/>
      <c r="O767" s="86"/>
      <c r="P767" s="86"/>
      <c r="Q767" s="86"/>
      <c r="R767" s="86"/>
      <c r="S767" s="86"/>
      <c r="T767" s="86"/>
    </row>
    <row r="768">
      <c r="N768" s="86"/>
      <c r="O768" s="86"/>
      <c r="P768" s="86"/>
      <c r="Q768" s="86"/>
      <c r="R768" s="86"/>
      <c r="S768" s="86"/>
      <c r="T768" s="86"/>
    </row>
    <row r="769">
      <c r="N769" s="86"/>
      <c r="O769" s="86"/>
      <c r="P769" s="86"/>
      <c r="Q769" s="86"/>
      <c r="R769" s="86"/>
      <c r="S769" s="86"/>
      <c r="T769" s="86"/>
    </row>
    <row r="770">
      <c r="N770" s="86"/>
      <c r="O770" s="86"/>
      <c r="P770" s="86"/>
      <c r="Q770" s="86"/>
      <c r="R770" s="86"/>
      <c r="S770" s="86"/>
      <c r="T770" s="86"/>
    </row>
    <row r="771">
      <c r="N771" s="86"/>
      <c r="O771" s="86"/>
      <c r="P771" s="86"/>
      <c r="Q771" s="86"/>
      <c r="R771" s="86"/>
      <c r="S771" s="86"/>
      <c r="T771" s="86"/>
    </row>
    <row r="772">
      <c r="N772" s="86"/>
      <c r="O772" s="86"/>
      <c r="P772" s="86"/>
      <c r="Q772" s="86"/>
      <c r="R772" s="86"/>
      <c r="S772" s="86"/>
      <c r="T772" s="86"/>
    </row>
    <row r="773">
      <c r="N773" s="86"/>
      <c r="O773" s="86"/>
      <c r="P773" s="86"/>
      <c r="Q773" s="86"/>
      <c r="R773" s="86"/>
      <c r="S773" s="86"/>
      <c r="T773" s="86"/>
    </row>
    <row r="774">
      <c r="N774" s="86"/>
      <c r="O774" s="86"/>
      <c r="P774" s="86"/>
      <c r="Q774" s="86"/>
      <c r="R774" s="86"/>
      <c r="S774" s="86"/>
      <c r="T774" s="86"/>
    </row>
    <row r="775">
      <c r="N775" s="86"/>
      <c r="O775" s="86"/>
      <c r="P775" s="86"/>
      <c r="Q775" s="86"/>
      <c r="R775" s="86"/>
      <c r="S775" s="86"/>
      <c r="T775" s="86"/>
    </row>
    <row r="776">
      <c r="N776" s="86"/>
      <c r="O776" s="86"/>
      <c r="P776" s="86"/>
      <c r="Q776" s="86"/>
      <c r="R776" s="86"/>
      <c r="S776" s="86"/>
      <c r="T776" s="86"/>
    </row>
    <row r="777">
      <c r="N777" s="86"/>
      <c r="O777" s="86"/>
      <c r="P777" s="86"/>
      <c r="Q777" s="86"/>
      <c r="R777" s="86"/>
      <c r="S777" s="86"/>
      <c r="T777" s="86"/>
    </row>
    <row r="778">
      <c r="N778" s="86"/>
      <c r="O778" s="86"/>
      <c r="P778" s="86"/>
      <c r="Q778" s="86"/>
      <c r="R778" s="86"/>
      <c r="S778" s="86"/>
      <c r="T778" s="86"/>
    </row>
    <row r="779">
      <c r="N779" s="86"/>
      <c r="O779" s="86"/>
      <c r="P779" s="86"/>
      <c r="Q779" s="86"/>
      <c r="R779" s="86"/>
      <c r="S779" s="86"/>
      <c r="T779" s="86"/>
    </row>
    <row r="780">
      <c r="N780" s="86"/>
      <c r="O780" s="86"/>
      <c r="P780" s="86"/>
      <c r="Q780" s="86"/>
      <c r="R780" s="86"/>
      <c r="S780" s="86"/>
      <c r="T780" s="86"/>
    </row>
    <row r="781">
      <c r="N781" s="86"/>
      <c r="O781" s="86"/>
      <c r="P781" s="86"/>
      <c r="Q781" s="86"/>
      <c r="R781" s="86"/>
      <c r="S781" s="86"/>
      <c r="T781" s="86"/>
    </row>
    <row r="782">
      <c r="N782" s="86"/>
      <c r="O782" s="86"/>
      <c r="P782" s="86"/>
      <c r="Q782" s="86"/>
      <c r="R782" s="86"/>
      <c r="S782" s="86"/>
      <c r="T782" s="86"/>
    </row>
    <row r="783">
      <c r="N783" s="86"/>
      <c r="O783" s="86"/>
      <c r="P783" s="86"/>
      <c r="Q783" s="86"/>
      <c r="R783" s="86"/>
      <c r="S783" s="86"/>
      <c r="T783" s="86"/>
    </row>
    <row r="784">
      <c r="N784" s="86"/>
      <c r="O784" s="86"/>
      <c r="P784" s="86"/>
      <c r="Q784" s="86"/>
      <c r="R784" s="86"/>
      <c r="S784" s="86"/>
      <c r="T784" s="86"/>
    </row>
    <row r="785">
      <c r="N785" s="86"/>
      <c r="O785" s="86"/>
      <c r="P785" s="86"/>
      <c r="Q785" s="86"/>
      <c r="R785" s="86"/>
      <c r="S785" s="86"/>
      <c r="T785" s="86"/>
    </row>
    <row r="786">
      <c r="N786" s="86"/>
      <c r="O786" s="86"/>
      <c r="P786" s="86"/>
      <c r="Q786" s="86"/>
      <c r="R786" s="86"/>
      <c r="S786" s="86"/>
      <c r="T786" s="86"/>
    </row>
    <row r="787">
      <c r="N787" s="86"/>
      <c r="O787" s="86"/>
      <c r="P787" s="86"/>
      <c r="Q787" s="86"/>
      <c r="R787" s="86"/>
      <c r="S787" s="86"/>
      <c r="T787" s="86"/>
    </row>
    <row r="788">
      <c r="N788" s="86"/>
      <c r="O788" s="86"/>
      <c r="P788" s="86"/>
      <c r="Q788" s="86"/>
      <c r="R788" s="86"/>
      <c r="S788" s="86"/>
      <c r="T788" s="86"/>
    </row>
    <row r="789">
      <c r="N789" s="86"/>
      <c r="O789" s="86"/>
      <c r="P789" s="86"/>
      <c r="Q789" s="86"/>
      <c r="R789" s="86"/>
      <c r="S789" s="86"/>
      <c r="T789" s="86"/>
    </row>
    <row r="790">
      <c r="N790" s="86"/>
      <c r="O790" s="86"/>
      <c r="P790" s="86"/>
      <c r="Q790" s="86"/>
      <c r="R790" s="86"/>
      <c r="S790" s="86"/>
      <c r="T790" s="86"/>
    </row>
    <row r="791">
      <c r="N791" s="86"/>
      <c r="O791" s="86"/>
      <c r="P791" s="86"/>
      <c r="Q791" s="86"/>
      <c r="R791" s="86"/>
      <c r="S791" s="86"/>
      <c r="T791" s="86"/>
    </row>
    <row r="792">
      <c r="N792" s="86"/>
      <c r="O792" s="86"/>
      <c r="P792" s="86"/>
      <c r="Q792" s="86"/>
      <c r="R792" s="86"/>
      <c r="S792" s="86"/>
      <c r="T792" s="86"/>
    </row>
    <row r="793">
      <c r="N793" s="86"/>
      <c r="O793" s="86"/>
      <c r="P793" s="86"/>
      <c r="Q793" s="86"/>
      <c r="R793" s="86"/>
      <c r="S793" s="86"/>
      <c r="T793" s="86"/>
    </row>
    <row r="794">
      <c r="N794" s="86"/>
      <c r="O794" s="86"/>
      <c r="P794" s="86"/>
      <c r="Q794" s="86"/>
      <c r="R794" s="86"/>
      <c r="S794" s="86"/>
      <c r="T794" s="86"/>
    </row>
    <row r="795">
      <c r="N795" s="86"/>
      <c r="O795" s="86"/>
      <c r="P795" s="86"/>
      <c r="Q795" s="86"/>
      <c r="R795" s="86"/>
      <c r="S795" s="86"/>
      <c r="T795" s="86"/>
    </row>
    <row r="796">
      <c r="N796" s="86"/>
      <c r="O796" s="86"/>
      <c r="P796" s="86"/>
      <c r="Q796" s="86"/>
      <c r="R796" s="86"/>
      <c r="S796" s="86"/>
      <c r="T796" s="86"/>
    </row>
    <row r="797">
      <c r="N797" s="86"/>
      <c r="O797" s="86"/>
      <c r="P797" s="86"/>
      <c r="Q797" s="86"/>
      <c r="R797" s="86"/>
      <c r="S797" s="86"/>
      <c r="T797" s="86"/>
    </row>
    <row r="798">
      <c r="N798" s="86"/>
      <c r="O798" s="86"/>
      <c r="P798" s="86"/>
      <c r="Q798" s="86"/>
      <c r="R798" s="86"/>
      <c r="S798" s="86"/>
      <c r="T798" s="86"/>
    </row>
    <row r="799">
      <c r="N799" s="86"/>
      <c r="O799" s="86"/>
      <c r="P799" s="86"/>
      <c r="Q799" s="86"/>
      <c r="R799" s="86"/>
      <c r="S799" s="86"/>
      <c r="T799" s="86"/>
    </row>
    <row r="800">
      <c r="N800" s="86"/>
      <c r="O800" s="86"/>
      <c r="P800" s="86"/>
      <c r="Q800" s="86"/>
      <c r="R800" s="86"/>
      <c r="S800" s="86"/>
      <c r="T800" s="86"/>
    </row>
    <row r="801">
      <c r="N801" s="86"/>
      <c r="O801" s="86"/>
      <c r="P801" s="86"/>
      <c r="Q801" s="86"/>
      <c r="R801" s="86"/>
      <c r="S801" s="86"/>
      <c r="T801" s="86"/>
    </row>
    <row r="802">
      <c r="N802" s="86"/>
      <c r="O802" s="86"/>
      <c r="P802" s="86"/>
      <c r="Q802" s="86"/>
      <c r="R802" s="86"/>
      <c r="S802" s="86"/>
      <c r="T802" s="86"/>
    </row>
    <row r="803">
      <c r="N803" s="86"/>
      <c r="O803" s="86"/>
      <c r="P803" s="86"/>
      <c r="Q803" s="86"/>
      <c r="R803" s="86"/>
      <c r="S803" s="86"/>
      <c r="T803" s="86"/>
    </row>
    <row r="804">
      <c r="N804" s="86"/>
      <c r="O804" s="86"/>
      <c r="P804" s="86"/>
      <c r="Q804" s="86"/>
      <c r="R804" s="86"/>
      <c r="S804" s="86"/>
      <c r="T804" s="86"/>
    </row>
    <row r="805">
      <c r="N805" s="86"/>
      <c r="O805" s="86"/>
      <c r="P805" s="86"/>
      <c r="Q805" s="86"/>
      <c r="R805" s="86"/>
      <c r="S805" s="86"/>
      <c r="T805" s="86"/>
    </row>
    <row r="806">
      <c r="N806" s="86"/>
      <c r="O806" s="86"/>
      <c r="P806" s="86"/>
      <c r="Q806" s="86"/>
      <c r="R806" s="86"/>
      <c r="S806" s="86"/>
      <c r="T806" s="86"/>
    </row>
    <row r="807">
      <c r="N807" s="86"/>
      <c r="O807" s="86"/>
      <c r="P807" s="86"/>
      <c r="Q807" s="86"/>
      <c r="R807" s="86"/>
      <c r="S807" s="86"/>
      <c r="T807" s="86"/>
    </row>
    <row r="808">
      <c r="N808" s="86"/>
      <c r="O808" s="86"/>
      <c r="P808" s="86"/>
      <c r="Q808" s="86"/>
      <c r="R808" s="86"/>
      <c r="S808" s="86"/>
      <c r="T808" s="86"/>
    </row>
    <row r="809">
      <c r="N809" s="86"/>
      <c r="O809" s="86"/>
      <c r="P809" s="86"/>
      <c r="Q809" s="86"/>
      <c r="R809" s="86"/>
      <c r="S809" s="86"/>
      <c r="T809" s="86"/>
    </row>
    <row r="810">
      <c r="N810" s="86"/>
      <c r="O810" s="86"/>
      <c r="P810" s="86"/>
      <c r="Q810" s="86"/>
      <c r="R810" s="86"/>
      <c r="S810" s="86"/>
      <c r="T810" s="86"/>
    </row>
    <row r="811">
      <c r="N811" s="86"/>
      <c r="O811" s="86"/>
      <c r="P811" s="86"/>
      <c r="Q811" s="86"/>
      <c r="R811" s="86"/>
      <c r="S811" s="86"/>
      <c r="T811" s="86"/>
    </row>
    <row r="812">
      <c r="N812" s="86"/>
      <c r="O812" s="86"/>
      <c r="P812" s="86"/>
      <c r="Q812" s="86"/>
      <c r="R812" s="86"/>
      <c r="S812" s="86"/>
      <c r="T812" s="86"/>
    </row>
    <row r="813">
      <c r="N813" s="86"/>
      <c r="O813" s="86"/>
      <c r="P813" s="86"/>
      <c r="Q813" s="86"/>
      <c r="R813" s="86"/>
      <c r="S813" s="86"/>
      <c r="T813" s="86"/>
    </row>
    <row r="814">
      <c r="N814" s="86"/>
      <c r="O814" s="86"/>
      <c r="P814" s="86"/>
      <c r="Q814" s="86"/>
      <c r="R814" s="86"/>
      <c r="S814" s="86"/>
      <c r="T814" s="86"/>
    </row>
    <row r="815">
      <c r="N815" s="86"/>
      <c r="O815" s="86"/>
      <c r="P815" s="86"/>
      <c r="Q815" s="86"/>
      <c r="R815" s="86"/>
      <c r="S815" s="86"/>
      <c r="T815" s="86"/>
    </row>
    <row r="816">
      <c r="N816" s="86"/>
      <c r="O816" s="86"/>
      <c r="P816" s="86"/>
      <c r="Q816" s="86"/>
      <c r="R816" s="86"/>
      <c r="S816" s="86"/>
      <c r="T816" s="86"/>
    </row>
    <row r="817">
      <c r="N817" s="86"/>
      <c r="O817" s="86"/>
      <c r="P817" s="86"/>
      <c r="Q817" s="86"/>
      <c r="R817" s="86"/>
      <c r="S817" s="86"/>
      <c r="T817" s="86"/>
    </row>
    <row r="818">
      <c r="N818" s="86"/>
      <c r="O818" s="86"/>
      <c r="P818" s="86"/>
      <c r="Q818" s="86"/>
      <c r="R818" s="86"/>
      <c r="S818" s="86"/>
      <c r="T818" s="86"/>
    </row>
    <row r="819">
      <c r="N819" s="86"/>
      <c r="O819" s="86"/>
      <c r="P819" s="86"/>
      <c r="Q819" s="86"/>
      <c r="R819" s="86"/>
      <c r="S819" s="86"/>
      <c r="T819" s="86"/>
    </row>
    <row r="820">
      <c r="N820" s="86"/>
      <c r="O820" s="86"/>
      <c r="P820" s="86"/>
      <c r="Q820" s="86"/>
      <c r="R820" s="86"/>
      <c r="S820" s="86"/>
      <c r="T820" s="86"/>
    </row>
    <row r="821">
      <c r="N821" s="86"/>
      <c r="O821" s="86"/>
      <c r="P821" s="86"/>
      <c r="Q821" s="86"/>
      <c r="R821" s="86"/>
      <c r="S821" s="86"/>
      <c r="T821" s="86"/>
    </row>
    <row r="822">
      <c r="N822" s="86"/>
      <c r="O822" s="86"/>
      <c r="P822" s="86"/>
      <c r="Q822" s="86"/>
      <c r="R822" s="86"/>
      <c r="S822" s="86"/>
      <c r="T822" s="86"/>
    </row>
    <row r="823">
      <c r="N823" s="86"/>
      <c r="O823" s="86"/>
      <c r="P823" s="86"/>
      <c r="Q823" s="86"/>
      <c r="R823" s="86"/>
      <c r="S823" s="86"/>
      <c r="T823" s="86"/>
    </row>
    <row r="824">
      <c r="N824" s="86"/>
      <c r="O824" s="86"/>
      <c r="P824" s="86"/>
      <c r="Q824" s="86"/>
      <c r="R824" s="86"/>
      <c r="S824" s="86"/>
      <c r="T824" s="86"/>
    </row>
    <row r="825">
      <c r="N825" s="86"/>
      <c r="O825" s="86"/>
      <c r="P825" s="86"/>
      <c r="Q825" s="86"/>
      <c r="R825" s="86"/>
      <c r="S825" s="86"/>
      <c r="T825" s="86"/>
    </row>
    <row r="826">
      <c r="N826" s="86"/>
      <c r="O826" s="86"/>
      <c r="P826" s="86"/>
      <c r="Q826" s="86"/>
      <c r="R826" s="86"/>
      <c r="S826" s="86"/>
      <c r="T826" s="86"/>
    </row>
    <row r="827">
      <c r="N827" s="86"/>
      <c r="O827" s="86"/>
      <c r="P827" s="86"/>
      <c r="Q827" s="86"/>
      <c r="R827" s="86"/>
      <c r="S827" s="86"/>
      <c r="T827" s="86"/>
    </row>
    <row r="828">
      <c r="N828" s="86"/>
      <c r="O828" s="86"/>
      <c r="P828" s="86"/>
      <c r="Q828" s="86"/>
      <c r="R828" s="86"/>
      <c r="S828" s="86"/>
      <c r="T828" s="86"/>
    </row>
    <row r="829">
      <c r="N829" s="86"/>
      <c r="O829" s="86"/>
      <c r="P829" s="86"/>
      <c r="Q829" s="86"/>
      <c r="R829" s="86"/>
      <c r="S829" s="86"/>
      <c r="T829" s="86"/>
    </row>
    <row r="830">
      <c r="N830" s="86"/>
      <c r="O830" s="86"/>
      <c r="P830" s="86"/>
      <c r="Q830" s="86"/>
      <c r="R830" s="86"/>
      <c r="S830" s="86"/>
      <c r="T830" s="86"/>
    </row>
    <row r="831">
      <c r="N831" s="86"/>
      <c r="O831" s="86"/>
      <c r="P831" s="86"/>
      <c r="Q831" s="86"/>
      <c r="R831" s="86"/>
      <c r="S831" s="86"/>
      <c r="T831" s="86"/>
    </row>
    <row r="832">
      <c r="N832" s="86"/>
      <c r="O832" s="86"/>
      <c r="P832" s="86"/>
      <c r="Q832" s="86"/>
      <c r="R832" s="86"/>
      <c r="S832" s="86"/>
      <c r="T832" s="86"/>
    </row>
    <row r="833">
      <c r="N833" s="86"/>
      <c r="O833" s="86"/>
      <c r="P833" s="86"/>
      <c r="Q833" s="86"/>
      <c r="R833" s="86"/>
      <c r="S833" s="86"/>
      <c r="T833" s="86"/>
    </row>
    <row r="834">
      <c r="N834" s="86"/>
      <c r="O834" s="86"/>
      <c r="P834" s="86"/>
      <c r="Q834" s="86"/>
      <c r="R834" s="86"/>
      <c r="S834" s="86"/>
      <c r="T834" s="86"/>
    </row>
    <row r="835">
      <c r="N835" s="86"/>
      <c r="O835" s="86"/>
      <c r="P835" s="86"/>
      <c r="Q835" s="86"/>
      <c r="R835" s="86"/>
      <c r="S835" s="86"/>
      <c r="T835" s="86"/>
    </row>
    <row r="836">
      <c r="N836" s="86"/>
      <c r="O836" s="86"/>
      <c r="P836" s="86"/>
      <c r="Q836" s="86"/>
      <c r="R836" s="86"/>
      <c r="S836" s="86"/>
      <c r="T836" s="86"/>
    </row>
    <row r="837">
      <c r="N837" s="86"/>
      <c r="O837" s="86"/>
      <c r="P837" s="86"/>
      <c r="Q837" s="86"/>
      <c r="R837" s="86"/>
      <c r="S837" s="86"/>
      <c r="T837" s="86"/>
    </row>
    <row r="838">
      <c r="N838" s="86"/>
      <c r="O838" s="86"/>
      <c r="P838" s="86"/>
      <c r="Q838" s="86"/>
      <c r="R838" s="86"/>
      <c r="S838" s="86"/>
      <c r="T838" s="86"/>
    </row>
    <row r="839">
      <c r="N839" s="86"/>
      <c r="O839" s="86"/>
      <c r="P839" s="86"/>
      <c r="Q839" s="86"/>
      <c r="R839" s="86"/>
      <c r="S839" s="86"/>
      <c r="T839" s="86"/>
    </row>
    <row r="840">
      <c r="N840" s="86"/>
      <c r="O840" s="86"/>
      <c r="P840" s="86"/>
      <c r="Q840" s="86"/>
      <c r="R840" s="86"/>
      <c r="S840" s="86"/>
      <c r="T840" s="86"/>
    </row>
    <row r="841">
      <c r="N841" s="86"/>
      <c r="O841" s="86"/>
      <c r="P841" s="86"/>
      <c r="Q841" s="86"/>
      <c r="R841" s="86"/>
      <c r="S841" s="86"/>
      <c r="T841" s="86"/>
    </row>
    <row r="842">
      <c r="N842" s="86"/>
      <c r="O842" s="86"/>
      <c r="P842" s="86"/>
      <c r="Q842" s="86"/>
      <c r="R842" s="86"/>
      <c r="S842" s="86"/>
      <c r="T842" s="86"/>
    </row>
    <row r="843">
      <c r="N843" s="86"/>
      <c r="O843" s="86"/>
      <c r="P843" s="86"/>
      <c r="Q843" s="86"/>
      <c r="R843" s="86"/>
      <c r="S843" s="86"/>
      <c r="T843" s="86"/>
    </row>
    <row r="844">
      <c r="N844" s="86"/>
      <c r="O844" s="86"/>
      <c r="P844" s="86"/>
      <c r="Q844" s="86"/>
      <c r="R844" s="86"/>
      <c r="S844" s="86"/>
      <c r="T844" s="86"/>
    </row>
    <row r="845">
      <c r="N845" s="86"/>
      <c r="O845" s="86"/>
      <c r="P845" s="86"/>
      <c r="Q845" s="86"/>
      <c r="R845" s="86"/>
      <c r="S845" s="86"/>
      <c r="T845" s="86"/>
    </row>
    <row r="846">
      <c r="N846" s="86"/>
      <c r="O846" s="86"/>
      <c r="P846" s="86"/>
      <c r="Q846" s="86"/>
      <c r="R846" s="86"/>
      <c r="S846" s="86"/>
      <c r="T846" s="86"/>
    </row>
    <row r="847">
      <c r="N847" s="86"/>
      <c r="O847" s="86"/>
      <c r="P847" s="86"/>
      <c r="Q847" s="86"/>
      <c r="R847" s="86"/>
      <c r="S847" s="86"/>
      <c r="T847" s="86"/>
    </row>
    <row r="848">
      <c r="N848" s="86"/>
      <c r="O848" s="86"/>
      <c r="P848" s="86"/>
      <c r="Q848" s="86"/>
      <c r="R848" s="86"/>
      <c r="S848" s="86"/>
      <c r="T848" s="86"/>
    </row>
    <row r="849">
      <c r="N849" s="86"/>
      <c r="O849" s="86"/>
      <c r="P849" s="86"/>
      <c r="Q849" s="86"/>
      <c r="R849" s="86"/>
      <c r="S849" s="86"/>
      <c r="T849" s="86"/>
    </row>
    <row r="850">
      <c r="N850" s="86"/>
      <c r="O850" s="86"/>
      <c r="P850" s="86"/>
      <c r="Q850" s="86"/>
      <c r="R850" s="86"/>
      <c r="S850" s="86"/>
      <c r="T850" s="86"/>
    </row>
    <row r="851">
      <c r="N851" s="86"/>
      <c r="O851" s="86"/>
      <c r="P851" s="86"/>
      <c r="Q851" s="86"/>
      <c r="R851" s="86"/>
      <c r="S851" s="86"/>
      <c r="T851" s="86"/>
    </row>
    <row r="852">
      <c r="N852" s="86"/>
      <c r="O852" s="86"/>
      <c r="P852" s="86"/>
      <c r="Q852" s="86"/>
      <c r="R852" s="86"/>
      <c r="S852" s="86"/>
      <c r="T852" s="86"/>
    </row>
    <row r="853">
      <c r="N853" s="86"/>
      <c r="O853" s="86"/>
      <c r="P853" s="86"/>
      <c r="Q853" s="86"/>
      <c r="R853" s="86"/>
      <c r="S853" s="86"/>
      <c r="T853" s="86"/>
    </row>
    <row r="854">
      <c r="N854" s="86"/>
      <c r="O854" s="86"/>
      <c r="P854" s="86"/>
      <c r="Q854" s="86"/>
      <c r="R854" s="86"/>
      <c r="S854" s="86"/>
      <c r="T854" s="86"/>
    </row>
    <row r="855">
      <c r="N855" s="86"/>
      <c r="O855" s="86"/>
      <c r="P855" s="86"/>
      <c r="Q855" s="86"/>
      <c r="R855" s="86"/>
      <c r="S855" s="86"/>
      <c r="T855" s="86"/>
    </row>
    <row r="856">
      <c r="N856" s="86"/>
      <c r="O856" s="86"/>
      <c r="P856" s="86"/>
      <c r="Q856" s="86"/>
      <c r="R856" s="86"/>
      <c r="S856" s="86"/>
      <c r="T856" s="86"/>
    </row>
    <row r="857">
      <c r="N857" s="86"/>
      <c r="O857" s="86"/>
      <c r="P857" s="86"/>
      <c r="Q857" s="86"/>
      <c r="R857" s="86"/>
      <c r="S857" s="86"/>
      <c r="T857" s="86"/>
    </row>
    <row r="858">
      <c r="N858" s="86"/>
      <c r="O858" s="86"/>
      <c r="P858" s="86"/>
      <c r="Q858" s="86"/>
      <c r="R858" s="86"/>
      <c r="S858" s="86"/>
      <c r="T858" s="86"/>
    </row>
    <row r="859">
      <c r="N859" s="86"/>
      <c r="O859" s="86"/>
      <c r="P859" s="86"/>
      <c r="Q859" s="86"/>
      <c r="R859" s="86"/>
      <c r="S859" s="86"/>
      <c r="T859" s="86"/>
    </row>
    <row r="860">
      <c r="N860" s="86"/>
      <c r="O860" s="86"/>
      <c r="P860" s="86"/>
      <c r="Q860" s="86"/>
      <c r="R860" s="86"/>
      <c r="S860" s="86"/>
      <c r="T860" s="86"/>
    </row>
    <row r="861">
      <c r="N861" s="86"/>
      <c r="O861" s="86"/>
      <c r="P861" s="86"/>
      <c r="Q861" s="86"/>
      <c r="R861" s="86"/>
      <c r="S861" s="86"/>
      <c r="T861" s="86"/>
    </row>
    <row r="862">
      <c r="N862" s="86"/>
      <c r="O862" s="86"/>
      <c r="P862" s="86"/>
      <c r="Q862" s="86"/>
      <c r="R862" s="86"/>
      <c r="S862" s="86"/>
      <c r="T862" s="86"/>
    </row>
    <row r="863">
      <c r="N863" s="86"/>
      <c r="O863" s="86"/>
      <c r="P863" s="86"/>
      <c r="Q863" s="86"/>
      <c r="R863" s="86"/>
      <c r="S863" s="86"/>
      <c r="T863" s="86"/>
    </row>
    <row r="864">
      <c r="N864" s="86"/>
      <c r="O864" s="86"/>
      <c r="P864" s="86"/>
      <c r="Q864" s="86"/>
      <c r="R864" s="86"/>
      <c r="S864" s="86"/>
      <c r="T864" s="86"/>
    </row>
    <row r="865">
      <c r="N865" s="86"/>
      <c r="O865" s="86"/>
      <c r="P865" s="86"/>
      <c r="Q865" s="86"/>
      <c r="R865" s="86"/>
      <c r="S865" s="86"/>
      <c r="T865" s="86"/>
    </row>
    <row r="866">
      <c r="N866" s="86"/>
      <c r="O866" s="86"/>
      <c r="P866" s="86"/>
      <c r="Q866" s="86"/>
      <c r="R866" s="86"/>
      <c r="S866" s="86"/>
      <c r="T866" s="86"/>
    </row>
    <row r="867">
      <c r="N867" s="86"/>
      <c r="O867" s="86"/>
      <c r="P867" s="86"/>
      <c r="Q867" s="86"/>
      <c r="R867" s="86"/>
      <c r="S867" s="86"/>
      <c r="T867" s="86"/>
    </row>
    <row r="868">
      <c r="N868" s="86"/>
      <c r="O868" s="86"/>
      <c r="P868" s="86"/>
      <c r="Q868" s="86"/>
      <c r="R868" s="86"/>
      <c r="S868" s="86"/>
      <c r="T868" s="86"/>
    </row>
    <row r="869">
      <c r="N869" s="86"/>
      <c r="O869" s="86"/>
      <c r="P869" s="86"/>
      <c r="Q869" s="86"/>
      <c r="R869" s="86"/>
      <c r="S869" s="86"/>
      <c r="T869" s="86"/>
    </row>
    <row r="870">
      <c r="N870" s="86"/>
      <c r="O870" s="86"/>
      <c r="P870" s="86"/>
      <c r="Q870" s="86"/>
      <c r="R870" s="86"/>
      <c r="S870" s="86"/>
      <c r="T870" s="86"/>
    </row>
    <row r="871">
      <c r="N871" s="86"/>
      <c r="O871" s="86"/>
      <c r="P871" s="86"/>
      <c r="Q871" s="86"/>
      <c r="R871" s="86"/>
      <c r="S871" s="86"/>
      <c r="T871" s="86"/>
    </row>
    <row r="872">
      <c r="N872" s="86"/>
      <c r="O872" s="86"/>
      <c r="P872" s="86"/>
      <c r="Q872" s="86"/>
      <c r="R872" s="86"/>
      <c r="S872" s="86"/>
      <c r="T872" s="86"/>
    </row>
    <row r="873">
      <c r="N873" s="86"/>
      <c r="O873" s="86"/>
      <c r="P873" s="86"/>
      <c r="Q873" s="86"/>
      <c r="R873" s="86"/>
      <c r="S873" s="86"/>
      <c r="T873" s="86"/>
    </row>
    <row r="874">
      <c r="N874" s="86"/>
      <c r="O874" s="86"/>
      <c r="P874" s="86"/>
      <c r="Q874" s="86"/>
      <c r="R874" s="86"/>
      <c r="S874" s="86"/>
      <c r="T874" s="86"/>
    </row>
    <row r="875">
      <c r="N875" s="86"/>
      <c r="O875" s="86"/>
      <c r="P875" s="86"/>
      <c r="Q875" s="86"/>
      <c r="R875" s="86"/>
      <c r="S875" s="86"/>
      <c r="T875" s="86"/>
    </row>
    <row r="876">
      <c r="N876" s="86"/>
      <c r="O876" s="86"/>
      <c r="P876" s="86"/>
      <c r="Q876" s="86"/>
      <c r="R876" s="86"/>
      <c r="S876" s="86"/>
      <c r="T876" s="86"/>
    </row>
    <row r="877">
      <c r="N877" s="86"/>
      <c r="O877" s="86"/>
      <c r="P877" s="86"/>
      <c r="Q877" s="86"/>
      <c r="R877" s="86"/>
      <c r="S877" s="86"/>
      <c r="T877" s="86"/>
    </row>
    <row r="878">
      <c r="N878" s="86"/>
      <c r="O878" s="86"/>
      <c r="P878" s="86"/>
      <c r="Q878" s="86"/>
      <c r="R878" s="86"/>
      <c r="S878" s="86"/>
      <c r="T878" s="86"/>
    </row>
    <row r="879">
      <c r="N879" s="86"/>
      <c r="O879" s="86"/>
      <c r="P879" s="86"/>
      <c r="Q879" s="86"/>
      <c r="R879" s="86"/>
      <c r="S879" s="86"/>
      <c r="T879" s="86"/>
    </row>
    <row r="880">
      <c r="N880" s="86"/>
      <c r="O880" s="86"/>
      <c r="P880" s="86"/>
      <c r="Q880" s="86"/>
      <c r="R880" s="86"/>
      <c r="S880" s="86"/>
      <c r="T880" s="86"/>
    </row>
    <row r="881">
      <c r="N881" s="86"/>
      <c r="O881" s="86"/>
      <c r="P881" s="86"/>
      <c r="Q881" s="86"/>
      <c r="R881" s="86"/>
      <c r="S881" s="86"/>
      <c r="T881" s="86"/>
    </row>
    <row r="882">
      <c r="N882" s="86"/>
      <c r="O882" s="86"/>
      <c r="P882" s="86"/>
      <c r="Q882" s="86"/>
      <c r="R882" s="86"/>
      <c r="S882" s="86"/>
      <c r="T882" s="86"/>
    </row>
    <row r="883">
      <c r="N883" s="86"/>
      <c r="O883" s="86"/>
      <c r="P883" s="86"/>
      <c r="Q883" s="86"/>
      <c r="R883" s="86"/>
      <c r="S883" s="86"/>
      <c r="T883" s="86"/>
    </row>
    <row r="884">
      <c r="N884" s="86"/>
      <c r="O884" s="86"/>
      <c r="P884" s="86"/>
      <c r="Q884" s="86"/>
      <c r="R884" s="86"/>
      <c r="S884" s="86"/>
      <c r="T884" s="86"/>
    </row>
    <row r="885">
      <c r="N885" s="86"/>
      <c r="O885" s="86"/>
      <c r="P885" s="86"/>
      <c r="Q885" s="86"/>
      <c r="R885" s="86"/>
      <c r="S885" s="86"/>
      <c r="T885" s="86"/>
    </row>
    <row r="886">
      <c r="N886" s="86"/>
      <c r="O886" s="86"/>
      <c r="P886" s="86"/>
      <c r="Q886" s="86"/>
      <c r="R886" s="86"/>
      <c r="S886" s="86"/>
      <c r="T886" s="86"/>
    </row>
    <row r="887">
      <c r="N887" s="86"/>
      <c r="O887" s="86"/>
      <c r="P887" s="86"/>
      <c r="Q887" s="86"/>
      <c r="R887" s="86"/>
      <c r="S887" s="86"/>
      <c r="T887" s="86"/>
    </row>
    <row r="888">
      <c r="N888" s="86"/>
      <c r="O888" s="86"/>
      <c r="P888" s="86"/>
      <c r="Q888" s="86"/>
      <c r="R888" s="86"/>
      <c r="S888" s="86"/>
      <c r="T888" s="86"/>
    </row>
    <row r="889">
      <c r="N889" s="86"/>
      <c r="O889" s="86"/>
      <c r="P889" s="86"/>
      <c r="Q889" s="86"/>
      <c r="R889" s="86"/>
      <c r="S889" s="86"/>
      <c r="T889" s="86"/>
    </row>
    <row r="890">
      <c r="N890" s="86"/>
      <c r="O890" s="86"/>
      <c r="P890" s="86"/>
      <c r="Q890" s="86"/>
      <c r="R890" s="86"/>
      <c r="S890" s="86"/>
      <c r="T890" s="86"/>
    </row>
    <row r="891">
      <c r="N891" s="86"/>
      <c r="O891" s="86"/>
      <c r="P891" s="86"/>
      <c r="Q891" s="86"/>
      <c r="R891" s="86"/>
      <c r="S891" s="86"/>
      <c r="T891" s="86"/>
    </row>
    <row r="892">
      <c r="N892" s="86"/>
      <c r="O892" s="86"/>
      <c r="P892" s="86"/>
      <c r="Q892" s="86"/>
      <c r="R892" s="86"/>
      <c r="S892" s="86"/>
      <c r="T892" s="86"/>
    </row>
    <row r="893">
      <c r="N893" s="86"/>
      <c r="O893" s="86"/>
      <c r="P893" s="86"/>
      <c r="Q893" s="86"/>
      <c r="R893" s="86"/>
      <c r="S893" s="86"/>
      <c r="T893" s="86"/>
    </row>
    <row r="894">
      <c r="N894" s="86"/>
      <c r="O894" s="86"/>
      <c r="P894" s="86"/>
      <c r="Q894" s="86"/>
      <c r="R894" s="86"/>
      <c r="S894" s="86"/>
      <c r="T894" s="86"/>
    </row>
    <row r="895">
      <c r="N895" s="86"/>
      <c r="O895" s="86"/>
      <c r="P895" s="86"/>
      <c r="Q895" s="86"/>
      <c r="R895" s="86"/>
      <c r="S895" s="86"/>
      <c r="T895" s="86"/>
    </row>
    <row r="896">
      <c r="N896" s="86"/>
      <c r="O896" s="86"/>
      <c r="P896" s="86"/>
      <c r="Q896" s="86"/>
      <c r="R896" s="86"/>
      <c r="S896" s="86"/>
      <c r="T896" s="86"/>
    </row>
    <row r="897">
      <c r="N897" s="86"/>
      <c r="O897" s="86"/>
      <c r="P897" s="86"/>
      <c r="Q897" s="86"/>
      <c r="R897" s="86"/>
      <c r="S897" s="86"/>
      <c r="T897" s="86"/>
    </row>
    <row r="898">
      <c r="N898" s="86"/>
      <c r="O898" s="86"/>
      <c r="P898" s="86"/>
      <c r="Q898" s="86"/>
      <c r="R898" s="86"/>
      <c r="S898" s="86"/>
      <c r="T898" s="86"/>
    </row>
    <row r="899">
      <c r="N899" s="86"/>
      <c r="O899" s="86"/>
      <c r="P899" s="86"/>
      <c r="Q899" s="86"/>
      <c r="R899" s="86"/>
      <c r="S899" s="86"/>
      <c r="T899" s="86"/>
    </row>
    <row r="900">
      <c r="N900" s="86"/>
      <c r="O900" s="86"/>
      <c r="P900" s="86"/>
      <c r="Q900" s="86"/>
      <c r="R900" s="86"/>
      <c r="S900" s="86"/>
      <c r="T900" s="86"/>
    </row>
    <row r="901">
      <c r="N901" s="86"/>
      <c r="O901" s="86"/>
      <c r="P901" s="86"/>
      <c r="Q901" s="86"/>
      <c r="R901" s="86"/>
      <c r="S901" s="86"/>
      <c r="T901" s="86"/>
    </row>
    <row r="902">
      <c r="N902" s="86"/>
      <c r="O902" s="86"/>
      <c r="P902" s="86"/>
      <c r="Q902" s="86"/>
      <c r="R902" s="86"/>
      <c r="S902" s="86"/>
      <c r="T902" s="86"/>
    </row>
    <row r="903">
      <c r="N903" s="86"/>
      <c r="O903" s="86"/>
      <c r="P903" s="86"/>
      <c r="Q903" s="86"/>
      <c r="R903" s="86"/>
      <c r="S903" s="86"/>
      <c r="T903" s="86"/>
    </row>
    <row r="904">
      <c r="N904" s="86"/>
      <c r="O904" s="86"/>
      <c r="P904" s="86"/>
      <c r="Q904" s="86"/>
      <c r="R904" s="86"/>
      <c r="S904" s="86"/>
      <c r="T904" s="86"/>
    </row>
    <row r="905">
      <c r="N905" s="86"/>
      <c r="O905" s="86"/>
      <c r="P905" s="86"/>
      <c r="Q905" s="86"/>
      <c r="R905" s="86"/>
      <c r="S905" s="86"/>
      <c r="T905" s="86"/>
    </row>
    <row r="906">
      <c r="N906" s="86"/>
      <c r="O906" s="86"/>
      <c r="P906" s="86"/>
      <c r="Q906" s="86"/>
      <c r="R906" s="86"/>
      <c r="S906" s="86"/>
      <c r="T906" s="86"/>
    </row>
    <row r="907">
      <c r="N907" s="86"/>
      <c r="O907" s="86"/>
      <c r="P907" s="86"/>
      <c r="Q907" s="86"/>
      <c r="R907" s="86"/>
      <c r="S907" s="86"/>
      <c r="T907" s="86"/>
    </row>
    <row r="908">
      <c r="N908" s="86"/>
      <c r="O908" s="86"/>
      <c r="P908" s="86"/>
      <c r="Q908" s="86"/>
      <c r="R908" s="86"/>
      <c r="S908" s="86"/>
      <c r="T908" s="86"/>
    </row>
    <row r="909">
      <c r="N909" s="86"/>
      <c r="O909" s="86"/>
      <c r="P909" s="86"/>
      <c r="Q909" s="86"/>
      <c r="R909" s="86"/>
      <c r="S909" s="86"/>
      <c r="T909" s="86"/>
    </row>
    <row r="910">
      <c r="N910" s="86"/>
      <c r="O910" s="86"/>
      <c r="P910" s="86"/>
      <c r="Q910" s="86"/>
      <c r="R910" s="86"/>
      <c r="S910" s="86"/>
      <c r="T910" s="86"/>
    </row>
    <row r="911">
      <c r="N911" s="86"/>
      <c r="O911" s="86"/>
      <c r="P911" s="86"/>
      <c r="Q911" s="86"/>
      <c r="R911" s="86"/>
      <c r="S911" s="86"/>
      <c r="T911" s="86"/>
    </row>
    <row r="912">
      <c r="N912" s="86"/>
      <c r="O912" s="86"/>
      <c r="P912" s="86"/>
      <c r="Q912" s="86"/>
      <c r="R912" s="86"/>
      <c r="S912" s="86"/>
      <c r="T912" s="86"/>
    </row>
    <row r="913">
      <c r="N913" s="86"/>
      <c r="O913" s="86"/>
      <c r="P913" s="86"/>
      <c r="Q913" s="86"/>
      <c r="R913" s="86"/>
      <c r="S913" s="86"/>
      <c r="T913" s="86"/>
    </row>
    <row r="914">
      <c r="N914" s="86"/>
      <c r="O914" s="86"/>
      <c r="P914" s="86"/>
      <c r="Q914" s="86"/>
      <c r="R914" s="86"/>
      <c r="S914" s="86"/>
      <c r="T914" s="86"/>
    </row>
    <row r="915">
      <c r="N915" s="86"/>
      <c r="O915" s="86"/>
      <c r="P915" s="86"/>
      <c r="Q915" s="86"/>
      <c r="R915" s="86"/>
      <c r="S915" s="86"/>
      <c r="T915" s="86"/>
    </row>
    <row r="916">
      <c r="N916" s="86"/>
      <c r="O916" s="86"/>
      <c r="P916" s="86"/>
      <c r="Q916" s="86"/>
      <c r="R916" s="86"/>
      <c r="S916" s="86"/>
      <c r="T916" s="86"/>
    </row>
    <row r="917">
      <c r="N917" s="86"/>
      <c r="O917" s="86"/>
      <c r="P917" s="86"/>
      <c r="Q917" s="86"/>
      <c r="R917" s="86"/>
      <c r="S917" s="86"/>
      <c r="T917" s="86"/>
    </row>
    <row r="918">
      <c r="N918" s="86"/>
      <c r="O918" s="86"/>
      <c r="P918" s="86"/>
      <c r="Q918" s="86"/>
      <c r="R918" s="86"/>
      <c r="S918" s="86"/>
      <c r="T918" s="86"/>
    </row>
    <row r="919">
      <c r="N919" s="86"/>
      <c r="O919" s="86"/>
      <c r="P919" s="86"/>
      <c r="Q919" s="86"/>
      <c r="R919" s="86"/>
      <c r="S919" s="86"/>
      <c r="T919" s="86"/>
    </row>
    <row r="920">
      <c r="N920" s="86"/>
      <c r="O920" s="86"/>
      <c r="P920" s="86"/>
      <c r="Q920" s="86"/>
      <c r="R920" s="86"/>
      <c r="S920" s="86"/>
      <c r="T920" s="86"/>
    </row>
    <row r="921">
      <c r="N921" s="86"/>
      <c r="O921" s="86"/>
      <c r="P921" s="86"/>
      <c r="Q921" s="86"/>
      <c r="R921" s="86"/>
      <c r="S921" s="86"/>
      <c r="T921" s="86"/>
    </row>
    <row r="922">
      <c r="N922" s="86"/>
      <c r="O922" s="86"/>
      <c r="P922" s="86"/>
      <c r="Q922" s="86"/>
      <c r="R922" s="86"/>
      <c r="S922" s="86"/>
      <c r="T922" s="86"/>
    </row>
    <row r="923">
      <c r="N923" s="86"/>
      <c r="O923" s="86"/>
      <c r="P923" s="86"/>
      <c r="Q923" s="86"/>
      <c r="R923" s="86"/>
      <c r="S923" s="86"/>
      <c r="T923" s="86"/>
    </row>
    <row r="924">
      <c r="N924" s="86"/>
      <c r="O924" s="86"/>
      <c r="P924" s="86"/>
      <c r="Q924" s="86"/>
      <c r="R924" s="86"/>
      <c r="S924" s="86"/>
      <c r="T924" s="86"/>
    </row>
    <row r="925">
      <c r="N925" s="86"/>
      <c r="O925" s="86"/>
      <c r="P925" s="86"/>
      <c r="Q925" s="86"/>
      <c r="R925" s="86"/>
      <c r="S925" s="86"/>
      <c r="T925" s="86"/>
    </row>
    <row r="926">
      <c r="N926" s="86"/>
      <c r="O926" s="86"/>
      <c r="P926" s="86"/>
      <c r="Q926" s="86"/>
      <c r="R926" s="86"/>
      <c r="S926" s="86"/>
      <c r="T926" s="86"/>
    </row>
    <row r="927">
      <c r="N927" s="86"/>
      <c r="O927" s="86"/>
      <c r="P927" s="86"/>
      <c r="Q927" s="86"/>
      <c r="R927" s="86"/>
      <c r="S927" s="86"/>
      <c r="T927" s="86"/>
    </row>
    <row r="928">
      <c r="N928" s="86"/>
      <c r="O928" s="86"/>
      <c r="P928" s="86"/>
      <c r="Q928" s="86"/>
      <c r="R928" s="86"/>
      <c r="S928" s="86"/>
      <c r="T928" s="86"/>
    </row>
    <row r="929">
      <c r="N929" s="86"/>
      <c r="O929" s="86"/>
      <c r="P929" s="86"/>
      <c r="Q929" s="86"/>
      <c r="R929" s="86"/>
      <c r="S929" s="86"/>
      <c r="T929" s="86"/>
    </row>
    <row r="930">
      <c r="N930" s="86"/>
      <c r="O930" s="86"/>
      <c r="P930" s="86"/>
      <c r="Q930" s="86"/>
      <c r="R930" s="86"/>
      <c r="S930" s="86"/>
      <c r="T930" s="86"/>
    </row>
    <row r="931">
      <c r="N931" s="86"/>
      <c r="O931" s="86"/>
      <c r="P931" s="86"/>
      <c r="Q931" s="86"/>
      <c r="R931" s="86"/>
      <c r="S931" s="86"/>
      <c r="T931" s="86"/>
    </row>
    <row r="932">
      <c r="N932" s="86"/>
      <c r="O932" s="86"/>
      <c r="P932" s="86"/>
      <c r="Q932" s="86"/>
      <c r="R932" s="86"/>
      <c r="S932" s="86"/>
      <c r="T932" s="86"/>
    </row>
    <row r="933">
      <c r="N933" s="86"/>
      <c r="O933" s="86"/>
      <c r="P933" s="86"/>
      <c r="Q933" s="86"/>
      <c r="R933" s="86"/>
      <c r="S933" s="86"/>
      <c r="T933" s="86"/>
    </row>
    <row r="934">
      <c r="N934" s="86"/>
      <c r="O934" s="86"/>
      <c r="P934" s="86"/>
      <c r="Q934" s="86"/>
      <c r="R934" s="86"/>
      <c r="S934" s="86"/>
      <c r="T934" s="86"/>
    </row>
    <row r="935">
      <c r="N935" s="86"/>
      <c r="O935" s="86"/>
      <c r="P935" s="86"/>
      <c r="Q935" s="86"/>
      <c r="R935" s="86"/>
      <c r="S935" s="86"/>
      <c r="T935" s="86"/>
    </row>
    <row r="936">
      <c r="N936" s="86"/>
      <c r="O936" s="86"/>
      <c r="P936" s="86"/>
      <c r="Q936" s="86"/>
      <c r="R936" s="86"/>
      <c r="S936" s="86"/>
      <c r="T936" s="86"/>
    </row>
    <row r="937">
      <c r="N937" s="86"/>
      <c r="O937" s="86"/>
      <c r="P937" s="86"/>
      <c r="Q937" s="86"/>
      <c r="R937" s="86"/>
      <c r="S937" s="86"/>
      <c r="T937" s="86"/>
    </row>
    <row r="938">
      <c r="N938" s="86"/>
      <c r="O938" s="86"/>
      <c r="P938" s="86"/>
      <c r="Q938" s="86"/>
      <c r="R938" s="86"/>
      <c r="S938" s="86"/>
      <c r="T938" s="86"/>
    </row>
    <row r="939">
      <c r="N939" s="86"/>
      <c r="O939" s="86"/>
      <c r="P939" s="86"/>
      <c r="Q939" s="86"/>
      <c r="R939" s="86"/>
      <c r="S939" s="86"/>
      <c r="T939" s="86"/>
    </row>
    <row r="940">
      <c r="N940" s="86"/>
      <c r="O940" s="86"/>
      <c r="P940" s="86"/>
      <c r="Q940" s="86"/>
      <c r="R940" s="86"/>
      <c r="S940" s="86"/>
      <c r="T940" s="86"/>
    </row>
    <row r="941">
      <c r="N941" s="86"/>
      <c r="O941" s="86"/>
      <c r="P941" s="86"/>
      <c r="Q941" s="86"/>
      <c r="R941" s="86"/>
      <c r="S941" s="86"/>
      <c r="T941" s="86"/>
    </row>
    <row r="942">
      <c r="N942" s="86"/>
      <c r="O942" s="86"/>
      <c r="P942" s="86"/>
      <c r="Q942" s="86"/>
      <c r="R942" s="86"/>
      <c r="S942" s="86"/>
      <c r="T942" s="86"/>
    </row>
    <row r="943">
      <c r="N943" s="86"/>
      <c r="O943" s="86"/>
      <c r="P943" s="86"/>
      <c r="Q943" s="86"/>
      <c r="R943" s="86"/>
      <c r="S943" s="86"/>
      <c r="T943" s="86"/>
    </row>
    <row r="944">
      <c r="N944" s="86"/>
      <c r="O944" s="86"/>
      <c r="P944" s="86"/>
      <c r="Q944" s="86"/>
      <c r="R944" s="86"/>
      <c r="S944" s="86"/>
      <c r="T944" s="86"/>
    </row>
    <row r="945">
      <c r="N945" s="86"/>
      <c r="O945" s="86"/>
      <c r="P945" s="86"/>
      <c r="Q945" s="86"/>
      <c r="R945" s="86"/>
      <c r="S945" s="86"/>
      <c r="T945" s="86"/>
    </row>
    <row r="946">
      <c r="N946" s="86"/>
      <c r="O946" s="86"/>
      <c r="P946" s="86"/>
      <c r="Q946" s="86"/>
      <c r="R946" s="86"/>
      <c r="S946" s="86"/>
      <c r="T946" s="86"/>
    </row>
    <row r="947">
      <c r="N947" s="86"/>
      <c r="O947" s="86"/>
      <c r="P947" s="86"/>
      <c r="Q947" s="86"/>
      <c r="R947" s="86"/>
      <c r="S947" s="86"/>
      <c r="T947" s="86"/>
    </row>
    <row r="948">
      <c r="N948" s="86"/>
      <c r="O948" s="86"/>
      <c r="P948" s="86"/>
      <c r="Q948" s="86"/>
      <c r="R948" s="86"/>
      <c r="S948" s="86"/>
      <c r="T948" s="86"/>
    </row>
    <row r="949">
      <c r="N949" s="86"/>
      <c r="O949" s="86"/>
      <c r="P949" s="86"/>
      <c r="Q949" s="86"/>
      <c r="R949" s="86"/>
      <c r="S949" s="86"/>
      <c r="T949" s="86"/>
    </row>
    <row r="950">
      <c r="N950" s="86"/>
      <c r="O950" s="86"/>
      <c r="P950" s="86"/>
      <c r="Q950" s="86"/>
      <c r="R950" s="86"/>
      <c r="S950" s="86"/>
      <c r="T950" s="86"/>
    </row>
    <row r="951">
      <c r="N951" s="86"/>
      <c r="O951" s="86"/>
      <c r="P951" s="86"/>
      <c r="Q951" s="86"/>
      <c r="R951" s="86"/>
      <c r="S951" s="86"/>
      <c r="T951" s="86"/>
    </row>
    <row r="952">
      <c r="N952" s="86"/>
      <c r="O952" s="86"/>
      <c r="P952" s="86"/>
      <c r="Q952" s="86"/>
      <c r="R952" s="86"/>
      <c r="S952" s="86"/>
      <c r="T952" s="86"/>
    </row>
    <row r="953">
      <c r="N953" s="86"/>
      <c r="O953" s="86"/>
      <c r="P953" s="86"/>
      <c r="Q953" s="86"/>
      <c r="R953" s="86"/>
      <c r="S953" s="86"/>
      <c r="T953" s="86"/>
    </row>
    <row r="954">
      <c r="N954" s="86"/>
      <c r="O954" s="86"/>
      <c r="P954" s="86"/>
      <c r="Q954" s="86"/>
      <c r="R954" s="86"/>
      <c r="S954" s="86"/>
      <c r="T954" s="86"/>
    </row>
    <row r="955">
      <c r="N955" s="86"/>
      <c r="O955" s="86"/>
      <c r="P955" s="86"/>
      <c r="Q955" s="86"/>
      <c r="R955" s="86"/>
      <c r="S955" s="86"/>
      <c r="T955" s="86"/>
    </row>
    <row r="956">
      <c r="N956" s="86"/>
      <c r="O956" s="86"/>
      <c r="P956" s="86"/>
      <c r="Q956" s="86"/>
      <c r="R956" s="86"/>
      <c r="S956" s="86"/>
      <c r="T956" s="86"/>
    </row>
    <row r="957">
      <c r="N957" s="86"/>
      <c r="O957" s="86"/>
      <c r="P957" s="86"/>
      <c r="Q957" s="86"/>
      <c r="R957" s="86"/>
      <c r="S957" s="86"/>
      <c r="T957" s="86"/>
    </row>
    <row r="958">
      <c r="N958" s="86"/>
      <c r="O958" s="86"/>
      <c r="P958" s="86"/>
      <c r="Q958" s="86"/>
      <c r="R958" s="86"/>
      <c r="S958" s="86"/>
      <c r="T958" s="86"/>
    </row>
    <row r="959">
      <c r="N959" s="86"/>
      <c r="O959" s="86"/>
      <c r="P959" s="86"/>
      <c r="Q959" s="86"/>
      <c r="R959" s="86"/>
      <c r="S959" s="86"/>
      <c r="T959" s="86"/>
    </row>
    <row r="960">
      <c r="N960" s="86"/>
      <c r="O960" s="86"/>
      <c r="P960" s="86"/>
      <c r="Q960" s="86"/>
      <c r="R960" s="86"/>
      <c r="S960" s="86"/>
      <c r="T960" s="86"/>
    </row>
    <row r="961">
      <c r="N961" s="86"/>
      <c r="O961" s="86"/>
      <c r="P961" s="86"/>
      <c r="Q961" s="86"/>
      <c r="R961" s="86"/>
      <c r="S961" s="86"/>
      <c r="T961" s="86"/>
    </row>
    <row r="962">
      <c r="N962" s="86"/>
      <c r="O962" s="86"/>
      <c r="P962" s="86"/>
      <c r="Q962" s="86"/>
      <c r="R962" s="86"/>
      <c r="S962" s="86"/>
      <c r="T962" s="86"/>
    </row>
    <row r="963">
      <c r="N963" s="86"/>
      <c r="O963" s="86"/>
      <c r="P963" s="86"/>
      <c r="Q963" s="86"/>
      <c r="R963" s="86"/>
      <c r="S963" s="86"/>
      <c r="T963" s="86"/>
    </row>
    <row r="964">
      <c r="N964" s="86"/>
      <c r="O964" s="86"/>
      <c r="P964" s="86"/>
      <c r="Q964" s="86"/>
      <c r="R964" s="86"/>
      <c r="S964" s="86"/>
      <c r="T964" s="86"/>
    </row>
    <row r="965">
      <c r="N965" s="86"/>
      <c r="O965" s="86"/>
      <c r="P965" s="86"/>
      <c r="Q965" s="86"/>
      <c r="R965" s="86"/>
      <c r="S965" s="86"/>
      <c r="T965" s="86"/>
    </row>
    <row r="966">
      <c r="N966" s="86"/>
      <c r="O966" s="86"/>
      <c r="P966" s="86"/>
      <c r="Q966" s="86"/>
      <c r="R966" s="86"/>
      <c r="S966" s="86"/>
      <c r="T966" s="86"/>
    </row>
    <row r="967">
      <c r="N967" s="86"/>
      <c r="O967" s="86"/>
      <c r="P967" s="86"/>
      <c r="Q967" s="86"/>
      <c r="R967" s="86"/>
      <c r="S967" s="86"/>
      <c r="T967" s="86"/>
    </row>
    <row r="968">
      <c r="N968" s="86"/>
      <c r="O968" s="86"/>
      <c r="P968" s="86"/>
      <c r="Q968" s="86"/>
      <c r="R968" s="86"/>
      <c r="S968" s="86"/>
      <c r="T968" s="86"/>
    </row>
    <row r="969">
      <c r="N969" s="86"/>
      <c r="O969" s="86"/>
      <c r="P969" s="86"/>
      <c r="Q969" s="86"/>
      <c r="R969" s="86"/>
      <c r="S969" s="86"/>
      <c r="T969" s="86"/>
    </row>
    <row r="970">
      <c r="N970" s="86"/>
      <c r="O970" s="86"/>
      <c r="P970" s="86"/>
      <c r="Q970" s="86"/>
      <c r="R970" s="86"/>
      <c r="S970" s="86"/>
      <c r="T970" s="86"/>
    </row>
    <row r="971">
      <c r="N971" s="86"/>
      <c r="O971" s="86"/>
      <c r="P971" s="86"/>
      <c r="Q971" s="86"/>
      <c r="R971" s="86"/>
      <c r="S971" s="86"/>
      <c r="T971" s="86"/>
    </row>
    <row r="972">
      <c r="N972" s="86"/>
      <c r="O972" s="86"/>
      <c r="P972" s="86"/>
      <c r="Q972" s="86"/>
      <c r="R972" s="86"/>
      <c r="S972" s="86"/>
      <c r="T972" s="86"/>
    </row>
    <row r="973">
      <c r="N973" s="86"/>
      <c r="O973" s="86"/>
      <c r="P973" s="86"/>
      <c r="Q973" s="86"/>
      <c r="R973" s="86"/>
      <c r="S973" s="86"/>
      <c r="T973" s="86"/>
    </row>
    <row r="974">
      <c r="N974" s="86"/>
      <c r="O974" s="86"/>
      <c r="P974" s="86"/>
      <c r="Q974" s="86"/>
      <c r="R974" s="86"/>
      <c r="S974" s="86"/>
      <c r="T974" s="86"/>
    </row>
    <row r="975">
      <c r="N975" s="86"/>
      <c r="O975" s="86"/>
      <c r="P975" s="86"/>
      <c r="Q975" s="86"/>
      <c r="R975" s="86"/>
      <c r="S975" s="86"/>
      <c r="T975" s="86"/>
    </row>
    <row r="976">
      <c r="N976" s="86"/>
      <c r="O976" s="86"/>
      <c r="P976" s="86"/>
      <c r="Q976" s="86"/>
      <c r="R976" s="86"/>
      <c r="S976" s="86"/>
      <c r="T976" s="86"/>
    </row>
    <row r="977">
      <c r="N977" s="86"/>
      <c r="O977" s="86"/>
      <c r="P977" s="86"/>
      <c r="Q977" s="86"/>
      <c r="R977" s="86"/>
      <c r="S977" s="86"/>
      <c r="T977" s="86"/>
    </row>
    <row r="978">
      <c r="N978" s="86"/>
      <c r="O978" s="86"/>
      <c r="P978" s="86"/>
      <c r="Q978" s="86"/>
      <c r="R978" s="86"/>
      <c r="S978" s="86"/>
      <c r="T978" s="86"/>
    </row>
    <row r="979">
      <c r="N979" s="86"/>
      <c r="O979" s="86"/>
      <c r="P979" s="86"/>
      <c r="Q979" s="86"/>
      <c r="R979" s="86"/>
      <c r="S979" s="86"/>
      <c r="T979" s="86"/>
    </row>
    <row r="980">
      <c r="N980" s="86"/>
      <c r="O980" s="86"/>
      <c r="P980" s="86"/>
      <c r="Q980" s="86"/>
      <c r="R980" s="86"/>
      <c r="S980" s="86"/>
      <c r="T980" s="86"/>
    </row>
    <row r="981">
      <c r="N981" s="86"/>
      <c r="O981" s="86"/>
      <c r="P981" s="86"/>
      <c r="Q981" s="86"/>
      <c r="R981" s="86"/>
      <c r="S981" s="86"/>
      <c r="T981" s="86"/>
    </row>
    <row r="982">
      <c r="N982" s="86"/>
      <c r="O982" s="86"/>
      <c r="P982" s="86"/>
      <c r="Q982" s="86"/>
      <c r="R982" s="86"/>
      <c r="S982" s="86"/>
      <c r="T982" s="86"/>
    </row>
    <row r="983">
      <c r="N983" s="86"/>
      <c r="O983" s="86"/>
      <c r="P983" s="86"/>
      <c r="Q983" s="86"/>
      <c r="R983" s="86"/>
      <c r="S983" s="86"/>
      <c r="T983" s="86"/>
    </row>
    <row r="984">
      <c r="N984" s="86"/>
      <c r="O984" s="86"/>
      <c r="P984" s="86"/>
      <c r="Q984" s="86"/>
      <c r="R984" s="86"/>
      <c r="S984" s="86"/>
      <c r="T984" s="86"/>
    </row>
    <row r="985">
      <c r="N985" s="86"/>
      <c r="O985" s="86"/>
      <c r="P985" s="86"/>
      <c r="Q985" s="86"/>
      <c r="R985" s="86"/>
      <c r="S985" s="86"/>
      <c r="T985" s="86"/>
    </row>
    <row r="986">
      <c r="N986" s="86"/>
      <c r="O986" s="86"/>
      <c r="P986" s="86"/>
      <c r="Q986" s="86"/>
      <c r="R986" s="86"/>
      <c r="S986" s="86"/>
      <c r="T986" s="86"/>
    </row>
    <row r="987">
      <c r="N987" s="86"/>
      <c r="O987" s="86"/>
      <c r="P987" s="86"/>
      <c r="Q987" s="86"/>
      <c r="R987" s="86"/>
      <c r="S987" s="86"/>
      <c r="T987" s="86"/>
    </row>
    <row r="988">
      <c r="N988" s="86"/>
      <c r="O988" s="86"/>
      <c r="P988" s="86"/>
      <c r="Q988" s="86"/>
      <c r="R988" s="86"/>
      <c r="S988" s="86"/>
      <c r="T988" s="86"/>
    </row>
    <row r="989">
      <c r="N989" s="86"/>
      <c r="O989" s="86"/>
      <c r="P989" s="86"/>
      <c r="Q989" s="86"/>
      <c r="R989" s="86"/>
      <c r="S989" s="86"/>
      <c r="T989" s="86"/>
    </row>
    <row r="990">
      <c r="N990" s="86"/>
      <c r="O990" s="86"/>
      <c r="P990" s="86"/>
      <c r="Q990" s="86"/>
      <c r="R990" s="86"/>
      <c r="S990" s="86"/>
      <c r="T990" s="86"/>
    </row>
    <row r="991">
      <c r="N991" s="86"/>
      <c r="O991" s="86"/>
      <c r="P991" s="86"/>
      <c r="Q991" s="86"/>
      <c r="R991" s="86"/>
      <c r="S991" s="86"/>
      <c r="T991" s="86"/>
    </row>
    <row r="992">
      <c r="N992" s="86"/>
      <c r="O992" s="86"/>
      <c r="P992" s="86"/>
      <c r="Q992" s="86"/>
      <c r="R992" s="86"/>
      <c r="S992" s="86"/>
      <c r="T992" s="86"/>
    </row>
    <row r="993">
      <c r="N993" s="86"/>
      <c r="O993" s="86"/>
      <c r="P993" s="86"/>
      <c r="Q993" s="86"/>
      <c r="R993" s="86"/>
      <c r="S993" s="86"/>
      <c r="T993" s="86"/>
    </row>
    <row r="994">
      <c r="N994" s="86"/>
      <c r="O994" s="86"/>
      <c r="P994" s="86"/>
      <c r="Q994" s="86"/>
      <c r="R994" s="86"/>
      <c r="S994" s="86"/>
      <c r="T994" s="86"/>
    </row>
    <row r="995">
      <c r="N995" s="86"/>
      <c r="O995" s="86"/>
      <c r="P995" s="86"/>
      <c r="Q995" s="86"/>
      <c r="R995" s="86"/>
      <c r="S995" s="86"/>
      <c r="T995" s="86"/>
    </row>
    <row r="996">
      <c r="N996" s="86"/>
      <c r="O996" s="86"/>
      <c r="P996" s="86"/>
      <c r="Q996" s="86"/>
      <c r="R996" s="86"/>
      <c r="S996" s="86"/>
      <c r="T996" s="86"/>
    </row>
    <row r="997">
      <c r="N997" s="86"/>
      <c r="O997" s="86"/>
      <c r="P997" s="86"/>
      <c r="Q997" s="86"/>
      <c r="R997" s="86"/>
      <c r="S997" s="86"/>
      <c r="T997" s="86"/>
    </row>
    <row r="998">
      <c r="N998" s="86"/>
      <c r="O998" s="86"/>
      <c r="P998" s="86"/>
      <c r="Q998" s="86"/>
      <c r="R998" s="86"/>
      <c r="S998" s="86"/>
      <c r="T998" s="86"/>
    </row>
    <row r="999">
      <c r="N999" s="86"/>
      <c r="O999" s="86"/>
      <c r="P999" s="86"/>
      <c r="Q999" s="86"/>
      <c r="R999" s="86"/>
      <c r="S999" s="86"/>
      <c r="T999" s="86"/>
    </row>
    <row r="1000">
      <c r="N1000" s="86"/>
      <c r="O1000" s="86"/>
      <c r="P1000" s="86"/>
      <c r="Q1000" s="86"/>
      <c r="R1000" s="86"/>
      <c r="S1000" s="86"/>
      <c r="T1000" s="86"/>
    </row>
    <row r="1001">
      <c r="N1001" s="86"/>
      <c r="O1001" s="86"/>
      <c r="P1001" s="86"/>
      <c r="Q1001" s="86"/>
      <c r="R1001" s="86"/>
      <c r="S1001" s="86"/>
      <c r="T1001" s="86"/>
    </row>
    <row r="1002">
      <c r="N1002" s="86"/>
      <c r="O1002" s="86"/>
      <c r="P1002" s="86"/>
      <c r="Q1002" s="86"/>
      <c r="R1002" s="86"/>
      <c r="S1002" s="86"/>
      <c r="T1002" s="86"/>
    </row>
    <row r="1003">
      <c r="N1003" s="86"/>
      <c r="O1003" s="86"/>
      <c r="P1003" s="86"/>
      <c r="Q1003" s="86"/>
      <c r="R1003" s="86"/>
      <c r="S1003" s="86"/>
      <c r="T1003" s="86"/>
    </row>
    <row r="1004">
      <c r="N1004" s="86"/>
      <c r="O1004" s="86"/>
      <c r="P1004" s="86"/>
      <c r="Q1004" s="86"/>
      <c r="R1004" s="86"/>
      <c r="S1004" s="86"/>
      <c r="T1004" s="86"/>
    </row>
    <row r="1005">
      <c r="N1005" s="86"/>
      <c r="O1005" s="86"/>
      <c r="P1005" s="86"/>
      <c r="Q1005" s="86"/>
      <c r="R1005" s="86"/>
      <c r="S1005" s="86"/>
      <c r="T1005" s="86"/>
    </row>
    <row r="1006">
      <c r="N1006" s="86"/>
      <c r="O1006" s="86"/>
      <c r="P1006" s="86"/>
      <c r="Q1006" s="86"/>
      <c r="R1006" s="86"/>
      <c r="S1006" s="86"/>
      <c r="T1006" s="86"/>
    </row>
    <row r="1007">
      <c r="N1007" s="86"/>
      <c r="O1007" s="86"/>
      <c r="P1007" s="86"/>
      <c r="Q1007" s="86"/>
      <c r="R1007" s="86"/>
      <c r="S1007" s="86"/>
      <c r="T1007" s="86"/>
    </row>
    <row r="1008">
      <c r="N1008" s="86"/>
      <c r="O1008" s="86"/>
      <c r="P1008" s="86"/>
      <c r="Q1008" s="86"/>
      <c r="R1008" s="86"/>
      <c r="S1008" s="86"/>
      <c r="T1008" s="86"/>
    </row>
    <row r="1009">
      <c r="N1009" s="86"/>
      <c r="O1009" s="86"/>
      <c r="P1009" s="86"/>
      <c r="Q1009" s="86"/>
      <c r="R1009" s="86"/>
      <c r="S1009" s="86"/>
      <c r="T1009" s="86"/>
    </row>
    <row r="1010">
      <c r="N1010" s="86"/>
      <c r="O1010" s="86"/>
      <c r="P1010" s="86"/>
      <c r="Q1010" s="86"/>
      <c r="R1010" s="86"/>
      <c r="S1010" s="86"/>
      <c r="T1010" s="86"/>
    </row>
    <row r="1011">
      <c r="N1011" s="86"/>
      <c r="O1011" s="86"/>
      <c r="P1011" s="86"/>
      <c r="Q1011" s="86"/>
      <c r="R1011" s="86"/>
      <c r="S1011" s="86"/>
      <c r="T1011" s="86"/>
    </row>
    <row r="1012">
      <c r="N1012" s="86"/>
      <c r="O1012" s="86"/>
      <c r="P1012" s="86"/>
      <c r="Q1012" s="86"/>
      <c r="R1012" s="86"/>
      <c r="S1012" s="86"/>
      <c r="T1012" s="86"/>
    </row>
    <row r="1013">
      <c r="N1013" s="86"/>
      <c r="O1013" s="86"/>
      <c r="P1013" s="86"/>
      <c r="Q1013" s="86"/>
      <c r="R1013" s="86"/>
      <c r="S1013" s="86"/>
      <c r="T1013" s="8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6" width="7.38"/>
    <col customWidth="1" min="7" max="7" width="6.38"/>
    <col customWidth="1" min="8" max="8" width="7.5"/>
    <col customWidth="1" min="9" max="9" width="6.75"/>
    <col customWidth="1" min="10" max="10" width="21.63"/>
    <col customWidth="1" min="11" max="11" width="23.5"/>
    <col customWidth="1" min="12" max="12" width="21.88"/>
    <col customWidth="1" min="13" max="13" width="24.63"/>
    <col customWidth="1" min="14" max="14" width="5.88"/>
    <col customWidth="1" min="15" max="15" width="26.13"/>
    <col customWidth="1" min="16" max="16" width="5.75"/>
    <col customWidth="1" min="17" max="17" width="25.63"/>
    <col customWidth="1" min="18" max="18" width="5.13"/>
    <col customWidth="1" min="19" max="19" width="25.63"/>
    <col customWidth="1" min="20" max="20" width="4.63"/>
  </cols>
  <sheetData>
    <row r="1">
      <c r="A1" s="1" t="s">
        <v>592</v>
      </c>
      <c r="N1" s="86"/>
      <c r="O1" s="87"/>
      <c r="P1" s="87"/>
      <c r="Q1" s="87"/>
      <c r="R1" s="87"/>
      <c r="S1" s="87"/>
      <c r="T1" s="87"/>
    </row>
    <row r="2">
      <c r="A2" s="2" t="s">
        <v>593</v>
      </c>
      <c r="B2" s="2" t="s">
        <v>594</v>
      </c>
      <c r="C2" s="3" t="s">
        <v>3</v>
      </c>
      <c r="D2" s="4" t="s">
        <v>4</v>
      </c>
      <c r="E2" s="5">
        <f>SUM(E11:E101)+1</f>
        <v>7</v>
      </c>
      <c r="J2" s="7" t="s">
        <v>5</v>
      </c>
      <c r="K2" s="8" t="s">
        <v>6</v>
      </c>
      <c r="L2" s="8" t="s">
        <v>7</v>
      </c>
      <c r="M2" s="8" t="s">
        <v>8</v>
      </c>
      <c r="N2" s="88"/>
      <c r="O2" s="9" t="s">
        <v>9</v>
      </c>
      <c r="P2" s="89"/>
      <c r="Q2" s="90"/>
      <c r="R2" s="90"/>
      <c r="S2" s="90"/>
      <c r="T2" s="91"/>
    </row>
    <row r="3">
      <c r="A3" s="2" t="s">
        <v>595</v>
      </c>
      <c r="B3" s="2" t="s">
        <v>596</v>
      </c>
      <c r="C3" s="15"/>
      <c r="D3" s="16" t="s">
        <v>12</v>
      </c>
      <c r="E3" s="17">
        <v>10.0</v>
      </c>
      <c r="K3" s="19" t="s">
        <v>479</v>
      </c>
      <c r="L3" s="20"/>
      <c r="M3" s="20"/>
      <c r="N3" s="88"/>
      <c r="O3" s="92"/>
      <c r="P3" s="92"/>
      <c r="Q3" s="93"/>
      <c r="R3" s="93"/>
      <c r="S3" s="93"/>
      <c r="T3" s="93"/>
    </row>
    <row r="4">
      <c r="C4" s="26"/>
      <c r="D4" s="27" t="s">
        <v>15</v>
      </c>
      <c r="E4" s="94">
        <f>SUM(F11:F101)-SUM(G11:G101)</f>
        <v>15</v>
      </c>
      <c r="K4" s="33" t="s">
        <v>597</v>
      </c>
      <c r="L4" s="31"/>
      <c r="M4" s="31"/>
      <c r="N4" s="88"/>
      <c r="O4" s="95"/>
      <c r="P4" s="95"/>
      <c r="Q4" s="95"/>
      <c r="R4" s="95"/>
      <c r="S4" s="95"/>
      <c r="T4" s="95"/>
    </row>
    <row r="5">
      <c r="K5" s="19" t="s">
        <v>570</v>
      </c>
      <c r="L5" s="20"/>
      <c r="M5" s="20"/>
      <c r="N5" s="88"/>
      <c r="O5" s="93"/>
      <c r="P5" s="93"/>
      <c r="Q5" s="93"/>
      <c r="R5" s="93"/>
      <c r="S5" s="93"/>
      <c r="T5" s="93"/>
    </row>
    <row r="6">
      <c r="M6" s="31"/>
      <c r="N6" s="88"/>
      <c r="O6" s="95"/>
      <c r="P6" s="95"/>
      <c r="Q6" s="95"/>
      <c r="R6" s="95"/>
      <c r="S6" s="95"/>
      <c r="T6" s="95"/>
    </row>
    <row r="7">
      <c r="N7" s="96"/>
      <c r="O7" s="93"/>
      <c r="P7" s="93"/>
      <c r="Q7" s="93"/>
      <c r="R7" s="93"/>
      <c r="S7" s="93"/>
      <c r="T7" s="93"/>
    </row>
    <row r="8">
      <c r="J8" s="7" t="s">
        <v>17</v>
      </c>
      <c r="K8" s="19" t="s">
        <v>479</v>
      </c>
      <c r="L8" s="56"/>
      <c r="M8" s="20"/>
      <c r="N8" s="88"/>
      <c r="O8" s="95"/>
      <c r="P8" s="95"/>
      <c r="Q8" s="95"/>
      <c r="R8" s="95"/>
      <c r="S8" s="95"/>
      <c r="T8" s="95"/>
    </row>
    <row r="9">
      <c r="N9" s="96"/>
      <c r="O9" s="93"/>
      <c r="P9" s="93"/>
      <c r="Q9" s="93"/>
      <c r="R9" s="93"/>
      <c r="S9" s="93"/>
      <c r="T9" s="93"/>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N10" s="97"/>
      <c r="O10" s="86"/>
      <c r="P10" s="86"/>
      <c r="Q10" s="86"/>
      <c r="R10" s="86"/>
      <c r="S10" s="86"/>
      <c r="T10" s="86"/>
      <c r="U10" s="38"/>
      <c r="V10" s="38"/>
      <c r="W10" s="38"/>
      <c r="X10" s="38"/>
      <c r="Y10" s="38"/>
      <c r="Z10" s="38"/>
      <c r="AA10" s="38"/>
      <c r="AB10" s="38"/>
      <c r="AC10" s="38"/>
    </row>
    <row r="11">
      <c r="A11" s="39">
        <v>43768.0</v>
      </c>
      <c r="B11" s="2" t="s">
        <v>598</v>
      </c>
      <c r="C11" s="2" t="s">
        <v>599</v>
      </c>
      <c r="D11" s="2" t="s">
        <v>600</v>
      </c>
      <c r="E11" s="2">
        <v>1.0</v>
      </c>
      <c r="F11" s="2">
        <v>10.0</v>
      </c>
      <c r="H11" s="2">
        <v>80.0</v>
      </c>
      <c r="N11" s="86"/>
      <c r="O11" s="86"/>
      <c r="P11" s="86"/>
      <c r="Q11" s="86"/>
      <c r="R11" s="86"/>
      <c r="S11" s="86"/>
      <c r="T11" s="86"/>
    </row>
    <row r="12">
      <c r="A12" s="39">
        <v>43770.0</v>
      </c>
      <c r="B12" s="2" t="s">
        <v>477</v>
      </c>
      <c r="C12" s="2" t="s">
        <v>478</v>
      </c>
      <c r="D12" s="2" t="s">
        <v>601</v>
      </c>
      <c r="E12" s="2">
        <v>1.0</v>
      </c>
      <c r="F12" s="2">
        <v>10.0</v>
      </c>
      <c r="H12" s="2">
        <v>60.0</v>
      </c>
      <c r="J12" s="2" t="s">
        <v>479</v>
      </c>
      <c r="N12" s="86"/>
      <c r="O12" s="86"/>
      <c r="P12" s="86"/>
      <c r="Q12" s="86"/>
      <c r="R12" s="86"/>
      <c r="S12" s="86"/>
      <c r="T12" s="86"/>
    </row>
    <row r="13">
      <c r="A13" s="39">
        <v>43777.0</v>
      </c>
      <c r="B13" s="2" t="s">
        <v>602</v>
      </c>
      <c r="C13" s="2" t="s">
        <v>603</v>
      </c>
      <c r="D13" s="2" t="s">
        <v>601</v>
      </c>
      <c r="E13" s="2">
        <v>1.0</v>
      </c>
      <c r="F13" s="2">
        <v>10.0</v>
      </c>
      <c r="H13" s="2">
        <v>80.0</v>
      </c>
      <c r="N13" s="86"/>
      <c r="O13" s="86"/>
      <c r="P13" s="86"/>
      <c r="Q13" s="86"/>
      <c r="R13" s="86"/>
      <c r="S13" s="86"/>
      <c r="T13" s="86"/>
    </row>
    <row r="14">
      <c r="A14" s="39"/>
      <c r="B14" s="2" t="s">
        <v>604</v>
      </c>
      <c r="C14" s="2" t="s">
        <v>605</v>
      </c>
      <c r="D14" s="2" t="s">
        <v>606</v>
      </c>
      <c r="E14" s="2">
        <v>1.0</v>
      </c>
      <c r="F14" s="2">
        <v>20.0</v>
      </c>
      <c r="H14" s="2">
        <v>80.0</v>
      </c>
      <c r="N14" s="86"/>
      <c r="O14" s="86"/>
      <c r="P14" s="86"/>
      <c r="Q14" s="86"/>
      <c r="R14" s="86"/>
      <c r="S14" s="86"/>
      <c r="T14" s="86"/>
    </row>
    <row r="15">
      <c r="A15" s="40">
        <v>43803.0</v>
      </c>
      <c r="B15" s="41" t="s">
        <v>607</v>
      </c>
      <c r="C15" s="41" t="s">
        <v>608</v>
      </c>
      <c r="D15" s="41" t="s">
        <v>272</v>
      </c>
      <c r="E15" s="41">
        <v>1.0</v>
      </c>
      <c r="F15" s="41">
        <v>20.0</v>
      </c>
      <c r="G15" s="41"/>
      <c r="H15" s="41">
        <v>120.0</v>
      </c>
      <c r="I15" s="42"/>
      <c r="J15" s="41" t="s">
        <v>609</v>
      </c>
      <c r="K15" s="42"/>
      <c r="L15" s="41" t="s">
        <v>610</v>
      </c>
      <c r="M15" s="41" t="s">
        <v>611</v>
      </c>
      <c r="N15" s="83"/>
      <c r="O15" s="83"/>
      <c r="P15" s="83"/>
      <c r="Q15" s="83"/>
      <c r="R15" s="83"/>
      <c r="S15" s="83"/>
      <c r="T15" s="83"/>
      <c r="U15" s="42"/>
      <c r="V15" s="42"/>
      <c r="W15" s="42"/>
      <c r="X15" s="42"/>
      <c r="Y15" s="42"/>
      <c r="Z15" s="42"/>
      <c r="AA15" s="42"/>
      <c r="AB15" s="42"/>
      <c r="AC15" s="42"/>
    </row>
    <row r="16">
      <c r="A16" s="40">
        <v>43811.0</v>
      </c>
      <c r="B16" s="41"/>
      <c r="C16" s="41" t="s">
        <v>40</v>
      </c>
      <c r="D16" s="41"/>
      <c r="E16" s="41"/>
      <c r="F16" s="41"/>
      <c r="G16" s="41">
        <v>15.0</v>
      </c>
      <c r="H16" s="41"/>
      <c r="I16" s="42"/>
      <c r="J16" s="41" t="s">
        <v>146</v>
      </c>
      <c r="K16" s="42"/>
      <c r="L16" s="42"/>
      <c r="M16" s="84" t="s">
        <v>612</v>
      </c>
      <c r="N16" s="83"/>
      <c r="O16" s="83"/>
      <c r="P16" s="83"/>
      <c r="Q16" s="83"/>
      <c r="R16" s="83"/>
      <c r="S16" s="83"/>
      <c r="T16" s="83"/>
      <c r="U16" s="42"/>
      <c r="V16" s="42"/>
      <c r="W16" s="42"/>
      <c r="X16" s="42"/>
      <c r="Y16" s="42"/>
      <c r="Z16" s="42"/>
      <c r="AA16" s="42"/>
      <c r="AB16" s="42"/>
      <c r="AC16" s="42"/>
    </row>
    <row r="17">
      <c r="A17" s="40">
        <v>43820.0</v>
      </c>
      <c r="B17" s="42"/>
      <c r="C17" s="41" t="s">
        <v>40</v>
      </c>
      <c r="D17" s="42"/>
      <c r="E17" s="42"/>
      <c r="F17" s="42"/>
      <c r="G17" s="41">
        <v>15.0</v>
      </c>
      <c r="H17" s="42"/>
      <c r="I17" s="42"/>
      <c r="J17" s="41" t="s">
        <v>227</v>
      </c>
      <c r="K17" s="42"/>
      <c r="L17" s="42"/>
      <c r="M17" s="41" t="s">
        <v>613</v>
      </c>
      <c r="N17" s="83"/>
      <c r="O17" s="83"/>
      <c r="P17" s="83"/>
      <c r="Q17" s="83"/>
      <c r="R17" s="83"/>
      <c r="S17" s="83"/>
      <c r="T17" s="83"/>
      <c r="U17" s="42"/>
      <c r="V17" s="42"/>
      <c r="W17" s="42"/>
      <c r="X17" s="42"/>
      <c r="Y17" s="42"/>
      <c r="Z17" s="42"/>
      <c r="AA17" s="42"/>
      <c r="AB17" s="42"/>
      <c r="AC17" s="42"/>
    </row>
    <row r="18">
      <c r="A18" s="40">
        <v>43873.0</v>
      </c>
      <c r="B18" s="41"/>
      <c r="C18" s="41" t="s">
        <v>40</v>
      </c>
      <c r="D18" s="41" t="s">
        <v>614</v>
      </c>
      <c r="E18" s="41"/>
      <c r="F18" s="41"/>
      <c r="G18" s="41">
        <v>15.0</v>
      </c>
      <c r="H18" s="41"/>
      <c r="I18" s="42"/>
      <c r="J18" s="41" t="s">
        <v>615</v>
      </c>
      <c r="K18" s="42"/>
      <c r="L18" s="42"/>
      <c r="M18" s="41" t="s">
        <v>616</v>
      </c>
      <c r="N18" s="83"/>
      <c r="O18" s="83"/>
      <c r="P18" s="83"/>
      <c r="Q18" s="83"/>
      <c r="R18" s="83"/>
      <c r="S18" s="83"/>
      <c r="T18" s="83"/>
      <c r="U18" s="42"/>
      <c r="V18" s="42"/>
      <c r="W18" s="42"/>
      <c r="X18" s="42"/>
      <c r="Y18" s="42"/>
      <c r="Z18" s="42"/>
      <c r="AA18" s="42"/>
      <c r="AB18" s="42"/>
      <c r="AC18" s="42"/>
    </row>
    <row r="19">
      <c r="A19" s="40">
        <v>43873.0</v>
      </c>
      <c r="B19" s="42"/>
      <c r="C19" s="41" t="s">
        <v>40</v>
      </c>
      <c r="D19" s="42"/>
      <c r="E19" s="42"/>
      <c r="F19" s="42"/>
      <c r="G19" s="41">
        <v>15.0</v>
      </c>
      <c r="H19" s="42"/>
      <c r="I19" s="42"/>
      <c r="J19" s="41" t="s">
        <v>156</v>
      </c>
      <c r="K19" s="42"/>
      <c r="L19" s="42"/>
      <c r="M19" s="41" t="s">
        <v>617</v>
      </c>
      <c r="N19" s="83"/>
      <c r="O19" s="83"/>
      <c r="P19" s="83"/>
      <c r="Q19" s="83"/>
      <c r="R19" s="83"/>
      <c r="S19" s="83"/>
      <c r="T19" s="83"/>
      <c r="U19" s="42"/>
      <c r="V19" s="42"/>
      <c r="W19" s="42"/>
      <c r="X19" s="42"/>
      <c r="Y19" s="42"/>
      <c r="Z19" s="42"/>
      <c r="AA19" s="42"/>
      <c r="AB19" s="42"/>
      <c r="AC19" s="42"/>
    </row>
    <row r="20">
      <c r="A20" s="40">
        <v>44251.0</v>
      </c>
      <c r="B20" s="42"/>
      <c r="C20" s="41" t="s">
        <v>238</v>
      </c>
      <c r="D20" s="42"/>
      <c r="E20" s="41">
        <v>1.0</v>
      </c>
      <c r="F20" s="41">
        <v>20.0</v>
      </c>
      <c r="G20" s="42"/>
      <c r="H20" s="41">
        <v>240.0</v>
      </c>
      <c r="I20" s="42"/>
      <c r="J20" s="42"/>
      <c r="K20" s="42"/>
      <c r="L20" s="42"/>
      <c r="M20" s="42"/>
      <c r="N20" s="83"/>
      <c r="O20" s="83"/>
      <c r="P20" s="83"/>
      <c r="Q20" s="83"/>
      <c r="R20" s="83"/>
      <c r="S20" s="83"/>
      <c r="T20" s="83"/>
      <c r="U20" s="42"/>
      <c r="V20" s="42"/>
      <c r="W20" s="42"/>
      <c r="X20" s="42"/>
      <c r="Y20" s="42"/>
      <c r="Z20" s="42"/>
      <c r="AA20" s="42"/>
      <c r="AB20" s="42"/>
      <c r="AC20" s="42"/>
    </row>
    <row r="21">
      <c r="A21" s="40">
        <v>44251.0</v>
      </c>
      <c r="B21" s="42"/>
      <c r="C21" s="41" t="s">
        <v>40</v>
      </c>
      <c r="D21" s="42"/>
      <c r="E21" s="42"/>
      <c r="F21" s="42"/>
      <c r="G21" s="41">
        <v>15.0</v>
      </c>
      <c r="H21" s="42"/>
      <c r="I21" s="42"/>
      <c r="J21" s="41" t="s">
        <v>597</v>
      </c>
      <c r="K21" s="42"/>
      <c r="L21" s="42"/>
      <c r="M21" s="41" t="s">
        <v>618</v>
      </c>
      <c r="N21" s="83"/>
      <c r="O21" s="83"/>
      <c r="P21" s="83"/>
      <c r="Q21" s="83"/>
      <c r="R21" s="83"/>
      <c r="S21" s="83"/>
      <c r="T21" s="83"/>
      <c r="U21" s="42"/>
      <c r="V21" s="42"/>
      <c r="W21" s="42"/>
      <c r="X21" s="42"/>
      <c r="Y21" s="42"/>
      <c r="Z21" s="42"/>
      <c r="AA21" s="42"/>
      <c r="AB21" s="42"/>
      <c r="AC21" s="42"/>
    </row>
    <row r="22">
      <c r="A22" s="42"/>
      <c r="B22" s="42"/>
      <c r="C22" s="42"/>
      <c r="D22" s="42"/>
      <c r="E22" s="42"/>
      <c r="F22" s="42"/>
      <c r="G22" s="42"/>
      <c r="H22" s="42"/>
      <c r="I22" s="42"/>
      <c r="J22" s="42"/>
      <c r="K22" s="42"/>
      <c r="L22" s="42"/>
      <c r="M22" s="42"/>
      <c r="N22" s="83"/>
      <c r="O22" s="83"/>
      <c r="P22" s="83"/>
      <c r="Q22" s="83"/>
      <c r="R22" s="83"/>
      <c r="S22" s="83"/>
      <c r="T22" s="83"/>
      <c r="U22" s="42"/>
      <c r="V22" s="42"/>
      <c r="W22" s="42"/>
      <c r="X22" s="42"/>
      <c r="Y22" s="42"/>
      <c r="Z22" s="42"/>
      <c r="AA22" s="42"/>
      <c r="AB22" s="42"/>
      <c r="AC22" s="42"/>
    </row>
    <row r="23">
      <c r="A23" s="42"/>
      <c r="B23" s="42"/>
      <c r="C23" s="42"/>
      <c r="D23" s="42"/>
      <c r="E23" s="42"/>
      <c r="F23" s="42"/>
      <c r="G23" s="42"/>
      <c r="H23" s="42"/>
      <c r="I23" s="42"/>
      <c r="J23" s="42"/>
      <c r="K23" s="42"/>
      <c r="L23" s="42"/>
      <c r="M23" s="42"/>
      <c r="N23" s="83"/>
      <c r="O23" s="83"/>
      <c r="P23" s="83"/>
      <c r="Q23" s="83"/>
      <c r="R23" s="83"/>
      <c r="S23" s="83"/>
      <c r="T23" s="83"/>
      <c r="U23" s="42"/>
      <c r="V23" s="42"/>
      <c r="W23" s="42"/>
      <c r="X23" s="42"/>
      <c r="Y23" s="42"/>
      <c r="Z23" s="42"/>
      <c r="AA23" s="42"/>
      <c r="AB23" s="42"/>
      <c r="AC23" s="42"/>
    </row>
    <row r="24">
      <c r="N24" s="86"/>
      <c r="O24" s="86"/>
      <c r="P24" s="86"/>
      <c r="Q24" s="86"/>
      <c r="R24" s="86"/>
      <c r="S24" s="86"/>
      <c r="T24" s="86"/>
    </row>
    <row r="25">
      <c r="N25" s="86"/>
      <c r="O25" s="86"/>
      <c r="P25" s="86"/>
      <c r="Q25" s="86"/>
      <c r="R25" s="86"/>
      <c r="S25" s="86"/>
      <c r="T25" s="86"/>
    </row>
    <row r="26">
      <c r="N26" s="86"/>
      <c r="O26" s="86"/>
      <c r="P26" s="86"/>
      <c r="Q26" s="86"/>
      <c r="R26" s="86"/>
      <c r="S26" s="86"/>
      <c r="T26" s="86"/>
    </row>
    <row r="27">
      <c r="N27" s="86"/>
      <c r="O27" s="86"/>
      <c r="P27" s="86"/>
      <c r="Q27" s="86"/>
      <c r="R27" s="86"/>
      <c r="S27" s="86"/>
      <c r="T27" s="86"/>
    </row>
    <row r="28">
      <c r="N28" s="86"/>
      <c r="O28" s="86"/>
      <c r="P28" s="86"/>
      <c r="Q28" s="86"/>
      <c r="R28" s="86"/>
      <c r="S28" s="86"/>
      <c r="T28" s="86"/>
    </row>
    <row r="29">
      <c r="N29" s="86"/>
      <c r="O29" s="86"/>
      <c r="P29" s="86"/>
      <c r="Q29" s="86"/>
      <c r="R29" s="86"/>
      <c r="S29" s="86"/>
      <c r="T29" s="86"/>
    </row>
    <row r="30">
      <c r="N30" s="86"/>
      <c r="O30" s="86"/>
      <c r="P30" s="86"/>
      <c r="Q30" s="86"/>
      <c r="R30" s="86"/>
      <c r="S30" s="86"/>
      <c r="T30" s="86"/>
    </row>
    <row r="31">
      <c r="N31" s="86"/>
      <c r="O31" s="86"/>
      <c r="P31" s="86"/>
      <c r="Q31" s="86"/>
      <c r="R31" s="86"/>
      <c r="S31" s="86"/>
      <c r="T31" s="86"/>
    </row>
    <row r="32">
      <c r="N32" s="86"/>
      <c r="O32" s="86"/>
      <c r="P32" s="86"/>
      <c r="Q32" s="86"/>
      <c r="R32" s="86"/>
      <c r="S32" s="86"/>
      <c r="T32" s="86"/>
    </row>
    <row r="33">
      <c r="N33" s="86"/>
      <c r="O33" s="86"/>
      <c r="P33" s="86"/>
      <c r="Q33" s="86"/>
      <c r="R33" s="86"/>
      <c r="S33" s="86"/>
      <c r="T33" s="86"/>
    </row>
    <row r="34">
      <c r="N34" s="86"/>
      <c r="O34" s="86"/>
      <c r="P34" s="86"/>
      <c r="Q34" s="86"/>
      <c r="R34" s="86"/>
      <c r="S34" s="86"/>
      <c r="T34" s="86"/>
    </row>
    <row r="35">
      <c r="N35" s="86"/>
      <c r="O35" s="86"/>
      <c r="P35" s="86"/>
      <c r="Q35" s="86"/>
      <c r="R35" s="86"/>
      <c r="S35" s="86"/>
      <c r="T35" s="86"/>
    </row>
    <row r="36">
      <c r="N36" s="86"/>
      <c r="O36" s="86"/>
      <c r="P36" s="86"/>
      <c r="Q36" s="86"/>
      <c r="R36" s="86"/>
      <c r="S36" s="86"/>
      <c r="T36" s="86"/>
    </row>
    <row r="37">
      <c r="N37" s="86"/>
      <c r="O37" s="86"/>
      <c r="P37" s="86"/>
      <c r="Q37" s="86"/>
      <c r="R37" s="86"/>
      <c r="S37" s="86"/>
      <c r="T37" s="86"/>
    </row>
    <row r="38">
      <c r="N38" s="86"/>
      <c r="O38" s="86"/>
      <c r="P38" s="86"/>
      <c r="Q38" s="86"/>
      <c r="R38" s="86"/>
      <c r="S38" s="86"/>
      <c r="T38" s="86"/>
    </row>
    <row r="39">
      <c r="N39" s="86"/>
      <c r="O39" s="86"/>
      <c r="P39" s="86"/>
      <c r="Q39" s="86"/>
      <c r="R39" s="86"/>
      <c r="S39" s="86"/>
      <c r="T39" s="86"/>
    </row>
    <row r="40">
      <c r="N40" s="86"/>
      <c r="O40" s="86"/>
      <c r="P40" s="86"/>
      <c r="Q40" s="86"/>
      <c r="R40" s="86"/>
      <c r="S40" s="86"/>
      <c r="T40" s="86"/>
    </row>
    <row r="41">
      <c r="N41" s="86"/>
      <c r="O41" s="86"/>
      <c r="P41" s="86"/>
      <c r="Q41" s="86"/>
      <c r="R41" s="86"/>
      <c r="S41" s="86"/>
      <c r="T41" s="86"/>
    </row>
    <row r="42">
      <c r="N42" s="86"/>
      <c r="O42" s="86"/>
      <c r="P42" s="86"/>
      <c r="Q42" s="86"/>
      <c r="R42" s="86"/>
      <c r="S42" s="86"/>
      <c r="T42" s="86"/>
    </row>
    <row r="43">
      <c r="N43" s="86"/>
      <c r="O43" s="86"/>
      <c r="P43" s="86"/>
      <c r="Q43" s="86"/>
      <c r="R43" s="86"/>
      <c r="S43" s="86"/>
      <c r="T43" s="86"/>
    </row>
    <row r="44">
      <c r="N44" s="86"/>
      <c r="O44" s="86"/>
      <c r="P44" s="86"/>
      <c r="Q44" s="86"/>
      <c r="R44" s="86"/>
      <c r="S44" s="86"/>
      <c r="T44" s="86"/>
    </row>
    <row r="45">
      <c r="N45" s="86"/>
      <c r="O45" s="86"/>
      <c r="P45" s="86"/>
      <c r="Q45" s="86"/>
      <c r="R45" s="86"/>
      <c r="S45" s="86"/>
      <c r="T45" s="86"/>
    </row>
    <row r="46">
      <c r="N46" s="86"/>
      <c r="O46" s="86"/>
      <c r="P46" s="86"/>
      <c r="Q46" s="86"/>
      <c r="R46" s="86"/>
      <c r="S46" s="86"/>
      <c r="T46" s="86"/>
    </row>
    <row r="47">
      <c r="N47" s="86"/>
      <c r="O47" s="86"/>
      <c r="P47" s="86"/>
      <c r="Q47" s="86"/>
      <c r="R47" s="86"/>
      <c r="S47" s="86"/>
      <c r="T47" s="86"/>
    </row>
    <row r="48">
      <c r="N48" s="86"/>
      <c r="O48" s="86"/>
      <c r="P48" s="86"/>
      <c r="Q48" s="86"/>
      <c r="R48" s="86"/>
      <c r="S48" s="86"/>
      <c r="T48" s="86"/>
    </row>
    <row r="49">
      <c r="N49" s="86"/>
      <c r="O49" s="86"/>
      <c r="P49" s="86"/>
      <c r="Q49" s="86"/>
      <c r="R49" s="86"/>
      <c r="S49" s="86"/>
      <c r="T49" s="86"/>
    </row>
    <row r="50">
      <c r="N50" s="86"/>
      <c r="O50" s="86"/>
      <c r="P50" s="86"/>
      <c r="Q50" s="86"/>
      <c r="R50" s="86"/>
      <c r="S50" s="86"/>
      <c r="T50" s="86"/>
    </row>
    <row r="51">
      <c r="N51" s="86"/>
      <c r="O51" s="86"/>
      <c r="P51" s="86"/>
      <c r="Q51" s="86"/>
      <c r="R51" s="86"/>
      <c r="S51" s="86"/>
      <c r="T51" s="86"/>
    </row>
    <row r="52">
      <c r="N52" s="86"/>
      <c r="O52" s="86"/>
      <c r="P52" s="86"/>
      <c r="Q52" s="86"/>
      <c r="R52" s="86"/>
      <c r="S52" s="86"/>
      <c r="T52" s="86"/>
    </row>
    <row r="53">
      <c r="N53" s="86"/>
      <c r="O53" s="86"/>
      <c r="P53" s="86"/>
      <c r="Q53" s="86"/>
      <c r="R53" s="86"/>
      <c r="S53" s="86"/>
      <c r="T53" s="86"/>
    </row>
    <row r="54">
      <c r="N54" s="86"/>
      <c r="O54" s="86"/>
      <c r="P54" s="86"/>
      <c r="Q54" s="86"/>
      <c r="R54" s="86"/>
      <c r="S54" s="86"/>
      <c r="T54" s="86"/>
    </row>
    <row r="55">
      <c r="N55" s="86"/>
      <c r="O55" s="86"/>
      <c r="P55" s="86"/>
      <c r="Q55" s="86"/>
      <c r="R55" s="86"/>
      <c r="S55" s="86"/>
      <c r="T55" s="86"/>
    </row>
    <row r="56">
      <c r="N56" s="86"/>
      <c r="O56" s="86"/>
      <c r="P56" s="86"/>
      <c r="Q56" s="86"/>
      <c r="R56" s="86"/>
      <c r="S56" s="86"/>
      <c r="T56" s="86"/>
    </row>
    <row r="57">
      <c r="N57" s="86"/>
      <c r="O57" s="86"/>
      <c r="P57" s="86"/>
      <c r="Q57" s="86"/>
      <c r="R57" s="86"/>
      <c r="S57" s="86"/>
      <c r="T57" s="86"/>
    </row>
    <row r="58">
      <c r="N58" s="86"/>
      <c r="O58" s="86"/>
      <c r="P58" s="86"/>
      <c r="Q58" s="86"/>
      <c r="R58" s="86"/>
      <c r="S58" s="86"/>
      <c r="T58" s="86"/>
    </row>
    <row r="59">
      <c r="N59" s="86"/>
      <c r="O59" s="86"/>
      <c r="P59" s="86"/>
      <c r="Q59" s="86"/>
      <c r="R59" s="86"/>
      <c r="S59" s="86"/>
      <c r="T59" s="86"/>
    </row>
    <row r="60">
      <c r="N60" s="86"/>
      <c r="O60" s="86"/>
      <c r="P60" s="86"/>
      <c r="Q60" s="86"/>
      <c r="R60" s="86"/>
      <c r="S60" s="86"/>
      <c r="T60" s="86"/>
    </row>
    <row r="61">
      <c r="N61" s="86"/>
      <c r="O61" s="86"/>
      <c r="P61" s="86"/>
      <c r="Q61" s="86"/>
      <c r="R61" s="86"/>
      <c r="S61" s="86"/>
      <c r="T61" s="86"/>
    </row>
    <row r="62">
      <c r="N62" s="86"/>
      <c r="O62" s="86"/>
      <c r="P62" s="86"/>
      <c r="Q62" s="86"/>
      <c r="R62" s="86"/>
      <c r="S62" s="86"/>
      <c r="T62" s="86"/>
    </row>
    <row r="63">
      <c r="N63" s="86"/>
      <c r="O63" s="86"/>
      <c r="P63" s="86"/>
      <c r="Q63" s="86"/>
      <c r="R63" s="86"/>
      <c r="S63" s="86"/>
      <c r="T63" s="86"/>
    </row>
    <row r="64">
      <c r="N64" s="86"/>
      <c r="O64" s="86"/>
      <c r="P64" s="86"/>
      <c r="Q64" s="86"/>
      <c r="R64" s="86"/>
      <c r="S64" s="86"/>
      <c r="T64" s="86"/>
    </row>
    <row r="65">
      <c r="N65" s="86"/>
      <c r="O65" s="86"/>
      <c r="P65" s="86"/>
      <c r="Q65" s="86"/>
      <c r="R65" s="86"/>
      <c r="S65" s="86"/>
      <c r="T65" s="86"/>
    </row>
    <row r="66">
      <c r="N66" s="86"/>
      <c r="O66" s="86"/>
      <c r="P66" s="86"/>
      <c r="Q66" s="86"/>
      <c r="R66" s="86"/>
      <c r="S66" s="86"/>
      <c r="T66" s="86"/>
    </row>
    <row r="67">
      <c r="N67" s="86"/>
      <c r="O67" s="86"/>
      <c r="P67" s="86"/>
      <c r="Q67" s="86"/>
      <c r="R67" s="86"/>
      <c r="S67" s="86"/>
      <c r="T67" s="86"/>
    </row>
    <row r="68">
      <c r="N68" s="86"/>
      <c r="O68" s="86"/>
      <c r="P68" s="86"/>
      <c r="Q68" s="86"/>
      <c r="R68" s="86"/>
      <c r="S68" s="86"/>
      <c r="T68" s="86"/>
    </row>
    <row r="69">
      <c r="N69" s="86"/>
      <c r="O69" s="86"/>
      <c r="P69" s="86"/>
      <c r="Q69" s="86"/>
      <c r="R69" s="86"/>
      <c r="S69" s="86"/>
      <c r="T69" s="86"/>
    </row>
    <row r="70">
      <c r="N70" s="86"/>
      <c r="O70" s="86"/>
      <c r="P70" s="86"/>
      <c r="Q70" s="86"/>
      <c r="R70" s="86"/>
      <c r="S70" s="86"/>
      <c r="T70" s="86"/>
    </row>
    <row r="71">
      <c r="N71" s="86"/>
      <c r="O71" s="86"/>
      <c r="P71" s="86"/>
      <c r="Q71" s="86"/>
      <c r="R71" s="86"/>
      <c r="S71" s="86"/>
      <c r="T71" s="86"/>
    </row>
    <row r="72">
      <c r="N72" s="86"/>
      <c r="O72" s="86"/>
      <c r="P72" s="86"/>
      <c r="Q72" s="86"/>
      <c r="R72" s="86"/>
      <c r="S72" s="86"/>
      <c r="T72" s="86"/>
    </row>
    <row r="73">
      <c r="N73" s="86"/>
      <c r="O73" s="86"/>
      <c r="P73" s="86"/>
      <c r="Q73" s="86"/>
      <c r="R73" s="86"/>
      <c r="S73" s="86"/>
      <c r="T73" s="86"/>
    </row>
    <row r="74">
      <c r="N74" s="86"/>
      <c r="O74" s="86"/>
      <c r="P74" s="86"/>
      <c r="Q74" s="86"/>
      <c r="R74" s="86"/>
      <c r="S74" s="86"/>
      <c r="T74" s="86"/>
    </row>
    <row r="75">
      <c r="N75" s="86"/>
      <c r="O75" s="86"/>
      <c r="P75" s="86"/>
      <c r="Q75" s="86"/>
      <c r="R75" s="86"/>
      <c r="S75" s="86"/>
      <c r="T75" s="86"/>
    </row>
    <row r="76">
      <c r="N76" s="86"/>
      <c r="O76" s="86"/>
      <c r="P76" s="86"/>
      <c r="Q76" s="86"/>
      <c r="R76" s="86"/>
      <c r="S76" s="86"/>
      <c r="T76" s="86"/>
    </row>
    <row r="77">
      <c r="N77" s="86"/>
      <c r="O77" s="86"/>
      <c r="P77" s="86"/>
      <c r="Q77" s="86"/>
      <c r="R77" s="86"/>
      <c r="S77" s="86"/>
      <c r="T77" s="86"/>
    </row>
    <row r="78">
      <c r="N78" s="86"/>
      <c r="O78" s="86"/>
      <c r="P78" s="86"/>
      <c r="Q78" s="86"/>
      <c r="R78" s="86"/>
      <c r="S78" s="86"/>
      <c r="T78" s="86"/>
    </row>
    <row r="79">
      <c r="N79" s="86"/>
      <c r="O79" s="86"/>
      <c r="P79" s="86"/>
      <c r="Q79" s="86"/>
      <c r="R79" s="86"/>
      <c r="S79" s="86"/>
      <c r="T79" s="86"/>
    </row>
    <row r="80">
      <c r="N80" s="86"/>
      <c r="O80" s="86"/>
      <c r="P80" s="86"/>
      <c r="Q80" s="86"/>
      <c r="R80" s="86"/>
      <c r="S80" s="86"/>
      <c r="T80" s="86"/>
    </row>
    <row r="81">
      <c r="N81" s="86"/>
      <c r="O81" s="86"/>
      <c r="P81" s="86"/>
      <c r="Q81" s="86"/>
      <c r="R81" s="86"/>
      <c r="S81" s="86"/>
      <c r="T81" s="86"/>
    </row>
    <row r="82">
      <c r="N82" s="86"/>
      <c r="O82" s="86"/>
      <c r="P82" s="86"/>
      <c r="Q82" s="86"/>
      <c r="R82" s="86"/>
      <c r="S82" s="86"/>
      <c r="T82" s="86"/>
    </row>
    <row r="83">
      <c r="N83" s="86"/>
      <c r="O83" s="86"/>
      <c r="P83" s="86"/>
      <c r="Q83" s="86"/>
      <c r="R83" s="86"/>
      <c r="S83" s="86"/>
      <c r="T83" s="86"/>
    </row>
    <row r="84">
      <c r="N84" s="86"/>
      <c r="O84" s="86"/>
      <c r="P84" s="86"/>
      <c r="Q84" s="86"/>
      <c r="R84" s="86"/>
      <c r="S84" s="86"/>
      <c r="T84" s="86"/>
    </row>
    <row r="85">
      <c r="N85" s="86"/>
      <c r="O85" s="86"/>
      <c r="P85" s="86"/>
      <c r="Q85" s="86"/>
      <c r="R85" s="86"/>
      <c r="S85" s="86"/>
      <c r="T85" s="86"/>
    </row>
    <row r="86">
      <c r="N86" s="86"/>
      <c r="O86" s="86"/>
      <c r="P86" s="86"/>
      <c r="Q86" s="86"/>
      <c r="R86" s="86"/>
      <c r="S86" s="86"/>
      <c r="T86" s="86"/>
    </row>
    <row r="87">
      <c r="N87" s="86"/>
      <c r="O87" s="86"/>
      <c r="P87" s="86"/>
      <c r="Q87" s="86"/>
      <c r="R87" s="86"/>
      <c r="S87" s="86"/>
      <c r="T87" s="86"/>
    </row>
    <row r="88">
      <c r="N88" s="86"/>
      <c r="O88" s="86"/>
      <c r="P88" s="86"/>
      <c r="Q88" s="86"/>
      <c r="R88" s="86"/>
      <c r="S88" s="86"/>
      <c r="T88" s="86"/>
    </row>
    <row r="89">
      <c r="N89" s="86"/>
      <c r="O89" s="86"/>
      <c r="P89" s="86"/>
      <c r="Q89" s="86"/>
      <c r="R89" s="86"/>
      <c r="S89" s="86"/>
      <c r="T89" s="86"/>
    </row>
    <row r="90">
      <c r="N90" s="86"/>
      <c r="O90" s="86"/>
      <c r="P90" s="86"/>
      <c r="Q90" s="86"/>
      <c r="R90" s="86"/>
      <c r="S90" s="86"/>
      <c r="T90" s="86"/>
    </row>
    <row r="91">
      <c r="N91" s="86"/>
      <c r="O91" s="86"/>
      <c r="P91" s="86"/>
      <c r="Q91" s="86"/>
      <c r="R91" s="86"/>
      <c r="S91" s="86"/>
      <c r="T91" s="86"/>
    </row>
    <row r="92">
      <c r="N92" s="86"/>
      <c r="O92" s="86"/>
      <c r="P92" s="86"/>
      <c r="Q92" s="86"/>
      <c r="R92" s="86"/>
      <c r="S92" s="86"/>
      <c r="T92" s="86"/>
    </row>
    <row r="93">
      <c r="N93" s="86"/>
      <c r="O93" s="86"/>
      <c r="P93" s="86"/>
      <c r="Q93" s="86"/>
      <c r="R93" s="86"/>
      <c r="S93" s="86"/>
      <c r="T93" s="86"/>
    </row>
    <row r="94">
      <c r="N94" s="86"/>
      <c r="O94" s="86"/>
      <c r="P94" s="86"/>
      <c r="Q94" s="86"/>
      <c r="R94" s="86"/>
      <c r="S94" s="86"/>
      <c r="T94" s="86"/>
    </row>
    <row r="95">
      <c r="N95" s="86"/>
      <c r="O95" s="86"/>
      <c r="P95" s="86"/>
      <c r="Q95" s="86"/>
      <c r="R95" s="86"/>
      <c r="S95" s="86"/>
      <c r="T95" s="86"/>
    </row>
    <row r="96">
      <c r="N96" s="86"/>
      <c r="O96" s="86"/>
      <c r="P96" s="86"/>
      <c r="Q96" s="86"/>
      <c r="R96" s="86"/>
      <c r="S96" s="86"/>
      <c r="T96" s="86"/>
    </row>
    <row r="97">
      <c r="N97" s="86"/>
      <c r="O97" s="86"/>
      <c r="P97" s="86"/>
      <c r="Q97" s="86"/>
      <c r="R97" s="86"/>
      <c r="S97" s="86"/>
      <c r="T97" s="86"/>
    </row>
    <row r="98">
      <c r="N98" s="86"/>
      <c r="O98" s="86"/>
      <c r="P98" s="86"/>
      <c r="Q98" s="86"/>
      <c r="R98" s="86"/>
      <c r="S98" s="86"/>
      <c r="T98" s="86"/>
    </row>
    <row r="99">
      <c r="N99" s="86"/>
      <c r="O99" s="86"/>
      <c r="P99" s="86"/>
      <c r="Q99" s="86"/>
      <c r="R99" s="86"/>
      <c r="S99" s="86"/>
      <c r="T99" s="86"/>
    </row>
    <row r="100">
      <c r="N100" s="86"/>
      <c r="O100" s="86"/>
      <c r="P100" s="86"/>
      <c r="Q100" s="86"/>
      <c r="R100" s="86"/>
      <c r="S100" s="86"/>
      <c r="T100" s="86"/>
    </row>
    <row r="101">
      <c r="N101" s="86"/>
      <c r="O101" s="86"/>
      <c r="P101" s="86"/>
      <c r="Q101" s="86"/>
      <c r="R101" s="86"/>
      <c r="S101" s="86"/>
      <c r="T101" s="86"/>
    </row>
    <row r="102">
      <c r="N102" s="86"/>
      <c r="O102" s="86"/>
      <c r="P102" s="86"/>
      <c r="Q102" s="86"/>
      <c r="R102" s="86"/>
      <c r="S102" s="86"/>
      <c r="T102" s="86"/>
    </row>
    <row r="103">
      <c r="N103" s="86"/>
      <c r="O103" s="86"/>
      <c r="P103" s="86"/>
      <c r="Q103" s="86"/>
      <c r="R103" s="86"/>
      <c r="S103" s="86"/>
      <c r="T103" s="86"/>
    </row>
    <row r="104">
      <c r="N104" s="86"/>
      <c r="O104" s="86"/>
      <c r="P104" s="86"/>
      <c r="Q104" s="86"/>
      <c r="R104" s="86"/>
      <c r="S104" s="86"/>
      <c r="T104" s="86"/>
    </row>
    <row r="105">
      <c r="N105" s="86"/>
      <c r="O105" s="86"/>
      <c r="P105" s="86"/>
      <c r="Q105" s="86"/>
      <c r="R105" s="86"/>
      <c r="S105" s="86"/>
      <c r="T105" s="86"/>
    </row>
    <row r="106">
      <c r="N106" s="86"/>
      <c r="O106" s="86"/>
      <c r="P106" s="86"/>
      <c r="Q106" s="86"/>
      <c r="R106" s="86"/>
      <c r="S106" s="86"/>
      <c r="T106" s="86"/>
    </row>
    <row r="107">
      <c r="N107" s="86"/>
      <c r="O107" s="86"/>
      <c r="P107" s="86"/>
      <c r="Q107" s="86"/>
      <c r="R107" s="86"/>
      <c r="S107" s="86"/>
      <c r="T107" s="86"/>
    </row>
    <row r="108">
      <c r="N108" s="86"/>
      <c r="O108" s="86"/>
      <c r="P108" s="86"/>
      <c r="Q108" s="86"/>
      <c r="R108" s="86"/>
      <c r="S108" s="86"/>
      <c r="T108" s="86"/>
    </row>
    <row r="109">
      <c r="N109" s="86"/>
      <c r="O109" s="86"/>
      <c r="P109" s="86"/>
      <c r="Q109" s="86"/>
      <c r="R109" s="86"/>
      <c r="S109" s="86"/>
      <c r="T109" s="86"/>
    </row>
    <row r="110">
      <c r="N110" s="86"/>
      <c r="O110" s="86"/>
      <c r="P110" s="86"/>
      <c r="Q110" s="86"/>
      <c r="R110" s="86"/>
      <c r="S110" s="86"/>
      <c r="T110" s="86"/>
    </row>
    <row r="111">
      <c r="N111" s="86"/>
      <c r="O111" s="86"/>
      <c r="P111" s="86"/>
      <c r="Q111" s="86"/>
      <c r="R111" s="86"/>
      <c r="S111" s="86"/>
      <c r="T111" s="86"/>
    </row>
    <row r="112">
      <c r="N112" s="86"/>
      <c r="O112" s="86"/>
      <c r="P112" s="86"/>
      <c r="Q112" s="86"/>
      <c r="R112" s="86"/>
      <c r="S112" s="86"/>
      <c r="T112" s="86"/>
    </row>
    <row r="113">
      <c r="N113" s="86"/>
      <c r="O113" s="86"/>
      <c r="P113" s="86"/>
      <c r="Q113" s="86"/>
      <c r="R113" s="86"/>
      <c r="S113" s="86"/>
      <c r="T113" s="86"/>
    </row>
    <row r="114">
      <c r="N114" s="86"/>
      <c r="O114" s="86"/>
      <c r="P114" s="86"/>
      <c r="Q114" s="86"/>
      <c r="R114" s="86"/>
      <c r="S114" s="86"/>
      <c r="T114" s="86"/>
    </row>
    <row r="115">
      <c r="N115" s="86"/>
      <c r="O115" s="86"/>
      <c r="P115" s="86"/>
      <c r="Q115" s="86"/>
      <c r="R115" s="86"/>
      <c r="S115" s="86"/>
      <c r="T115" s="86"/>
    </row>
    <row r="116">
      <c r="N116" s="86"/>
      <c r="O116" s="86"/>
      <c r="P116" s="86"/>
      <c r="Q116" s="86"/>
      <c r="R116" s="86"/>
      <c r="S116" s="86"/>
      <c r="T116" s="86"/>
    </row>
    <row r="117">
      <c r="N117" s="86"/>
      <c r="O117" s="86"/>
      <c r="P117" s="86"/>
      <c r="Q117" s="86"/>
      <c r="R117" s="86"/>
      <c r="S117" s="86"/>
      <c r="T117" s="86"/>
    </row>
    <row r="118">
      <c r="N118" s="86"/>
      <c r="O118" s="86"/>
      <c r="P118" s="86"/>
      <c r="Q118" s="86"/>
      <c r="R118" s="86"/>
      <c r="S118" s="86"/>
      <c r="T118" s="86"/>
    </row>
    <row r="119">
      <c r="N119" s="86"/>
      <c r="O119" s="86"/>
      <c r="P119" s="86"/>
      <c r="Q119" s="86"/>
      <c r="R119" s="86"/>
      <c r="S119" s="86"/>
      <c r="T119" s="86"/>
    </row>
    <row r="120">
      <c r="N120" s="86"/>
      <c r="O120" s="86"/>
      <c r="P120" s="86"/>
      <c r="Q120" s="86"/>
      <c r="R120" s="86"/>
      <c r="S120" s="86"/>
      <c r="T120" s="86"/>
    </row>
    <row r="121">
      <c r="N121" s="86"/>
      <c r="O121" s="86"/>
      <c r="P121" s="86"/>
      <c r="Q121" s="86"/>
      <c r="R121" s="86"/>
      <c r="S121" s="86"/>
      <c r="T121" s="86"/>
    </row>
    <row r="122">
      <c r="N122" s="86"/>
      <c r="O122" s="86"/>
      <c r="P122" s="86"/>
      <c r="Q122" s="86"/>
      <c r="R122" s="86"/>
      <c r="S122" s="86"/>
      <c r="T122" s="86"/>
    </row>
    <row r="123">
      <c r="N123" s="86"/>
      <c r="O123" s="86"/>
      <c r="P123" s="86"/>
      <c r="Q123" s="86"/>
      <c r="R123" s="86"/>
      <c r="S123" s="86"/>
      <c r="T123" s="86"/>
    </row>
    <row r="124">
      <c r="N124" s="86"/>
      <c r="O124" s="86"/>
      <c r="P124" s="86"/>
      <c r="Q124" s="86"/>
      <c r="R124" s="86"/>
      <c r="S124" s="86"/>
      <c r="T124" s="86"/>
    </row>
    <row r="125">
      <c r="N125" s="86"/>
      <c r="O125" s="86"/>
      <c r="P125" s="86"/>
      <c r="Q125" s="86"/>
      <c r="R125" s="86"/>
      <c r="S125" s="86"/>
      <c r="T125" s="86"/>
    </row>
    <row r="126">
      <c r="N126" s="86"/>
      <c r="O126" s="86"/>
      <c r="P126" s="86"/>
      <c r="Q126" s="86"/>
      <c r="R126" s="86"/>
      <c r="S126" s="86"/>
      <c r="T126" s="86"/>
    </row>
    <row r="127">
      <c r="N127" s="86"/>
      <c r="O127" s="86"/>
      <c r="P127" s="86"/>
      <c r="Q127" s="86"/>
      <c r="R127" s="86"/>
      <c r="S127" s="86"/>
      <c r="T127" s="86"/>
    </row>
    <row r="128">
      <c r="N128" s="86"/>
      <c r="O128" s="86"/>
      <c r="P128" s="86"/>
      <c r="Q128" s="86"/>
      <c r="R128" s="86"/>
      <c r="S128" s="86"/>
      <c r="T128" s="86"/>
    </row>
    <row r="129">
      <c r="N129" s="86"/>
      <c r="O129" s="86"/>
      <c r="P129" s="86"/>
      <c r="Q129" s="86"/>
      <c r="R129" s="86"/>
      <c r="S129" s="86"/>
      <c r="T129" s="86"/>
    </row>
    <row r="130">
      <c r="N130" s="86"/>
      <c r="O130" s="86"/>
      <c r="P130" s="86"/>
      <c r="Q130" s="86"/>
      <c r="R130" s="86"/>
      <c r="S130" s="86"/>
      <c r="T130" s="86"/>
    </row>
    <row r="131">
      <c r="N131" s="86"/>
      <c r="O131" s="86"/>
      <c r="P131" s="86"/>
      <c r="Q131" s="86"/>
      <c r="R131" s="86"/>
      <c r="S131" s="86"/>
      <c r="T131" s="86"/>
    </row>
    <row r="132">
      <c r="N132" s="86"/>
      <c r="O132" s="86"/>
      <c r="P132" s="86"/>
      <c r="Q132" s="86"/>
      <c r="R132" s="86"/>
      <c r="S132" s="86"/>
      <c r="T132" s="86"/>
    </row>
    <row r="133">
      <c r="N133" s="86"/>
      <c r="O133" s="86"/>
      <c r="P133" s="86"/>
      <c r="Q133" s="86"/>
      <c r="R133" s="86"/>
      <c r="S133" s="86"/>
      <c r="T133" s="86"/>
    </row>
    <row r="134">
      <c r="N134" s="86"/>
      <c r="O134" s="86"/>
      <c r="P134" s="86"/>
      <c r="Q134" s="86"/>
      <c r="R134" s="86"/>
      <c r="S134" s="86"/>
      <c r="T134" s="86"/>
    </row>
    <row r="135">
      <c r="N135" s="86"/>
      <c r="O135" s="86"/>
      <c r="P135" s="86"/>
      <c r="Q135" s="86"/>
      <c r="R135" s="86"/>
      <c r="S135" s="86"/>
      <c r="T135" s="86"/>
    </row>
    <row r="136">
      <c r="N136" s="86"/>
      <c r="O136" s="86"/>
      <c r="P136" s="86"/>
      <c r="Q136" s="86"/>
      <c r="R136" s="86"/>
      <c r="S136" s="86"/>
      <c r="T136" s="86"/>
    </row>
    <row r="137">
      <c r="N137" s="86"/>
      <c r="O137" s="86"/>
      <c r="P137" s="86"/>
      <c r="Q137" s="86"/>
      <c r="R137" s="86"/>
      <c r="S137" s="86"/>
      <c r="T137" s="86"/>
    </row>
    <row r="138">
      <c r="N138" s="86"/>
      <c r="O138" s="86"/>
      <c r="P138" s="86"/>
      <c r="Q138" s="86"/>
      <c r="R138" s="86"/>
      <c r="S138" s="86"/>
      <c r="T138" s="86"/>
    </row>
    <row r="139">
      <c r="N139" s="86"/>
      <c r="O139" s="86"/>
      <c r="P139" s="86"/>
      <c r="Q139" s="86"/>
      <c r="R139" s="86"/>
      <c r="S139" s="86"/>
      <c r="T139" s="86"/>
    </row>
    <row r="140">
      <c r="N140" s="86"/>
      <c r="O140" s="86"/>
      <c r="P140" s="86"/>
      <c r="Q140" s="86"/>
      <c r="R140" s="86"/>
      <c r="S140" s="86"/>
      <c r="T140" s="86"/>
    </row>
    <row r="141">
      <c r="N141" s="86"/>
      <c r="O141" s="86"/>
      <c r="P141" s="86"/>
      <c r="Q141" s="86"/>
      <c r="R141" s="86"/>
      <c r="S141" s="86"/>
      <c r="T141" s="86"/>
    </row>
    <row r="142">
      <c r="N142" s="86"/>
      <c r="O142" s="86"/>
      <c r="P142" s="86"/>
      <c r="Q142" s="86"/>
      <c r="R142" s="86"/>
      <c r="S142" s="86"/>
      <c r="T142" s="86"/>
    </row>
    <row r="143">
      <c r="N143" s="86"/>
      <c r="O143" s="86"/>
      <c r="P143" s="86"/>
      <c r="Q143" s="86"/>
      <c r="R143" s="86"/>
      <c r="S143" s="86"/>
      <c r="T143" s="86"/>
    </row>
    <row r="144">
      <c r="N144" s="86"/>
      <c r="O144" s="86"/>
      <c r="P144" s="86"/>
      <c r="Q144" s="86"/>
      <c r="R144" s="86"/>
      <c r="S144" s="86"/>
      <c r="T144" s="86"/>
    </row>
    <row r="145">
      <c r="N145" s="86"/>
      <c r="O145" s="86"/>
      <c r="P145" s="86"/>
      <c r="Q145" s="86"/>
      <c r="R145" s="86"/>
      <c r="S145" s="86"/>
      <c r="T145" s="86"/>
    </row>
    <row r="146">
      <c r="N146" s="86"/>
      <c r="O146" s="86"/>
      <c r="P146" s="86"/>
      <c r="Q146" s="86"/>
      <c r="R146" s="86"/>
      <c r="S146" s="86"/>
      <c r="T146" s="86"/>
    </row>
    <row r="147">
      <c r="N147" s="86"/>
      <c r="O147" s="86"/>
      <c r="P147" s="86"/>
      <c r="Q147" s="86"/>
      <c r="R147" s="86"/>
      <c r="S147" s="86"/>
      <c r="T147" s="86"/>
    </row>
    <row r="148">
      <c r="N148" s="86"/>
      <c r="O148" s="86"/>
      <c r="P148" s="86"/>
      <c r="Q148" s="86"/>
      <c r="R148" s="86"/>
      <c r="S148" s="86"/>
      <c r="T148" s="86"/>
    </row>
    <row r="149">
      <c r="N149" s="86"/>
      <c r="O149" s="86"/>
      <c r="P149" s="86"/>
      <c r="Q149" s="86"/>
      <c r="R149" s="86"/>
      <c r="S149" s="86"/>
      <c r="T149" s="86"/>
    </row>
    <row r="150">
      <c r="N150" s="86"/>
      <c r="O150" s="86"/>
      <c r="P150" s="86"/>
      <c r="Q150" s="86"/>
      <c r="R150" s="86"/>
      <c r="S150" s="86"/>
      <c r="T150" s="86"/>
    </row>
    <row r="151">
      <c r="N151" s="86"/>
      <c r="O151" s="86"/>
      <c r="P151" s="86"/>
      <c r="Q151" s="86"/>
      <c r="R151" s="86"/>
      <c r="S151" s="86"/>
      <c r="T151" s="86"/>
    </row>
    <row r="152">
      <c r="N152" s="86"/>
      <c r="O152" s="86"/>
      <c r="P152" s="86"/>
      <c r="Q152" s="86"/>
      <c r="R152" s="86"/>
      <c r="S152" s="86"/>
      <c r="T152" s="86"/>
    </row>
    <row r="153">
      <c r="N153" s="86"/>
      <c r="O153" s="86"/>
      <c r="P153" s="86"/>
      <c r="Q153" s="86"/>
      <c r="R153" s="86"/>
      <c r="S153" s="86"/>
      <c r="T153" s="86"/>
    </row>
    <row r="154">
      <c r="N154" s="86"/>
      <c r="O154" s="86"/>
      <c r="P154" s="86"/>
      <c r="Q154" s="86"/>
      <c r="R154" s="86"/>
      <c r="S154" s="86"/>
      <c r="T154" s="86"/>
    </row>
    <row r="155">
      <c r="N155" s="86"/>
      <c r="O155" s="86"/>
      <c r="P155" s="86"/>
      <c r="Q155" s="86"/>
      <c r="R155" s="86"/>
      <c r="S155" s="86"/>
      <c r="T155" s="86"/>
    </row>
    <row r="156">
      <c r="N156" s="86"/>
      <c r="O156" s="86"/>
      <c r="P156" s="86"/>
      <c r="Q156" s="86"/>
      <c r="R156" s="86"/>
      <c r="S156" s="86"/>
      <c r="T156" s="86"/>
    </row>
    <row r="157">
      <c r="N157" s="86"/>
      <c r="O157" s="86"/>
      <c r="P157" s="86"/>
      <c r="Q157" s="86"/>
      <c r="R157" s="86"/>
      <c r="S157" s="86"/>
      <c r="T157" s="86"/>
    </row>
    <row r="158">
      <c r="N158" s="86"/>
      <c r="O158" s="86"/>
      <c r="P158" s="86"/>
      <c r="Q158" s="86"/>
      <c r="R158" s="86"/>
      <c r="S158" s="86"/>
      <c r="T158" s="86"/>
    </row>
    <row r="159">
      <c r="N159" s="86"/>
      <c r="O159" s="86"/>
      <c r="P159" s="86"/>
      <c r="Q159" s="86"/>
      <c r="R159" s="86"/>
      <c r="S159" s="86"/>
      <c r="T159" s="86"/>
    </row>
    <row r="160">
      <c r="N160" s="86"/>
      <c r="O160" s="86"/>
      <c r="P160" s="86"/>
      <c r="Q160" s="86"/>
      <c r="R160" s="86"/>
      <c r="S160" s="86"/>
      <c r="T160" s="86"/>
    </row>
    <row r="161">
      <c r="N161" s="86"/>
      <c r="O161" s="86"/>
      <c r="P161" s="86"/>
      <c r="Q161" s="86"/>
      <c r="R161" s="86"/>
      <c r="S161" s="86"/>
      <c r="T161" s="86"/>
    </row>
    <row r="162">
      <c r="N162" s="86"/>
      <c r="O162" s="86"/>
      <c r="P162" s="86"/>
      <c r="Q162" s="86"/>
      <c r="R162" s="86"/>
      <c r="S162" s="86"/>
      <c r="T162" s="86"/>
    </row>
    <row r="163">
      <c r="N163" s="86"/>
      <c r="O163" s="86"/>
      <c r="P163" s="86"/>
      <c r="Q163" s="86"/>
      <c r="R163" s="86"/>
      <c r="S163" s="86"/>
      <c r="T163" s="86"/>
    </row>
    <row r="164">
      <c r="N164" s="86"/>
      <c r="O164" s="86"/>
      <c r="P164" s="86"/>
      <c r="Q164" s="86"/>
      <c r="R164" s="86"/>
      <c r="S164" s="86"/>
      <c r="T164" s="86"/>
    </row>
    <row r="165">
      <c r="N165" s="86"/>
      <c r="O165" s="86"/>
      <c r="P165" s="86"/>
      <c r="Q165" s="86"/>
      <c r="R165" s="86"/>
      <c r="S165" s="86"/>
      <c r="T165" s="86"/>
    </row>
    <row r="166">
      <c r="N166" s="86"/>
      <c r="O166" s="86"/>
      <c r="P166" s="86"/>
      <c r="Q166" s="86"/>
      <c r="R166" s="86"/>
      <c r="S166" s="86"/>
      <c r="T166" s="86"/>
    </row>
    <row r="167">
      <c r="N167" s="86"/>
      <c r="O167" s="86"/>
      <c r="P167" s="86"/>
      <c r="Q167" s="86"/>
      <c r="R167" s="86"/>
      <c r="S167" s="86"/>
      <c r="T167" s="86"/>
    </row>
    <row r="168">
      <c r="N168" s="86"/>
      <c r="O168" s="86"/>
      <c r="P168" s="86"/>
      <c r="Q168" s="86"/>
      <c r="R168" s="86"/>
      <c r="S168" s="86"/>
      <c r="T168" s="86"/>
    </row>
    <row r="169">
      <c r="N169" s="86"/>
      <c r="O169" s="86"/>
      <c r="P169" s="86"/>
      <c r="Q169" s="86"/>
      <c r="R169" s="86"/>
      <c r="S169" s="86"/>
      <c r="T169" s="86"/>
    </row>
    <row r="170">
      <c r="N170" s="86"/>
      <c r="O170" s="86"/>
      <c r="P170" s="86"/>
      <c r="Q170" s="86"/>
      <c r="R170" s="86"/>
      <c r="S170" s="86"/>
      <c r="T170" s="86"/>
    </row>
    <row r="171">
      <c r="N171" s="86"/>
      <c r="O171" s="86"/>
      <c r="P171" s="86"/>
      <c r="Q171" s="86"/>
      <c r="R171" s="86"/>
      <c r="S171" s="86"/>
      <c r="T171" s="86"/>
    </row>
    <row r="172">
      <c r="N172" s="86"/>
      <c r="O172" s="86"/>
      <c r="P172" s="86"/>
      <c r="Q172" s="86"/>
      <c r="R172" s="86"/>
      <c r="S172" s="86"/>
      <c r="T172" s="86"/>
    </row>
    <row r="173">
      <c r="N173" s="86"/>
      <c r="O173" s="86"/>
      <c r="P173" s="86"/>
      <c r="Q173" s="86"/>
      <c r="R173" s="86"/>
      <c r="S173" s="86"/>
      <c r="T173" s="86"/>
    </row>
    <row r="174">
      <c r="N174" s="86"/>
      <c r="O174" s="86"/>
      <c r="P174" s="86"/>
      <c r="Q174" s="86"/>
      <c r="R174" s="86"/>
      <c r="S174" s="86"/>
      <c r="T174" s="86"/>
    </row>
    <row r="175">
      <c r="N175" s="86"/>
      <c r="O175" s="86"/>
      <c r="P175" s="86"/>
      <c r="Q175" s="86"/>
      <c r="R175" s="86"/>
      <c r="S175" s="86"/>
      <c r="T175" s="86"/>
    </row>
    <row r="176">
      <c r="N176" s="86"/>
      <c r="O176" s="86"/>
      <c r="P176" s="86"/>
      <c r="Q176" s="86"/>
      <c r="R176" s="86"/>
      <c r="S176" s="86"/>
      <c r="T176" s="86"/>
    </row>
    <row r="177">
      <c r="N177" s="86"/>
      <c r="O177" s="86"/>
      <c r="P177" s="86"/>
      <c r="Q177" s="86"/>
      <c r="R177" s="86"/>
      <c r="S177" s="86"/>
      <c r="T177" s="86"/>
    </row>
    <row r="178">
      <c r="N178" s="86"/>
      <c r="O178" s="86"/>
      <c r="P178" s="86"/>
      <c r="Q178" s="86"/>
      <c r="R178" s="86"/>
      <c r="S178" s="86"/>
      <c r="T178" s="86"/>
    </row>
    <row r="179">
      <c r="N179" s="86"/>
      <c r="O179" s="86"/>
      <c r="P179" s="86"/>
      <c r="Q179" s="86"/>
      <c r="R179" s="86"/>
      <c r="S179" s="86"/>
      <c r="T179" s="86"/>
    </row>
    <row r="180">
      <c r="N180" s="86"/>
      <c r="O180" s="86"/>
      <c r="P180" s="86"/>
      <c r="Q180" s="86"/>
      <c r="R180" s="86"/>
      <c r="S180" s="86"/>
      <c r="T180" s="86"/>
    </row>
    <row r="181">
      <c r="N181" s="86"/>
      <c r="O181" s="86"/>
      <c r="P181" s="86"/>
      <c r="Q181" s="86"/>
      <c r="R181" s="86"/>
      <c r="S181" s="86"/>
      <c r="T181" s="86"/>
    </row>
    <row r="182">
      <c r="N182" s="86"/>
      <c r="O182" s="86"/>
      <c r="P182" s="86"/>
      <c r="Q182" s="86"/>
      <c r="R182" s="86"/>
      <c r="S182" s="86"/>
      <c r="T182" s="86"/>
    </row>
    <row r="183">
      <c r="N183" s="86"/>
      <c r="O183" s="86"/>
      <c r="P183" s="86"/>
      <c r="Q183" s="86"/>
      <c r="R183" s="86"/>
      <c r="S183" s="86"/>
      <c r="T183" s="86"/>
    </row>
    <row r="184">
      <c r="N184" s="86"/>
      <c r="O184" s="86"/>
      <c r="P184" s="86"/>
      <c r="Q184" s="86"/>
      <c r="R184" s="86"/>
      <c r="S184" s="86"/>
      <c r="T184" s="86"/>
    </row>
    <row r="185">
      <c r="N185" s="86"/>
      <c r="O185" s="86"/>
      <c r="P185" s="86"/>
      <c r="Q185" s="86"/>
      <c r="R185" s="86"/>
      <c r="S185" s="86"/>
      <c r="T185" s="86"/>
    </row>
    <row r="186">
      <c r="N186" s="86"/>
      <c r="O186" s="86"/>
      <c r="P186" s="86"/>
      <c r="Q186" s="86"/>
      <c r="R186" s="86"/>
      <c r="S186" s="86"/>
      <c r="T186" s="86"/>
    </row>
    <row r="187">
      <c r="N187" s="86"/>
      <c r="O187" s="86"/>
      <c r="P187" s="86"/>
      <c r="Q187" s="86"/>
      <c r="R187" s="86"/>
      <c r="S187" s="86"/>
      <c r="T187" s="86"/>
    </row>
    <row r="188">
      <c r="N188" s="86"/>
      <c r="O188" s="86"/>
      <c r="P188" s="86"/>
      <c r="Q188" s="86"/>
      <c r="R188" s="86"/>
      <c r="S188" s="86"/>
      <c r="T188" s="86"/>
    </row>
    <row r="189">
      <c r="N189" s="86"/>
      <c r="O189" s="86"/>
      <c r="P189" s="86"/>
      <c r="Q189" s="86"/>
      <c r="R189" s="86"/>
      <c r="S189" s="86"/>
      <c r="T189" s="86"/>
    </row>
    <row r="190">
      <c r="N190" s="86"/>
      <c r="O190" s="86"/>
      <c r="P190" s="86"/>
      <c r="Q190" s="86"/>
      <c r="R190" s="86"/>
      <c r="S190" s="86"/>
      <c r="T190" s="86"/>
    </row>
    <row r="191">
      <c r="N191" s="86"/>
      <c r="O191" s="86"/>
      <c r="P191" s="86"/>
      <c r="Q191" s="86"/>
      <c r="R191" s="86"/>
      <c r="S191" s="86"/>
      <c r="T191" s="86"/>
    </row>
    <row r="192">
      <c r="N192" s="86"/>
      <c r="O192" s="86"/>
      <c r="P192" s="86"/>
      <c r="Q192" s="86"/>
      <c r="R192" s="86"/>
      <c r="S192" s="86"/>
      <c r="T192" s="86"/>
    </row>
    <row r="193">
      <c r="N193" s="86"/>
      <c r="O193" s="86"/>
      <c r="P193" s="86"/>
      <c r="Q193" s="86"/>
      <c r="R193" s="86"/>
      <c r="S193" s="86"/>
      <c r="T193" s="86"/>
    </row>
    <row r="194">
      <c r="N194" s="86"/>
      <c r="O194" s="86"/>
      <c r="P194" s="86"/>
      <c r="Q194" s="86"/>
      <c r="R194" s="86"/>
      <c r="S194" s="86"/>
      <c r="T194" s="86"/>
    </row>
    <row r="195">
      <c r="N195" s="86"/>
      <c r="O195" s="86"/>
      <c r="P195" s="86"/>
      <c r="Q195" s="86"/>
      <c r="R195" s="86"/>
      <c r="S195" s="86"/>
      <c r="T195" s="86"/>
    </row>
    <row r="196">
      <c r="N196" s="86"/>
      <c r="O196" s="86"/>
      <c r="P196" s="86"/>
      <c r="Q196" s="86"/>
      <c r="R196" s="86"/>
      <c r="S196" s="86"/>
      <c r="T196" s="86"/>
    </row>
    <row r="197">
      <c r="N197" s="86"/>
      <c r="O197" s="86"/>
      <c r="P197" s="86"/>
      <c r="Q197" s="86"/>
      <c r="R197" s="86"/>
      <c r="S197" s="86"/>
      <c r="T197" s="86"/>
    </row>
    <row r="198">
      <c r="N198" s="86"/>
      <c r="O198" s="86"/>
      <c r="P198" s="86"/>
      <c r="Q198" s="86"/>
      <c r="R198" s="86"/>
      <c r="S198" s="86"/>
      <c r="T198" s="86"/>
    </row>
    <row r="199">
      <c r="N199" s="86"/>
      <c r="O199" s="86"/>
      <c r="P199" s="86"/>
      <c r="Q199" s="86"/>
      <c r="R199" s="86"/>
      <c r="S199" s="86"/>
      <c r="T199" s="86"/>
    </row>
    <row r="200">
      <c r="N200" s="86"/>
      <c r="O200" s="86"/>
      <c r="P200" s="86"/>
      <c r="Q200" s="86"/>
      <c r="R200" s="86"/>
      <c r="S200" s="86"/>
      <c r="T200" s="86"/>
    </row>
    <row r="201">
      <c r="N201" s="86"/>
      <c r="O201" s="86"/>
      <c r="P201" s="86"/>
      <c r="Q201" s="86"/>
      <c r="R201" s="86"/>
      <c r="S201" s="86"/>
      <c r="T201" s="86"/>
    </row>
    <row r="202">
      <c r="N202" s="86"/>
      <c r="O202" s="86"/>
      <c r="P202" s="86"/>
      <c r="Q202" s="86"/>
      <c r="R202" s="86"/>
      <c r="S202" s="86"/>
      <c r="T202" s="86"/>
    </row>
    <row r="203">
      <c r="N203" s="86"/>
      <c r="O203" s="86"/>
      <c r="P203" s="86"/>
      <c r="Q203" s="86"/>
      <c r="R203" s="86"/>
      <c r="S203" s="86"/>
      <c r="T203" s="86"/>
    </row>
    <row r="204">
      <c r="N204" s="86"/>
      <c r="O204" s="86"/>
      <c r="P204" s="86"/>
      <c r="Q204" s="86"/>
      <c r="R204" s="86"/>
      <c r="S204" s="86"/>
      <c r="T204" s="86"/>
    </row>
    <row r="205">
      <c r="N205" s="86"/>
      <c r="O205" s="86"/>
      <c r="P205" s="86"/>
      <c r="Q205" s="86"/>
      <c r="R205" s="86"/>
      <c r="S205" s="86"/>
      <c r="T205" s="86"/>
    </row>
    <row r="206">
      <c r="N206" s="86"/>
      <c r="O206" s="86"/>
      <c r="P206" s="86"/>
      <c r="Q206" s="86"/>
      <c r="R206" s="86"/>
      <c r="S206" s="86"/>
      <c r="T206" s="86"/>
    </row>
    <row r="207">
      <c r="N207" s="86"/>
      <c r="O207" s="86"/>
      <c r="P207" s="86"/>
      <c r="Q207" s="86"/>
      <c r="R207" s="86"/>
      <c r="S207" s="86"/>
      <c r="T207" s="86"/>
    </row>
    <row r="208">
      <c r="N208" s="86"/>
      <c r="O208" s="86"/>
      <c r="P208" s="86"/>
      <c r="Q208" s="86"/>
      <c r="R208" s="86"/>
      <c r="S208" s="86"/>
      <c r="T208" s="86"/>
    </row>
    <row r="209">
      <c r="N209" s="86"/>
      <c r="O209" s="86"/>
      <c r="P209" s="86"/>
      <c r="Q209" s="86"/>
      <c r="R209" s="86"/>
      <c r="S209" s="86"/>
      <c r="T209" s="86"/>
    </row>
    <row r="210">
      <c r="N210" s="86"/>
      <c r="O210" s="86"/>
      <c r="P210" s="86"/>
      <c r="Q210" s="86"/>
      <c r="R210" s="86"/>
      <c r="S210" s="86"/>
      <c r="T210" s="86"/>
    </row>
    <row r="211">
      <c r="N211" s="86"/>
      <c r="O211" s="86"/>
      <c r="P211" s="86"/>
      <c r="Q211" s="86"/>
      <c r="R211" s="86"/>
      <c r="S211" s="86"/>
      <c r="T211" s="86"/>
    </row>
    <row r="212">
      <c r="N212" s="86"/>
      <c r="O212" s="86"/>
      <c r="P212" s="86"/>
      <c r="Q212" s="86"/>
      <c r="R212" s="86"/>
      <c r="S212" s="86"/>
      <c r="T212" s="86"/>
    </row>
    <row r="213">
      <c r="N213" s="86"/>
      <c r="O213" s="86"/>
      <c r="P213" s="86"/>
      <c r="Q213" s="86"/>
      <c r="R213" s="86"/>
      <c r="S213" s="86"/>
      <c r="T213" s="86"/>
    </row>
    <row r="214">
      <c r="N214" s="86"/>
      <c r="O214" s="86"/>
      <c r="P214" s="86"/>
      <c r="Q214" s="86"/>
      <c r="R214" s="86"/>
      <c r="S214" s="86"/>
      <c r="T214" s="86"/>
    </row>
    <row r="215">
      <c r="N215" s="86"/>
      <c r="O215" s="86"/>
      <c r="P215" s="86"/>
      <c r="Q215" s="86"/>
      <c r="R215" s="86"/>
      <c r="S215" s="86"/>
      <c r="T215" s="86"/>
    </row>
    <row r="216">
      <c r="N216" s="86"/>
      <c r="O216" s="86"/>
      <c r="P216" s="86"/>
      <c r="Q216" s="86"/>
      <c r="R216" s="86"/>
      <c r="S216" s="86"/>
      <c r="T216" s="86"/>
    </row>
    <row r="217">
      <c r="N217" s="86"/>
      <c r="O217" s="86"/>
      <c r="P217" s="86"/>
      <c r="Q217" s="86"/>
      <c r="R217" s="86"/>
      <c r="S217" s="86"/>
      <c r="T217" s="86"/>
    </row>
    <row r="218">
      <c r="N218" s="86"/>
      <c r="O218" s="86"/>
      <c r="P218" s="86"/>
      <c r="Q218" s="86"/>
      <c r="R218" s="86"/>
      <c r="S218" s="86"/>
      <c r="T218" s="86"/>
    </row>
    <row r="219">
      <c r="N219" s="86"/>
      <c r="O219" s="86"/>
      <c r="P219" s="86"/>
      <c r="Q219" s="86"/>
      <c r="R219" s="86"/>
      <c r="S219" s="86"/>
      <c r="T219" s="86"/>
    </row>
    <row r="220">
      <c r="N220" s="86"/>
      <c r="O220" s="86"/>
      <c r="P220" s="86"/>
      <c r="Q220" s="86"/>
      <c r="R220" s="86"/>
      <c r="S220" s="86"/>
      <c r="T220" s="86"/>
    </row>
    <row r="221">
      <c r="N221" s="86"/>
      <c r="O221" s="86"/>
      <c r="P221" s="86"/>
      <c r="Q221" s="86"/>
      <c r="R221" s="86"/>
      <c r="S221" s="86"/>
      <c r="T221" s="86"/>
    </row>
    <row r="222">
      <c r="N222" s="86"/>
      <c r="O222" s="86"/>
      <c r="P222" s="86"/>
      <c r="Q222" s="86"/>
      <c r="R222" s="86"/>
      <c r="S222" s="86"/>
      <c r="T222" s="86"/>
    </row>
    <row r="223">
      <c r="N223" s="86"/>
      <c r="O223" s="86"/>
      <c r="P223" s="86"/>
      <c r="Q223" s="86"/>
      <c r="R223" s="86"/>
      <c r="S223" s="86"/>
      <c r="T223" s="86"/>
    </row>
    <row r="224">
      <c r="N224" s="86"/>
      <c r="O224" s="86"/>
      <c r="P224" s="86"/>
      <c r="Q224" s="86"/>
      <c r="R224" s="86"/>
      <c r="S224" s="86"/>
      <c r="T224" s="86"/>
    </row>
    <row r="225">
      <c r="N225" s="86"/>
      <c r="O225" s="86"/>
      <c r="P225" s="86"/>
      <c r="Q225" s="86"/>
      <c r="R225" s="86"/>
      <c r="S225" s="86"/>
      <c r="T225" s="86"/>
    </row>
    <row r="226">
      <c r="N226" s="86"/>
      <c r="O226" s="86"/>
      <c r="P226" s="86"/>
      <c r="Q226" s="86"/>
      <c r="R226" s="86"/>
      <c r="S226" s="86"/>
      <c r="T226" s="86"/>
    </row>
    <row r="227">
      <c r="N227" s="86"/>
      <c r="O227" s="86"/>
      <c r="P227" s="86"/>
      <c r="Q227" s="86"/>
      <c r="R227" s="86"/>
      <c r="S227" s="86"/>
      <c r="T227" s="86"/>
    </row>
    <row r="228">
      <c r="N228" s="86"/>
      <c r="O228" s="86"/>
      <c r="P228" s="86"/>
      <c r="Q228" s="86"/>
      <c r="R228" s="86"/>
      <c r="S228" s="86"/>
      <c r="T228" s="86"/>
    </row>
    <row r="229">
      <c r="N229" s="86"/>
      <c r="O229" s="86"/>
      <c r="P229" s="86"/>
      <c r="Q229" s="86"/>
      <c r="R229" s="86"/>
      <c r="S229" s="86"/>
      <c r="T229" s="86"/>
    </row>
    <row r="230">
      <c r="N230" s="86"/>
      <c r="O230" s="86"/>
      <c r="P230" s="86"/>
      <c r="Q230" s="86"/>
      <c r="R230" s="86"/>
      <c r="S230" s="86"/>
      <c r="T230" s="86"/>
    </row>
    <row r="231">
      <c r="N231" s="86"/>
      <c r="O231" s="86"/>
      <c r="P231" s="86"/>
      <c r="Q231" s="86"/>
      <c r="R231" s="86"/>
      <c r="S231" s="86"/>
      <c r="T231" s="86"/>
    </row>
    <row r="232">
      <c r="N232" s="86"/>
      <c r="O232" s="86"/>
      <c r="P232" s="86"/>
      <c r="Q232" s="86"/>
      <c r="R232" s="86"/>
      <c r="S232" s="86"/>
      <c r="T232" s="86"/>
    </row>
    <row r="233">
      <c r="N233" s="86"/>
      <c r="O233" s="86"/>
      <c r="P233" s="86"/>
      <c r="Q233" s="86"/>
      <c r="R233" s="86"/>
      <c r="S233" s="86"/>
      <c r="T233" s="86"/>
    </row>
    <row r="234">
      <c r="N234" s="86"/>
      <c r="O234" s="86"/>
      <c r="P234" s="86"/>
      <c r="Q234" s="86"/>
      <c r="R234" s="86"/>
      <c r="S234" s="86"/>
      <c r="T234" s="86"/>
    </row>
    <row r="235">
      <c r="N235" s="86"/>
      <c r="O235" s="86"/>
      <c r="P235" s="86"/>
      <c r="Q235" s="86"/>
      <c r="R235" s="86"/>
      <c r="S235" s="86"/>
      <c r="T235" s="86"/>
    </row>
    <row r="236">
      <c r="N236" s="86"/>
      <c r="O236" s="86"/>
      <c r="P236" s="86"/>
      <c r="Q236" s="86"/>
      <c r="R236" s="86"/>
      <c r="S236" s="86"/>
      <c r="T236" s="86"/>
    </row>
    <row r="237">
      <c r="N237" s="86"/>
      <c r="O237" s="86"/>
      <c r="P237" s="86"/>
      <c r="Q237" s="86"/>
      <c r="R237" s="86"/>
      <c r="S237" s="86"/>
      <c r="T237" s="86"/>
    </row>
    <row r="238">
      <c r="N238" s="86"/>
      <c r="O238" s="86"/>
      <c r="P238" s="86"/>
      <c r="Q238" s="86"/>
      <c r="R238" s="86"/>
      <c r="S238" s="86"/>
      <c r="T238" s="86"/>
    </row>
    <row r="239">
      <c r="N239" s="86"/>
      <c r="O239" s="86"/>
      <c r="P239" s="86"/>
      <c r="Q239" s="86"/>
      <c r="R239" s="86"/>
      <c r="S239" s="86"/>
      <c r="T239" s="86"/>
    </row>
    <row r="240">
      <c r="N240" s="86"/>
      <c r="O240" s="86"/>
      <c r="P240" s="86"/>
      <c r="Q240" s="86"/>
      <c r="R240" s="86"/>
      <c r="S240" s="86"/>
      <c r="T240" s="86"/>
    </row>
    <row r="241">
      <c r="N241" s="86"/>
      <c r="O241" s="86"/>
      <c r="P241" s="86"/>
      <c r="Q241" s="86"/>
      <c r="R241" s="86"/>
      <c r="S241" s="86"/>
      <c r="T241" s="86"/>
    </row>
    <row r="242">
      <c r="N242" s="86"/>
      <c r="O242" s="86"/>
      <c r="P242" s="86"/>
      <c r="Q242" s="86"/>
      <c r="R242" s="86"/>
      <c r="S242" s="86"/>
      <c r="T242" s="86"/>
    </row>
    <row r="243">
      <c r="N243" s="86"/>
      <c r="O243" s="86"/>
      <c r="P243" s="86"/>
      <c r="Q243" s="86"/>
      <c r="R243" s="86"/>
      <c r="S243" s="86"/>
      <c r="T243" s="86"/>
    </row>
    <row r="244">
      <c r="N244" s="86"/>
      <c r="O244" s="86"/>
      <c r="P244" s="86"/>
      <c r="Q244" s="86"/>
      <c r="R244" s="86"/>
      <c r="S244" s="86"/>
      <c r="T244" s="86"/>
    </row>
    <row r="245">
      <c r="N245" s="86"/>
      <c r="O245" s="86"/>
      <c r="P245" s="86"/>
      <c r="Q245" s="86"/>
      <c r="R245" s="86"/>
      <c r="S245" s="86"/>
      <c r="T245" s="86"/>
    </row>
    <row r="246">
      <c r="N246" s="86"/>
      <c r="O246" s="86"/>
      <c r="P246" s="86"/>
      <c r="Q246" s="86"/>
      <c r="R246" s="86"/>
      <c r="S246" s="86"/>
      <c r="T246" s="86"/>
    </row>
    <row r="247">
      <c r="N247" s="86"/>
      <c r="O247" s="86"/>
      <c r="P247" s="86"/>
      <c r="Q247" s="86"/>
      <c r="R247" s="86"/>
      <c r="S247" s="86"/>
      <c r="T247" s="86"/>
    </row>
    <row r="248">
      <c r="N248" s="86"/>
      <c r="O248" s="86"/>
      <c r="P248" s="86"/>
      <c r="Q248" s="86"/>
      <c r="R248" s="86"/>
      <c r="S248" s="86"/>
      <c r="T248" s="86"/>
    </row>
    <row r="249">
      <c r="N249" s="86"/>
      <c r="O249" s="86"/>
      <c r="P249" s="86"/>
      <c r="Q249" s="86"/>
      <c r="R249" s="86"/>
      <c r="S249" s="86"/>
      <c r="T249" s="86"/>
    </row>
    <row r="250">
      <c r="N250" s="86"/>
      <c r="O250" s="86"/>
      <c r="P250" s="86"/>
      <c r="Q250" s="86"/>
      <c r="R250" s="86"/>
      <c r="S250" s="86"/>
      <c r="T250" s="86"/>
    </row>
    <row r="251">
      <c r="N251" s="86"/>
      <c r="O251" s="86"/>
      <c r="P251" s="86"/>
      <c r="Q251" s="86"/>
      <c r="R251" s="86"/>
      <c r="S251" s="86"/>
      <c r="T251" s="86"/>
    </row>
    <row r="252">
      <c r="N252" s="86"/>
      <c r="O252" s="86"/>
      <c r="P252" s="86"/>
      <c r="Q252" s="86"/>
      <c r="R252" s="86"/>
      <c r="S252" s="86"/>
      <c r="T252" s="86"/>
    </row>
    <row r="253">
      <c r="N253" s="86"/>
      <c r="O253" s="86"/>
      <c r="P253" s="86"/>
      <c r="Q253" s="86"/>
      <c r="R253" s="86"/>
      <c r="S253" s="86"/>
      <c r="T253" s="86"/>
    </row>
    <row r="254">
      <c r="N254" s="86"/>
      <c r="O254" s="86"/>
      <c r="P254" s="86"/>
      <c r="Q254" s="86"/>
      <c r="R254" s="86"/>
      <c r="S254" s="86"/>
      <c r="T254" s="86"/>
    </row>
    <row r="255">
      <c r="N255" s="86"/>
      <c r="O255" s="86"/>
      <c r="P255" s="86"/>
      <c r="Q255" s="86"/>
      <c r="R255" s="86"/>
      <c r="S255" s="86"/>
      <c r="T255" s="86"/>
    </row>
    <row r="256">
      <c r="N256" s="86"/>
      <c r="O256" s="86"/>
      <c r="P256" s="86"/>
      <c r="Q256" s="86"/>
      <c r="R256" s="86"/>
      <c r="S256" s="86"/>
      <c r="T256" s="86"/>
    </row>
    <row r="257">
      <c r="N257" s="86"/>
      <c r="O257" s="86"/>
      <c r="P257" s="86"/>
      <c r="Q257" s="86"/>
      <c r="R257" s="86"/>
      <c r="S257" s="86"/>
      <c r="T257" s="86"/>
    </row>
    <row r="258">
      <c r="N258" s="86"/>
      <c r="O258" s="86"/>
      <c r="P258" s="86"/>
      <c r="Q258" s="86"/>
      <c r="R258" s="86"/>
      <c r="S258" s="86"/>
      <c r="T258" s="86"/>
    </row>
    <row r="259">
      <c r="N259" s="86"/>
      <c r="O259" s="86"/>
      <c r="P259" s="86"/>
      <c r="Q259" s="86"/>
      <c r="R259" s="86"/>
      <c r="S259" s="86"/>
      <c r="T259" s="86"/>
    </row>
    <row r="260">
      <c r="N260" s="86"/>
      <c r="O260" s="86"/>
      <c r="P260" s="86"/>
      <c r="Q260" s="86"/>
      <c r="R260" s="86"/>
      <c r="S260" s="86"/>
      <c r="T260" s="86"/>
    </row>
    <row r="261">
      <c r="N261" s="86"/>
      <c r="O261" s="86"/>
      <c r="P261" s="86"/>
      <c r="Q261" s="86"/>
      <c r="R261" s="86"/>
      <c r="S261" s="86"/>
      <c r="T261" s="86"/>
    </row>
    <row r="262">
      <c r="N262" s="86"/>
      <c r="O262" s="86"/>
      <c r="P262" s="86"/>
      <c r="Q262" s="86"/>
      <c r="R262" s="86"/>
      <c r="S262" s="86"/>
      <c r="T262" s="86"/>
    </row>
    <row r="263">
      <c r="N263" s="86"/>
      <c r="O263" s="86"/>
      <c r="P263" s="86"/>
      <c r="Q263" s="86"/>
      <c r="R263" s="86"/>
      <c r="S263" s="86"/>
      <c r="T263" s="86"/>
    </row>
    <row r="264">
      <c r="N264" s="86"/>
      <c r="O264" s="86"/>
      <c r="P264" s="86"/>
      <c r="Q264" s="86"/>
      <c r="R264" s="86"/>
      <c r="S264" s="86"/>
      <c r="T264" s="86"/>
    </row>
    <row r="265">
      <c r="N265" s="86"/>
      <c r="O265" s="86"/>
      <c r="P265" s="86"/>
      <c r="Q265" s="86"/>
      <c r="R265" s="86"/>
      <c r="S265" s="86"/>
      <c r="T265" s="86"/>
    </row>
    <row r="266">
      <c r="N266" s="86"/>
      <c r="O266" s="86"/>
      <c r="P266" s="86"/>
      <c r="Q266" s="86"/>
      <c r="R266" s="86"/>
      <c r="S266" s="86"/>
      <c r="T266" s="86"/>
    </row>
    <row r="267">
      <c r="N267" s="86"/>
      <c r="O267" s="86"/>
      <c r="P267" s="86"/>
      <c r="Q267" s="86"/>
      <c r="R267" s="86"/>
      <c r="S267" s="86"/>
      <c r="T267" s="86"/>
    </row>
    <row r="268">
      <c r="N268" s="86"/>
      <c r="O268" s="86"/>
      <c r="P268" s="86"/>
      <c r="Q268" s="86"/>
      <c r="R268" s="86"/>
      <c r="S268" s="86"/>
      <c r="T268" s="86"/>
    </row>
    <row r="269">
      <c r="N269" s="86"/>
      <c r="O269" s="86"/>
      <c r="P269" s="86"/>
      <c r="Q269" s="86"/>
      <c r="R269" s="86"/>
      <c r="S269" s="86"/>
      <c r="T269" s="86"/>
    </row>
    <row r="270">
      <c r="N270" s="86"/>
      <c r="O270" s="86"/>
      <c r="P270" s="86"/>
      <c r="Q270" s="86"/>
      <c r="R270" s="86"/>
      <c r="S270" s="86"/>
      <c r="T270" s="86"/>
    </row>
    <row r="271">
      <c r="N271" s="86"/>
      <c r="O271" s="86"/>
      <c r="P271" s="86"/>
      <c r="Q271" s="86"/>
      <c r="R271" s="86"/>
      <c r="S271" s="86"/>
      <c r="T271" s="86"/>
    </row>
    <row r="272">
      <c r="N272" s="86"/>
      <c r="O272" s="86"/>
      <c r="P272" s="86"/>
      <c r="Q272" s="86"/>
      <c r="R272" s="86"/>
      <c r="S272" s="86"/>
      <c r="T272" s="86"/>
    </row>
    <row r="273">
      <c r="N273" s="86"/>
      <c r="O273" s="86"/>
      <c r="P273" s="86"/>
      <c r="Q273" s="86"/>
      <c r="R273" s="86"/>
      <c r="S273" s="86"/>
      <c r="T273" s="86"/>
    </row>
    <row r="274">
      <c r="N274" s="86"/>
      <c r="O274" s="86"/>
      <c r="P274" s="86"/>
      <c r="Q274" s="86"/>
      <c r="R274" s="86"/>
      <c r="S274" s="86"/>
      <c r="T274" s="86"/>
    </row>
    <row r="275">
      <c r="N275" s="86"/>
      <c r="O275" s="86"/>
      <c r="P275" s="86"/>
      <c r="Q275" s="86"/>
      <c r="R275" s="86"/>
      <c r="S275" s="86"/>
      <c r="T275" s="86"/>
    </row>
    <row r="276">
      <c r="N276" s="86"/>
      <c r="O276" s="86"/>
      <c r="P276" s="86"/>
      <c r="Q276" s="86"/>
      <c r="R276" s="86"/>
      <c r="S276" s="86"/>
      <c r="T276" s="86"/>
    </row>
    <row r="277">
      <c r="N277" s="86"/>
      <c r="O277" s="86"/>
      <c r="P277" s="86"/>
      <c r="Q277" s="86"/>
      <c r="R277" s="86"/>
      <c r="S277" s="86"/>
      <c r="T277" s="86"/>
    </row>
    <row r="278">
      <c r="N278" s="86"/>
      <c r="O278" s="86"/>
      <c r="P278" s="86"/>
      <c r="Q278" s="86"/>
      <c r="R278" s="86"/>
      <c r="S278" s="86"/>
      <c r="T278" s="86"/>
    </row>
    <row r="279">
      <c r="N279" s="86"/>
      <c r="O279" s="86"/>
      <c r="P279" s="86"/>
      <c r="Q279" s="86"/>
      <c r="R279" s="86"/>
      <c r="S279" s="86"/>
      <c r="T279" s="86"/>
    </row>
    <row r="280">
      <c r="N280" s="86"/>
      <c r="O280" s="86"/>
      <c r="P280" s="86"/>
      <c r="Q280" s="86"/>
      <c r="R280" s="86"/>
      <c r="S280" s="86"/>
      <c r="T280" s="86"/>
    </row>
    <row r="281">
      <c r="N281" s="86"/>
      <c r="O281" s="86"/>
      <c r="P281" s="86"/>
      <c r="Q281" s="86"/>
      <c r="R281" s="86"/>
      <c r="S281" s="86"/>
      <c r="T281" s="86"/>
    </row>
    <row r="282">
      <c r="N282" s="86"/>
      <c r="O282" s="86"/>
      <c r="P282" s="86"/>
      <c r="Q282" s="86"/>
      <c r="R282" s="86"/>
      <c r="S282" s="86"/>
      <c r="T282" s="86"/>
    </row>
    <row r="283">
      <c r="N283" s="86"/>
      <c r="O283" s="86"/>
      <c r="P283" s="86"/>
      <c r="Q283" s="86"/>
      <c r="R283" s="86"/>
      <c r="S283" s="86"/>
      <c r="T283" s="86"/>
    </row>
    <row r="284">
      <c r="N284" s="86"/>
      <c r="O284" s="86"/>
      <c r="P284" s="86"/>
      <c r="Q284" s="86"/>
      <c r="R284" s="86"/>
      <c r="S284" s="86"/>
      <c r="T284" s="86"/>
    </row>
    <row r="285">
      <c r="N285" s="86"/>
      <c r="O285" s="86"/>
      <c r="P285" s="86"/>
      <c r="Q285" s="86"/>
      <c r="R285" s="86"/>
      <c r="S285" s="86"/>
      <c r="T285" s="86"/>
    </row>
    <row r="286">
      <c r="N286" s="86"/>
      <c r="O286" s="86"/>
      <c r="P286" s="86"/>
      <c r="Q286" s="86"/>
      <c r="R286" s="86"/>
      <c r="S286" s="86"/>
      <c r="T286" s="86"/>
    </row>
    <row r="287">
      <c r="N287" s="86"/>
      <c r="O287" s="86"/>
      <c r="P287" s="86"/>
      <c r="Q287" s="86"/>
      <c r="R287" s="86"/>
      <c r="S287" s="86"/>
      <c r="T287" s="86"/>
    </row>
    <row r="288">
      <c r="N288" s="86"/>
      <c r="O288" s="86"/>
      <c r="P288" s="86"/>
      <c r="Q288" s="86"/>
      <c r="R288" s="86"/>
      <c r="S288" s="86"/>
      <c r="T288" s="86"/>
    </row>
    <row r="289">
      <c r="N289" s="86"/>
      <c r="O289" s="86"/>
      <c r="P289" s="86"/>
      <c r="Q289" s="86"/>
      <c r="R289" s="86"/>
      <c r="S289" s="86"/>
      <c r="T289" s="86"/>
    </row>
    <row r="290">
      <c r="N290" s="86"/>
      <c r="O290" s="86"/>
      <c r="P290" s="86"/>
      <c r="Q290" s="86"/>
      <c r="R290" s="86"/>
      <c r="S290" s="86"/>
      <c r="T290" s="86"/>
    </row>
    <row r="291">
      <c r="N291" s="86"/>
      <c r="O291" s="86"/>
      <c r="P291" s="86"/>
      <c r="Q291" s="86"/>
      <c r="R291" s="86"/>
      <c r="S291" s="86"/>
      <c r="T291" s="86"/>
    </row>
    <row r="292">
      <c r="N292" s="86"/>
      <c r="O292" s="86"/>
      <c r="P292" s="86"/>
      <c r="Q292" s="86"/>
      <c r="R292" s="86"/>
      <c r="S292" s="86"/>
      <c r="T292" s="86"/>
    </row>
    <row r="293">
      <c r="N293" s="86"/>
      <c r="O293" s="86"/>
      <c r="P293" s="86"/>
      <c r="Q293" s="86"/>
      <c r="R293" s="86"/>
      <c r="S293" s="86"/>
      <c r="T293" s="86"/>
    </row>
    <row r="294">
      <c r="N294" s="86"/>
      <c r="O294" s="86"/>
      <c r="P294" s="86"/>
      <c r="Q294" s="86"/>
      <c r="R294" s="86"/>
      <c r="S294" s="86"/>
      <c r="T294" s="86"/>
    </row>
    <row r="295">
      <c r="N295" s="86"/>
      <c r="O295" s="86"/>
      <c r="P295" s="86"/>
      <c r="Q295" s="86"/>
      <c r="R295" s="86"/>
      <c r="S295" s="86"/>
      <c r="T295" s="86"/>
    </row>
    <row r="296">
      <c r="N296" s="86"/>
      <c r="O296" s="86"/>
      <c r="P296" s="86"/>
      <c r="Q296" s="86"/>
      <c r="R296" s="86"/>
      <c r="S296" s="86"/>
      <c r="T296" s="86"/>
    </row>
    <row r="297">
      <c r="N297" s="86"/>
      <c r="O297" s="86"/>
      <c r="P297" s="86"/>
      <c r="Q297" s="86"/>
      <c r="R297" s="86"/>
      <c r="S297" s="86"/>
      <c r="T297" s="86"/>
    </row>
    <row r="298">
      <c r="N298" s="86"/>
      <c r="O298" s="86"/>
      <c r="P298" s="86"/>
      <c r="Q298" s="86"/>
      <c r="R298" s="86"/>
      <c r="S298" s="86"/>
      <c r="T298" s="86"/>
    </row>
    <row r="299">
      <c r="N299" s="86"/>
      <c r="O299" s="86"/>
      <c r="P299" s="86"/>
      <c r="Q299" s="86"/>
      <c r="R299" s="86"/>
      <c r="S299" s="86"/>
      <c r="T299" s="86"/>
    </row>
    <row r="300">
      <c r="N300" s="86"/>
      <c r="O300" s="86"/>
      <c r="P300" s="86"/>
      <c r="Q300" s="86"/>
      <c r="R300" s="86"/>
      <c r="S300" s="86"/>
      <c r="T300" s="86"/>
    </row>
    <row r="301">
      <c r="N301" s="86"/>
      <c r="O301" s="86"/>
      <c r="P301" s="86"/>
      <c r="Q301" s="86"/>
      <c r="R301" s="86"/>
      <c r="S301" s="86"/>
      <c r="T301" s="86"/>
    </row>
    <row r="302">
      <c r="N302" s="86"/>
      <c r="O302" s="86"/>
      <c r="P302" s="86"/>
      <c r="Q302" s="86"/>
      <c r="R302" s="86"/>
      <c r="S302" s="86"/>
      <c r="T302" s="86"/>
    </row>
    <row r="303">
      <c r="N303" s="86"/>
      <c r="O303" s="86"/>
      <c r="P303" s="86"/>
      <c r="Q303" s="86"/>
      <c r="R303" s="86"/>
      <c r="S303" s="86"/>
      <c r="T303" s="86"/>
    </row>
    <row r="304">
      <c r="N304" s="86"/>
      <c r="O304" s="86"/>
      <c r="P304" s="86"/>
      <c r="Q304" s="86"/>
      <c r="R304" s="86"/>
      <c r="S304" s="86"/>
      <c r="T304" s="86"/>
    </row>
    <row r="305">
      <c r="N305" s="86"/>
      <c r="O305" s="86"/>
      <c r="P305" s="86"/>
      <c r="Q305" s="86"/>
      <c r="R305" s="86"/>
      <c r="S305" s="86"/>
      <c r="T305" s="86"/>
    </row>
    <row r="306">
      <c r="N306" s="86"/>
      <c r="O306" s="86"/>
      <c r="P306" s="86"/>
      <c r="Q306" s="86"/>
      <c r="R306" s="86"/>
      <c r="S306" s="86"/>
      <c r="T306" s="86"/>
    </row>
    <row r="307">
      <c r="N307" s="86"/>
      <c r="O307" s="86"/>
      <c r="P307" s="86"/>
      <c r="Q307" s="86"/>
      <c r="R307" s="86"/>
      <c r="S307" s="86"/>
      <c r="T307" s="86"/>
    </row>
    <row r="308">
      <c r="N308" s="86"/>
      <c r="O308" s="86"/>
      <c r="P308" s="86"/>
      <c r="Q308" s="86"/>
      <c r="R308" s="86"/>
      <c r="S308" s="86"/>
      <c r="T308" s="86"/>
    </row>
    <row r="309">
      <c r="N309" s="86"/>
      <c r="O309" s="86"/>
      <c r="P309" s="86"/>
      <c r="Q309" s="86"/>
      <c r="R309" s="86"/>
      <c r="S309" s="86"/>
      <c r="T309" s="86"/>
    </row>
    <row r="310">
      <c r="N310" s="86"/>
      <c r="O310" s="86"/>
      <c r="P310" s="86"/>
      <c r="Q310" s="86"/>
      <c r="R310" s="86"/>
      <c r="S310" s="86"/>
      <c r="T310" s="86"/>
    </row>
    <row r="311">
      <c r="N311" s="86"/>
      <c r="O311" s="86"/>
      <c r="P311" s="86"/>
      <c r="Q311" s="86"/>
      <c r="R311" s="86"/>
      <c r="S311" s="86"/>
      <c r="T311" s="86"/>
    </row>
    <row r="312">
      <c r="N312" s="86"/>
      <c r="O312" s="86"/>
      <c r="P312" s="86"/>
      <c r="Q312" s="86"/>
      <c r="R312" s="86"/>
      <c r="S312" s="86"/>
      <c r="T312" s="86"/>
    </row>
    <row r="313">
      <c r="N313" s="86"/>
      <c r="O313" s="86"/>
      <c r="P313" s="86"/>
      <c r="Q313" s="86"/>
      <c r="R313" s="86"/>
      <c r="S313" s="86"/>
      <c r="T313" s="86"/>
    </row>
    <row r="314">
      <c r="N314" s="86"/>
      <c r="O314" s="86"/>
      <c r="P314" s="86"/>
      <c r="Q314" s="86"/>
      <c r="R314" s="86"/>
      <c r="S314" s="86"/>
      <c r="T314" s="86"/>
    </row>
    <row r="315">
      <c r="N315" s="86"/>
      <c r="O315" s="86"/>
      <c r="P315" s="86"/>
      <c r="Q315" s="86"/>
      <c r="R315" s="86"/>
      <c r="S315" s="86"/>
      <c r="T315" s="86"/>
    </row>
    <row r="316">
      <c r="N316" s="86"/>
      <c r="O316" s="86"/>
      <c r="P316" s="86"/>
      <c r="Q316" s="86"/>
      <c r="R316" s="86"/>
      <c r="S316" s="86"/>
      <c r="T316" s="86"/>
    </row>
    <row r="317">
      <c r="N317" s="86"/>
      <c r="O317" s="86"/>
      <c r="P317" s="86"/>
      <c r="Q317" s="86"/>
      <c r="R317" s="86"/>
      <c r="S317" s="86"/>
      <c r="T317" s="86"/>
    </row>
    <row r="318">
      <c r="N318" s="86"/>
      <c r="O318" s="86"/>
      <c r="P318" s="86"/>
      <c r="Q318" s="86"/>
      <c r="R318" s="86"/>
      <c r="S318" s="86"/>
      <c r="T318" s="86"/>
    </row>
    <row r="319">
      <c r="N319" s="86"/>
      <c r="O319" s="86"/>
      <c r="P319" s="86"/>
      <c r="Q319" s="86"/>
      <c r="R319" s="86"/>
      <c r="S319" s="86"/>
      <c r="T319" s="86"/>
    </row>
    <row r="320">
      <c r="N320" s="86"/>
      <c r="O320" s="86"/>
      <c r="P320" s="86"/>
      <c r="Q320" s="86"/>
      <c r="R320" s="86"/>
      <c r="S320" s="86"/>
      <c r="T320" s="86"/>
    </row>
    <row r="321">
      <c r="N321" s="86"/>
      <c r="O321" s="86"/>
      <c r="P321" s="86"/>
      <c r="Q321" s="86"/>
      <c r="R321" s="86"/>
      <c r="S321" s="86"/>
      <c r="T321" s="86"/>
    </row>
    <row r="322">
      <c r="N322" s="86"/>
      <c r="O322" s="86"/>
      <c r="P322" s="86"/>
      <c r="Q322" s="86"/>
      <c r="R322" s="86"/>
      <c r="S322" s="86"/>
      <c r="T322" s="86"/>
    </row>
    <row r="323">
      <c r="N323" s="86"/>
      <c r="O323" s="86"/>
      <c r="P323" s="86"/>
      <c r="Q323" s="86"/>
      <c r="R323" s="86"/>
      <c r="S323" s="86"/>
      <c r="T323" s="86"/>
    </row>
    <row r="324">
      <c r="N324" s="86"/>
      <c r="O324" s="86"/>
      <c r="P324" s="86"/>
      <c r="Q324" s="86"/>
      <c r="R324" s="86"/>
      <c r="S324" s="86"/>
      <c r="T324" s="86"/>
    </row>
    <row r="325">
      <c r="N325" s="86"/>
      <c r="O325" s="86"/>
      <c r="P325" s="86"/>
      <c r="Q325" s="86"/>
      <c r="R325" s="86"/>
      <c r="S325" s="86"/>
      <c r="T325" s="86"/>
    </row>
    <row r="326">
      <c r="N326" s="86"/>
      <c r="O326" s="86"/>
      <c r="P326" s="86"/>
      <c r="Q326" s="86"/>
      <c r="R326" s="86"/>
      <c r="S326" s="86"/>
      <c r="T326" s="86"/>
    </row>
    <row r="327">
      <c r="N327" s="86"/>
      <c r="O327" s="86"/>
      <c r="P327" s="86"/>
      <c r="Q327" s="86"/>
      <c r="R327" s="86"/>
      <c r="S327" s="86"/>
      <c r="T327" s="86"/>
    </row>
    <row r="328">
      <c r="N328" s="86"/>
      <c r="O328" s="86"/>
      <c r="P328" s="86"/>
      <c r="Q328" s="86"/>
      <c r="R328" s="86"/>
      <c r="S328" s="86"/>
      <c r="T328" s="86"/>
    </row>
    <row r="329">
      <c r="N329" s="86"/>
      <c r="O329" s="86"/>
      <c r="P329" s="86"/>
      <c r="Q329" s="86"/>
      <c r="R329" s="86"/>
      <c r="S329" s="86"/>
      <c r="T329" s="86"/>
    </row>
    <row r="330">
      <c r="N330" s="86"/>
      <c r="O330" s="86"/>
      <c r="P330" s="86"/>
      <c r="Q330" s="86"/>
      <c r="R330" s="86"/>
      <c r="S330" s="86"/>
      <c r="T330" s="86"/>
    </row>
    <row r="331">
      <c r="N331" s="86"/>
      <c r="O331" s="86"/>
      <c r="P331" s="86"/>
      <c r="Q331" s="86"/>
      <c r="R331" s="86"/>
      <c r="S331" s="86"/>
      <c r="T331" s="86"/>
    </row>
    <row r="332">
      <c r="N332" s="86"/>
      <c r="O332" s="86"/>
      <c r="P332" s="86"/>
      <c r="Q332" s="86"/>
      <c r="R332" s="86"/>
      <c r="S332" s="86"/>
      <c r="T332" s="86"/>
    </row>
    <row r="333">
      <c r="N333" s="86"/>
      <c r="O333" s="86"/>
      <c r="P333" s="86"/>
      <c r="Q333" s="86"/>
      <c r="R333" s="86"/>
      <c r="S333" s="86"/>
      <c r="T333" s="86"/>
    </row>
    <row r="334">
      <c r="N334" s="86"/>
      <c r="O334" s="86"/>
      <c r="P334" s="86"/>
      <c r="Q334" s="86"/>
      <c r="R334" s="86"/>
      <c r="S334" s="86"/>
      <c r="T334" s="86"/>
    </row>
    <row r="335">
      <c r="N335" s="86"/>
      <c r="O335" s="86"/>
      <c r="P335" s="86"/>
      <c r="Q335" s="86"/>
      <c r="R335" s="86"/>
      <c r="S335" s="86"/>
      <c r="T335" s="86"/>
    </row>
    <row r="336">
      <c r="N336" s="86"/>
      <c r="O336" s="86"/>
      <c r="P336" s="86"/>
      <c r="Q336" s="86"/>
      <c r="R336" s="86"/>
      <c r="S336" s="86"/>
      <c r="T336" s="86"/>
    </row>
    <row r="337">
      <c r="N337" s="86"/>
      <c r="O337" s="86"/>
      <c r="P337" s="86"/>
      <c r="Q337" s="86"/>
      <c r="R337" s="86"/>
      <c r="S337" s="86"/>
      <c r="T337" s="86"/>
    </row>
    <row r="338">
      <c r="N338" s="86"/>
      <c r="O338" s="86"/>
      <c r="P338" s="86"/>
      <c r="Q338" s="86"/>
      <c r="R338" s="86"/>
      <c r="S338" s="86"/>
      <c r="T338" s="86"/>
    </row>
    <row r="339">
      <c r="N339" s="86"/>
      <c r="O339" s="86"/>
      <c r="P339" s="86"/>
      <c r="Q339" s="86"/>
      <c r="R339" s="86"/>
      <c r="S339" s="86"/>
      <c r="T339" s="86"/>
    </row>
    <row r="340">
      <c r="N340" s="86"/>
      <c r="O340" s="86"/>
      <c r="P340" s="86"/>
      <c r="Q340" s="86"/>
      <c r="R340" s="86"/>
      <c r="S340" s="86"/>
      <c r="T340" s="86"/>
    </row>
    <row r="341">
      <c r="N341" s="86"/>
      <c r="O341" s="86"/>
      <c r="P341" s="86"/>
      <c r="Q341" s="86"/>
      <c r="R341" s="86"/>
      <c r="S341" s="86"/>
      <c r="T341" s="86"/>
    </row>
    <row r="342">
      <c r="N342" s="86"/>
      <c r="O342" s="86"/>
      <c r="P342" s="86"/>
      <c r="Q342" s="86"/>
      <c r="R342" s="86"/>
      <c r="S342" s="86"/>
      <c r="T342" s="86"/>
    </row>
    <row r="343">
      <c r="N343" s="86"/>
      <c r="O343" s="86"/>
      <c r="P343" s="86"/>
      <c r="Q343" s="86"/>
      <c r="R343" s="86"/>
      <c r="S343" s="86"/>
      <c r="T343" s="86"/>
    </row>
    <row r="344">
      <c r="N344" s="86"/>
      <c r="O344" s="86"/>
      <c r="P344" s="86"/>
      <c r="Q344" s="86"/>
      <c r="R344" s="86"/>
      <c r="S344" s="86"/>
      <c r="T344" s="86"/>
    </row>
    <row r="345">
      <c r="N345" s="86"/>
      <c r="O345" s="86"/>
      <c r="P345" s="86"/>
      <c r="Q345" s="86"/>
      <c r="R345" s="86"/>
      <c r="S345" s="86"/>
      <c r="T345" s="86"/>
    </row>
    <row r="346">
      <c r="N346" s="86"/>
      <c r="O346" s="86"/>
      <c r="P346" s="86"/>
      <c r="Q346" s="86"/>
      <c r="R346" s="86"/>
      <c r="S346" s="86"/>
      <c r="T346" s="86"/>
    </row>
    <row r="347">
      <c r="N347" s="86"/>
      <c r="O347" s="86"/>
      <c r="P347" s="86"/>
      <c r="Q347" s="86"/>
      <c r="R347" s="86"/>
      <c r="S347" s="86"/>
      <c r="T347" s="86"/>
    </row>
    <row r="348">
      <c r="N348" s="86"/>
      <c r="O348" s="86"/>
      <c r="P348" s="86"/>
      <c r="Q348" s="86"/>
      <c r="R348" s="86"/>
      <c r="S348" s="86"/>
      <c r="T348" s="86"/>
    </row>
    <row r="349">
      <c r="N349" s="86"/>
      <c r="O349" s="86"/>
      <c r="P349" s="86"/>
      <c r="Q349" s="86"/>
      <c r="R349" s="86"/>
      <c r="S349" s="86"/>
      <c r="T349" s="86"/>
    </row>
    <row r="350">
      <c r="N350" s="86"/>
      <c r="O350" s="86"/>
      <c r="P350" s="86"/>
      <c r="Q350" s="86"/>
      <c r="R350" s="86"/>
      <c r="S350" s="86"/>
      <c r="T350" s="86"/>
    </row>
    <row r="351">
      <c r="N351" s="86"/>
      <c r="O351" s="86"/>
      <c r="P351" s="86"/>
      <c r="Q351" s="86"/>
      <c r="R351" s="86"/>
      <c r="S351" s="86"/>
      <c r="T351" s="86"/>
    </row>
    <row r="352">
      <c r="N352" s="86"/>
      <c r="O352" s="86"/>
      <c r="P352" s="86"/>
      <c r="Q352" s="86"/>
      <c r="R352" s="86"/>
      <c r="S352" s="86"/>
      <c r="T352" s="86"/>
    </row>
    <row r="353">
      <c r="N353" s="86"/>
      <c r="O353" s="86"/>
      <c r="P353" s="86"/>
      <c r="Q353" s="86"/>
      <c r="R353" s="86"/>
      <c r="S353" s="86"/>
      <c r="T353" s="86"/>
    </row>
    <row r="354">
      <c r="N354" s="86"/>
      <c r="O354" s="86"/>
      <c r="P354" s="86"/>
      <c r="Q354" s="86"/>
      <c r="R354" s="86"/>
      <c r="S354" s="86"/>
      <c r="T354" s="86"/>
    </row>
    <row r="355">
      <c r="N355" s="86"/>
      <c r="O355" s="86"/>
      <c r="P355" s="86"/>
      <c r="Q355" s="86"/>
      <c r="R355" s="86"/>
      <c r="S355" s="86"/>
      <c r="T355" s="86"/>
    </row>
    <row r="356">
      <c r="N356" s="86"/>
      <c r="O356" s="86"/>
      <c r="P356" s="86"/>
      <c r="Q356" s="86"/>
      <c r="R356" s="86"/>
      <c r="S356" s="86"/>
      <c r="T356" s="86"/>
    </row>
    <row r="357">
      <c r="N357" s="86"/>
      <c r="O357" s="86"/>
      <c r="P357" s="86"/>
      <c r="Q357" s="86"/>
      <c r="R357" s="86"/>
      <c r="S357" s="86"/>
      <c r="T357" s="86"/>
    </row>
    <row r="358">
      <c r="N358" s="86"/>
      <c r="O358" s="86"/>
      <c r="P358" s="86"/>
      <c r="Q358" s="86"/>
      <c r="R358" s="86"/>
      <c r="S358" s="86"/>
      <c r="T358" s="86"/>
    </row>
    <row r="359">
      <c r="N359" s="86"/>
      <c r="O359" s="86"/>
      <c r="P359" s="86"/>
      <c r="Q359" s="86"/>
      <c r="R359" s="86"/>
      <c r="S359" s="86"/>
      <c r="T359" s="86"/>
    </row>
    <row r="360">
      <c r="N360" s="86"/>
      <c r="O360" s="86"/>
      <c r="P360" s="86"/>
      <c r="Q360" s="86"/>
      <c r="R360" s="86"/>
      <c r="S360" s="86"/>
      <c r="T360" s="86"/>
    </row>
    <row r="361">
      <c r="N361" s="86"/>
      <c r="O361" s="86"/>
      <c r="P361" s="86"/>
      <c r="Q361" s="86"/>
      <c r="R361" s="86"/>
      <c r="S361" s="86"/>
      <c r="T361" s="86"/>
    </row>
    <row r="362">
      <c r="N362" s="86"/>
      <c r="O362" s="86"/>
      <c r="P362" s="86"/>
      <c r="Q362" s="86"/>
      <c r="R362" s="86"/>
      <c r="S362" s="86"/>
      <c r="T362" s="86"/>
    </row>
    <row r="363">
      <c r="N363" s="86"/>
      <c r="O363" s="86"/>
      <c r="P363" s="86"/>
      <c r="Q363" s="86"/>
      <c r="R363" s="86"/>
      <c r="S363" s="86"/>
      <c r="T363" s="86"/>
    </row>
    <row r="364">
      <c r="N364" s="86"/>
      <c r="O364" s="86"/>
      <c r="P364" s="86"/>
      <c r="Q364" s="86"/>
      <c r="R364" s="86"/>
      <c r="S364" s="86"/>
      <c r="T364" s="86"/>
    </row>
    <row r="365">
      <c r="N365" s="86"/>
      <c r="O365" s="86"/>
      <c r="P365" s="86"/>
      <c r="Q365" s="86"/>
      <c r="R365" s="86"/>
      <c r="S365" s="86"/>
      <c r="T365" s="86"/>
    </row>
    <row r="366">
      <c r="N366" s="86"/>
      <c r="O366" s="86"/>
      <c r="P366" s="86"/>
      <c r="Q366" s="86"/>
      <c r="R366" s="86"/>
      <c r="S366" s="86"/>
      <c r="T366" s="86"/>
    </row>
    <row r="367">
      <c r="N367" s="86"/>
      <c r="O367" s="86"/>
      <c r="P367" s="86"/>
      <c r="Q367" s="86"/>
      <c r="R367" s="86"/>
      <c r="S367" s="86"/>
      <c r="T367" s="86"/>
    </row>
    <row r="368">
      <c r="N368" s="86"/>
      <c r="O368" s="86"/>
      <c r="P368" s="86"/>
      <c r="Q368" s="86"/>
      <c r="R368" s="86"/>
      <c r="S368" s="86"/>
      <c r="T368" s="86"/>
    </row>
    <row r="369">
      <c r="N369" s="86"/>
      <c r="O369" s="86"/>
      <c r="P369" s="86"/>
      <c r="Q369" s="86"/>
      <c r="R369" s="86"/>
      <c r="S369" s="86"/>
      <c r="T369" s="86"/>
    </row>
    <row r="370">
      <c r="N370" s="86"/>
      <c r="O370" s="86"/>
      <c r="P370" s="86"/>
      <c r="Q370" s="86"/>
      <c r="R370" s="86"/>
      <c r="S370" s="86"/>
      <c r="T370" s="86"/>
    </row>
    <row r="371">
      <c r="N371" s="86"/>
      <c r="O371" s="86"/>
      <c r="P371" s="86"/>
      <c r="Q371" s="86"/>
      <c r="R371" s="86"/>
      <c r="S371" s="86"/>
      <c r="T371" s="86"/>
    </row>
    <row r="372">
      <c r="N372" s="86"/>
      <c r="O372" s="86"/>
      <c r="P372" s="86"/>
      <c r="Q372" s="86"/>
      <c r="R372" s="86"/>
      <c r="S372" s="86"/>
      <c r="T372" s="86"/>
    </row>
    <row r="373">
      <c r="N373" s="86"/>
      <c r="O373" s="86"/>
      <c r="P373" s="86"/>
      <c r="Q373" s="86"/>
      <c r="R373" s="86"/>
      <c r="S373" s="86"/>
      <c r="T373" s="86"/>
    </row>
    <row r="374">
      <c r="N374" s="86"/>
      <c r="O374" s="86"/>
      <c r="P374" s="86"/>
      <c r="Q374" s="86"/>
      <c r="R374" s="86"/>
      <c r="S374" s="86"/>
      <c r="T374" s="86"/>
    </row>
    <row r="375">
      <c r="N375" s="86"/>
      <c r="O375" s="86"/>
      <c r="P375" s="86"/>
      <c r="Q375" s="86"/>
      <c r="R375" s="86"/>
      <c r="S375" s="86"/>
      <c r="T375" s="86"/>
    </row>
    <row r="376">
      <c r="N376" s="86"/>
      <c r="O376" s="86"/>
      <c r="P376" s="86"/>
      <c r="Q376" s="86"/>
      <c r="R376" s="86"/>
      <c r="S376" s="86"/>
      <c r="T376" s="86"/>
    </row>
    <row r="377">
      <c r="N377" s="86"/>
      <c r="O377" s="86"/>
      <c r="P377" s="86"/>
      <c r="Q377" s="86"/>
      <c r="R377" s="86"/>
      <c r="S377" s="86"/>
      <c r="T377" s="86"/>
    </row>
    <row r="378">
      <c r="N378" s="86"/>
      <c r="O378" s="86"/>
      <c r="P378" s="86"/>
      <c r="Q378" s="86"/>
      <c r="R378" s="86"/>
      <c r="S378" s="86"/>
      <c r="T378" s="86"/>
    </row>
    <row r="379">
      <c r="N379" s="86"/>
      <c r="O379" s="86"/>
      <c r="P379" s="86"/>
      <c r="Q379" s="86"/>
      <c r="R379" s="86"/>
      <c r="S379" s="86"/>
      <c r="T379" s="86"/>
    </row>
    <row r="380">
      <c r="N380" s="86"/>
      <c r="O380" s="86"/>
      <c r="P380" s="86"/>
      <c r="Q380" s="86"/>
      <c r="R380" s="86"/>
      <c r="S380" s="86"/>
      <c r="T380" s="86"/>
    </row>
    <row r="381">
      <c r="N381" s="86"/>
      <c r="O381" s="86"/>
      <c r="P381" s="86"/>
      <c r="Q381" s="86"/>
      <c r="R381" s="86"/>
      <c r="S381" s="86"/>
      <c r="T381" s="86"/>
    </row>
    <row r="382">
      <c r="N382" s="86"/>
      <c r="O382" s="86"/>
      <c r="P382" s="86"/>
      <c r="Q382" s="86"/>
      <c r="R382" s="86"/>
      <c r="S382" s="86"/>
      <c r="T382" s="86"/>
    </row>
    <row r="383">
      <c r="N383" s="86"/>
      <c r="O383" s="86"/>
      <c r="P383" s="86"/>
      <c r="Q383" s="86"/>
      <c r="R383" s="86"/>
      <c r="S383" s="86"/>
      <c r="T383" s="86"/>
    </row>
    <row r="384">
      <c r="N384" s="86"/>
      <c r="O384" s="86"/>
      <c r="P384" s="86"/>
      <c r="Q384" s="86"/>
      <c r="R384" s="86"/>
      <c r="S384" s="86"/>
      <c r="T384" s="86"/>
    </row>
    <row r="385">
      <c r="N385" s="86"/>
      <c r="O385" s="86"/>
      <c r="P385" s="86"/>
      <c r="Q385" s="86"/>
      <c r="R385" s="86"/>
      <c r="S385" s="86"/>
      <c r="T385" s="86"/>
    </row>
    <row r="386">
      <c r="N386" s="86"/>
      <c r="O386" s="86"/>
      <c r="P386" s="86"/>
      <c r="Q386" s="86"/>
      <c r="R386" s="86"/>
      <c r="S386" s="86"/>
      <c r="T386" s="86"/>
    </row>
    <row r="387">
      <c r="N387" s="86"/>
      <c r="O387" s="86"/>
      <c r="P387" s="86"/>
      <c r="Q387" s="86"/>
      <c r="R387" s="86"/>
      <c r="S387" s="86"/>
      <c r="T387" s="86"/>
    </row>
    <row r="388">
      <c r="N388" s="86"/>
      <c r="O388" s="86"/>
      <c r="P388" s="86"/>
      <c r="Q388" s="86"/>
      <c r="R388" s="86"/>
      <c r="S388" s="86"/>
      <c r="T388" s="86"/>
    </row>
    <row r="389">
      <c r="N389" s="86"/>
      <c r="O389" s="86"/>
      <c r="P389" s="86"/>
      <c r="Q389" s="86"/>
      <c r="R389" s="86"/>
      <c r="S389" s="86"/>
      <c r="T389" s="86"/>
    </row>
    <row r="390">
      <c r="N390" s="86"/>
      <c r="O390" s="86"/>
      <c r="P390" s="86"/>
      <c r="Q390" s="86"/>
      <c r="R390" s="86"/>
      <c r="S390" s="86"/>
      <c r="T390" s="86"/>
    </row>
    <row r="391">
      <c r="N391" s="86"/>
      <c r="O391" s="86"/>
      <c r="P391" s="86"/>
      <c r="Q391" s="86"/>
      <c r="R391" s="86"/>
      <c r="S391" s="86"/>
      <c r="T391" s="86"/>
    </row>
    <row r="392">
      <c r="N392" s="86"/>
      <c r="O392" s="86"/>
      <c r="P392" s="86"/>
      <c r="Q392" s="86"/>
      <c r="R392" s="86"/>
      <c r="S392" s="86"/>
      <c r="T392" s="86"/>
    </row>
    <row r="393">
      <c r="N393" s="86"/>
      <c r="O393" s="86"/>
      <c r="P393" s="86"/>
      <c r="Q393" s="86"/>
      <c r="R393" s="86"/>
      <c r="S393" s="86"/>
      <c r="T393" s="86"/>
    </row>
    <row r="394">
      <c r="N394" s="86"/>
      <c r="O394" s="86"/>
      <c r="P394" s="86"/>
      <c r="Q394" s="86"/>
      <c r="R394" s="86"/>
      <c r="S394" s="86"/>
      <c r="T394" s="86"/>
    </row>
    <row r="395">
      <c r="N395" s="86"/>
      <c r="O395" s="86"/>
      <c r="P395" s="86"/>
      <c r="Q395" s="86"/>
      <c r="R395" s="86"/>
      <c r="S395" s="86"/>
      <c r="T395" s="86"/>
    </row>
    <row r="396">
      <c r="N396" s="86"/>
      <c r="O396" s="86"/>
      <c r="P396" s="86"/>
      <c r="Q396" s="86"/>
      <c r="R396" s="86"/>
      <c r="S396" s="86"/>
      <c r="T396" s="86"/>
    </row>
    <row r="397">
      <c r="N397" s="86"/>
      <c r="O397" s="86"/>
      <c r="P397" s="86"/>
      <c r="Q397" s="86"/>
      <c r="R397" s="86"/>
      <c r="S397" s="86"/>
      <c r="T397" s="86"/>
    </row>
    <row r="398">
      <c r="N398" s="86"/>
      <c r="O398" s="86"/>
      <c r="P398" s="86"/>
      <c r="Q398" s="86"/>
      <c r="R398" s="86"/>
      <c r="S398" s="86"/>
      <c r="T398" s="86"/>
    </row>
    <row r="399">
      <c r="N399" s="86"/>
      <c r="O399" s="86"/>
      <c r="P399" s="86"/>
      <c r="Q399" s="86"/>
      <c r="R399" s="86"/>
      <c r="S399" s="86"/>
      <c r="T399" s="86"/>
    </row>
    <row r="400">
      <c r="N400" s="86"/>
      <c r="O400" s="86"/>
      <c r="P400" s="86"/>
      <c r="Q400" s="86"/>
      <c r="R400" s="86"/>
      <c r="S400" s="86"/>
      <c r="T400" s="86"/>
    </row>
    <row r="401">
      <c r="N401" s="86"/>
      <c r="O401" s="86"/>
      <c r="P401" s="86"/>
      <c r="Q401" s="86"/>
      <c r="R401" s="86"/>
      <c r="S401" s="86"/>
      <c r="T401" s="86"/>
    </row>
    <row r="402">
      <c r="N402" s="86"/>
      <c r="O402" s="86"/>
      <c r="P402" s="86"/>
      <c r="Q402" s="86"/>
      <c r="R402" s="86"/>
      <c r="S402" s="86"/>
      <c r="T402" s="86"/>
    </row>
    <row r="403">
      <c r="N403" s="86"/>
      <c r="O403" s="86"/>
      <c r="P403" s="86"/>
      <c r="Q403" s="86"/>
      <c r="R403" s="86"/>
      <c r="S403" s="86"/>
      <c r="T403" s="86"/>
    </row>
    <row r="404">
      <c r="N404" s="86"/>
      <c r="O404" s="86"/>
      <c r="P404" s="86"/>
      <c r="Q404" s="86"/>
      <c r="R404" s="86"/>
      <c r="S404" s="86"/>
      <c r="T404" s="86"/>
    </row>
    <row r="405">
      <c r="N405" s="86"/>
      <c r="O405" s="86"/>
      <c r="P405" s="86"/>
      <c r="Q405" s="86"/>
      <c r="R405" s="86"/>
      <c r="S405" s="86"/>
      <c r="T405" s="86"/>
    </row>
    <row r="406">
      <c r="N406" s="86"/>
      <c r="O406" s="86"/>
      <c r="P406" s="86"/>
      <c r="Q406" s="86"/>
      <c r="R406" s="86"/>
      <c r="S406" s="86"/>
      <c r="T406" s="86"/>
    </row>
    <row r="407">
      <c r="N407" s="86"/>
      <c r="O407" s="86"/>
      <c r="P407" s="86"/>
      <c r="Q407" s="86"/>
      <c r="R407" s="86"/>
      <c r="S407" s="86"/>
      <c r="T407" s="86"/>
    </row>
    <row r="408">
      <c r="N408" s="86"/>
      <c r="O408" s="86"/>
      <c r="P408" s="86"/>
      <c r="Q408" s="86"/>
      <c r="R408" s="86"/>
      <c r="S408" s="86"/>
      <c r="T408" s="86"/>
    </row>
    <row r="409">
      <c r="N409" s="86"/>
      <c r="O409" s="86"/>
      <c r="P409" s="86"/>
      <c r="Q409" s="86"/>
      <c r="R409" s="86"/>
      <c r="S409" s="86"/>
      <c r="T409" s="86"/>
    </row>
    <row r="410">
      <c r="N410" s="86"/>
      <c r="O410" s="86"/>
      <c r="P410" s="86"/>
      <c r="Q410" s="86"/>
      <c r="R410" s="86"/>
      <c r="S410" s="86"/>
      <c r="T410" s="86"/>
    </row>
    <row r="411">
      <c r="N411" s="86"/>
      <c r="O411" s="86"/>
      <c r="P411" s="86"/>
      <c r="Q411" s="86"/>
      <c r="R411" s="86"/>
      <c r="S411" s="86"/>
      <c r="T411" s="86"/>
    </row>
    <row r="412">
      <c r="N412" s="86"/>
      <c r="O412" s="86"/>
      <c r="P412" s="86"/>
      <c r="Q412" s="86"/>
      <c r="R412" s="86"/>
      <c r="S412" s="86"/>
      <c r="T412" s="86"/>
    </row>
    <row r="413">
      <c r="N413" s="86"/>
      <c r="O413" s="86"/>
      <c r="P413" s="86"/>
      <c r="Q413" s="86"/>
      <c r="R413" s="86"/>
      <c r="S413" s="86"/>
      <c r="T413" s="86"/>
    </row>
    <row r="414">
      <c r="N414" s="86"/>
      <c r="O414" s="86"/>
      <c r="P414" s="86"/>
      <c r="Q414" s="86"/>
      <c r="R414" s="86"/>
      <c r="S414" s="86"/>
      <c r="T414" s="86"/>
    </row>
    <row r="415">
      <c r="N415" s="86"/>
      <c r="O415" s="86"/>
      <c r="P415" s="86"/>
      <c r="Q415" s="86"/>
      <c r="R415" s="86"/>
      <c r="S415" s="86"/>
      <c r="T415" s="86"/>
    </row>
    <row r="416">
      <c r="N416" s="86"/>
      <c r="O416" s="86"/>
      <c r="P416" s="86"/>
      <c r="Q416" s="86"/>
      <c r="R416" s="86"/>
      <c r="S416" s="86"/>
      <c r="T416" s="86"/>
    </row>
    <row r="417">
      <c r="N417" s="86"/>
      <c r="O417" s="86"/>
      <c r="P417" s="86"/>
      <c r="Q417" s="86"/>
      <c r="R417" s="86"/>
      <c r="S417" s="86"/>
      <c r="T417" s="86"/>
    </row>
    <row r="418">
      <c r="N418" s="86"/>
      <c r="O418" s="86"/>
      <c r="P418" s="86"/>
      <c r="Q418" s="86"/>
      <c r="R418" s="86"/>
      <c r="S418" s="86"/>
      <c r="T418" s="86"/>
    </row>
    <row r="419">
      <c r="N419" s="86"/>
      <c r="O419" s="86"/>
      <c r="P419" s="86"/>
      <c r="Q419" s="86"/>
      <c r="R419" s="86"/>
      <c r="S419" s="86"/>
      <c r="T419" s="86"/>
    </row>
    <row r="420">
      <c r="N420" s="86"/>
      <c r="O420" s="86"/>
      <c r="P420" s="86"/>
      <c r="Q420" s="86"/>
      <c r="R420" s="86"/>
      <c r="S420" s="86"/>
      <c r="T420" s="86"/>
    </row>
    <row r="421">
      <c r="N421" s="86"/>
      <c r="O421" s="86"/>
      <c r="P421" s="86"/>
      <c r="Q421" s="86"/>
      <c r="R421" s="86"/>
      <c r="S421" s="86"/>
      <c r="T421" s="86"/>
    </row>
    <row r="422">
      <c r="N422" s="86"/>
      <c r="O422" s="86"/>
      <c r="P422" s="86"/>
      <c r="Q422" s="86"/>
      <c r="R422" s="86"/>
      <c r="S422" s="86"/>
      <c r="T422" s="86"/>
    </row>
    <row r="423">
      <c r="N423" s="86"/>
      <c r="O423" s="86"/>
      <c r="P423" s="86"/>
      <c r="Q423" s="86"/>
      <c r="R423" s="86"/>
      <c r="S423" s="86"/>
      <c r="T423" s="86"/>
    </row>
    <row r="424">
      <c r="N424" s="86"/>
      <c r="O424" s="86"/>
      <c r="P424" s="86"/>
      <c r="Q424" s="86"/>
      <c r="R424" s="86"/>
      <c r="S424" s="86"/>
      <c r="T424" s="86"/>
    </row>
    <row r="425">
      <c r="N425" s="86"/>
      <c r="O425" s="86"/>
      <c r="P425" s="86"/>
      <c r="Q425" s="86"/>
      <c r="R425" s="86"/>
      <c r="S425" s="86"/>
      <c r="T425" s="86"/>
    </row>
    <row r="426">
      <c r="N426" s="86"/>
      <c r="O426" s="86"/>
      <c r="P426" s="86"/>
      <c r="Q426" s="86"/>
      <c r="R426" s="86"/>
      <c r="S426" s="86"/>
      <c r="T426" s="86"/>
    </row>
    <row r="427">
      <c r="N427" s="86"/>
      <c r="O427" s="86"/>
      <c r="P427" s="86"/>
      <c r="Q427" s="86"/>
      <c r="R427" s="86"/>
      <c r="S427" s="86"/>
      <c r="T427" s="86"/>
    </row>
    <row r="428">
      <c r="N428" s="86"/>
      <c r="O428" s="86"/>
      <c r="P428" s="86"/>
      <c r="Q428" s="86"/>
      <c r="R428" s="86"/>
      <c r="S428" s="86"/>
      <c r="T428" s="86"/>
    </row>
    <row r="429">
      <c r="N429" s="86"/>
      <c r="O429" s="86"/>
      <c r="P429" s="86"/>
      <c r="Q429" s="86"/>
      <c r="R429" s="86"/>
      <c r="S429" s="86"/>
      <c r="T429" s="86"/>
    </row>
    <row r="430">
      <c r="N430" s="86"/>
      <c r="O430" s="86"/>
      <c r="P430" s="86"/>
      <c r="Q430" s="86"/>
      <c r="R430" s="86"/>
      <c r="S430" s="86"/>
      <c r="T430" s="86"/>
    </row>
    <row r="431">
      <c r="N431" s="86"/>
      <c r="O431" s="86"/>
      <c r="P431" s="86"/>
      <c r="Q431" s="86"/>
      <c r="R431" s="86"/>
      <c r="S431" s="86"/>
      <c r="T431" s="86"/>
    </row>
    <row r="432">
      <c r="N432" s="86"/>
      <c r="O432" s="86"/>
      <c r="P432" s="86"/>
      <c r="Q432" s="86"/>
      <c r="R432" s="86"/>
      <c r="S432" s="86"/>
      <c r="T432" s="86"/>
    </row>
    <row r="433">
      <c r="N433" s="86"/>
      <c r="O433" s="86"/>
      <c r="P433" s="86"/>
      <c r="Q433" s="86"/>
      <c r="R433" s="86"/>
      <c r="S433" s="86"/>
      <c r="T433" s="86"/>
    </row>
    <row r="434">
      <c r="N434" s="86"/>
      <c r="O434" s="86"/>
      <c r="P434" s="86"/>
      <c r="Q434" s="86"/>
      <c r="R434" s="86"/>
      <c r="S434" s="86"/>
      <c r="T434" s="86"/>
    </row>
    <row r="435">
      <c r="N435" s="86"/>
      <c r="O435" s="86"/>
      <c r="P435" s="86"/>
      <c r="Q435" s="86"/>
      <c r="R435" s="86"/>
      <c r="S435" s="86"/>
      <c r="T435" s="86"/>
    </row>
    <row r="436">
      <c r="N436" s="86"/>
      <c r="O436" s="86"/>
      <c r="P436" s="86"/>
      <c r="Q436" s="86"/>
      <c r="R436" s="86"/>
      <c r="S436" s="86"/>
      <c r="T436" s="86"/>
    </row>
    <row r="437">
      <c r="N437" s="86"/>
      <c r="O437" s="86"/>
      <c r="P437" s="86"/>
      <c r="Q437" s="86"/>
      <c r="R437" s="86"/>
      <c r="S437" s="86"/>
      <c r="T437" s="86"/>
    </row>
    <row r="438">
      <c r="N438" s="86"/>
      <c r="O438" s="86"/>
      <c r="P438" s="86"/>
      <c r="Q438" s="86"/>
      <c r="R438" s="86"/>
      <c r="S438" s="86"/>
      <c r="T438" s="86"/>
    </row>
    <row r="439">
      <c r="N439" s="86"/>
      <c r="O439" s="86"/>
      <c r="P439" s="86"/>
      <c r="Q439" s="86"/>
      <c r="R439" s="86"/>
      <c r="S439" s="86"/>
      <c r="T439" s="86"/>
    </row>
    <row r="440">
      <c r="N440" s="86"/>
      <c r="O440" s="86"/>
      <c r="P440" s="86"/>
      <c r="Q440" s="86"/>
      <c r="R440" s="86"/>
      <c r="S440" s="86"/>
      <c r="T440" s="86"/>
    </row>
    <row r="441">
      <c r="N441" s="86"/>
      <c r="O441" s="86"/>
      <c r="P441" s="86"/>
      <c r="Q441" s="86"/>
      <c r="R441" s="86"/>
      <c r="S441" s="86"/>
      <c r="T441" s="86"/>
    </row>
    <row r="442">
      <c r="N442" s="86"/>
      <c r="O442" s="86"/>
      <c r="P442" s="86"/>
      <c r="Q442" s="86"/>
      <c r="R442" s="86"/>
      <c r="S442" s="86"/>
      <c r="T442" s="86"/>
    </row>
    <row r="443">
      <c r="N443" s="86"/>
      <c r="O443" s="86"/>
      <c r="P443" s="86"/>
      <c r="Q443" s="86"/>
      <c r="R443" s="86"/>
      <c r="S443" s="86"/>
      <c r="T443" s="86"/>
    </row>
    <row r="444">
      <c r="N444" s="86"/>
      <c r="O444" s="86"/>
      <c r="P444" s="86"/>
      <c r="Q444" s="86"/>
      <c r="R444" s="86"/>
      <c r="S444" s="86"/>
      <c r="T444" s="86"/>
    </row>
    <row r="445">
      <c r="N445" s="86"/>
      <c r="O445" s="86"/>
      <c r="P445" s="86"/>
      <c r="Q445" s="86"/>
      <c r="R445" s="86"/>
      <c r="S445" s="86"/>
      <c r="T445" s="86"/>
    </row>
    <row r="446">
      <c r="N446" s="86"/>
      <c r="O446" s="86"/>
      <c r="P446" s="86"/>
      <c r="Q446" s="86"/>
      <c r="R446" s="86"/>
      <c r="S446" s="86"/>
      <c r="T446" s="86"/>
    </row>
    <row r="447">
      <c r="N447" s="86"/>
      <c r="O447" s="86"/>
      <c r="P447" s="86"/>
      <c r="Q447" s="86"/>
      <c r="R447" s="86"/>
      <c r="S447" s="86"/>
      <c r="T447" s="86"/>
    </row>
    <row r="448">
      <c r="N448" s="86"/>
      <c r="O448" s="86"/>
      <c r="P448" s="86"/>
      <c r="Q448" s="86"/>
      <c r="R448" s="86"/>
      <c r="S448" s="86"/>
      <c r="T448" s="86"/>
    </row>
    <row r="449">
      <c r="N449" s="86"/>
      <c r="O449" s="86"/>
      <c r="P449" s="86"/>
      <c r="Q449" s="86"/>
      <c r="R449" s="86"/>
      <c r="S449" s="86"/>
      <c r="T449" s="86"/>
    </row>
    <row r="450">
      <c r="N450" s="86"/>
      <c r="O450" s="86"/>
      <c r="P450" s="86"/>
      <c r="Q450" s="86"/>
      <c r="R450" s="86"/>
      <c r="S450" s="86"/>
      <c r="T450" s="86"/>
    </row>
    <row r="451">
      <c r="N451" s="86"/>
      <c r="O451" s="86"/>
      <c r="P451" s="86"/>
      <c r="Q451" s="86"/>
      <c r="R451" s="86"/>
      <c r="S451" s="86"/>
      <c r="T451" s="86"/>
    </row>
    <row r="452">
      <c r="N452" s="86"/>
      <c r="O452" s="86"/>
      <c r="P452" s="86"/>
      <c r="Q452" s="86"/>
      <c r="R452" s="86"/>
      <c r="S452" s="86"/>
      <c r="T452" s="86"/>
    </row>
    <row r="453">
      <c r="N453" s="86"/>
      <c r="O453" s="86"/>
      <c r="P453" s="86"/>
      <c r="Q453" s="86"/>
      <c r="R453" s="86"/>
      <c r="S453" s="86"/>
      <c r="T453" s="86"/>
    </row>
    <row r="454">
      <c r="N454" s="86"/>
      <c r="O454" s="86"/>
      <c r="P454" s="86"/>
      <c r="Q454" s="86"/>
      <c r="R454" s="86"/>
      <c r="S454" s="86"/>
      <c r="T454" s="86"/>
    </row>
    <row r="455">
      <c r="N455" s="86"/>
      <c r="O455" s="86"/>
      <c r="P455" s="86"/>
      <c r="Q455" s="86"/>
      <c r="R455" s="86"/>
      <c r="S455" s="86"/>
      <c r="T455" s="86"/>
    </row>
    <row r="456">
      <c r="N456" s="86"/>
      <c r="O456" s="86"/>
      <c r="P456" s="86"/>
      <c r="Q456" s="86"/>
      <c r="R456" s="86"/>
      <c r="S456" s="86"/>
      <c r="T456" s="86"/>
    </row>
    <row r="457">
      <c r="N457" s="86"/>
      <c r="O457" s="86"/>
      <c r="P457" s="86"/>
      <c r="Q457" s="86"/>
      <c r="R457" s="86"/>
      <c r="S457" s="86"/>
      <c r="T457" s="86"/>
    </row>
    <row r="458">
      <c r="N458" s="86"/>
      <c r="O458" s="86"/>
      <c r="P458" s="86"/>
      <c r="Q458" s="86"/>
      <c r="R458" s="86"/>
      <c r="S458" s="86"/>
      <c r="T458" s="86"/>
    </row>
    <row r="459">
      <c r="N459" s="86"/>
      <c r="O459" s="86"/>
      <c r="P459" s="86"/>
      <c r="Q459" s="86"/>
      <c r="R459" s="86"/>
      <c r="S459" s="86"/>
      <c r="T459" s="86"/>
    </row>
    <row r="460">
      <c r="N460" s="86"/>
      <c r="O460" s="86"/>
      <c r="P460" s="86"/>
      <c r="Q460" s="86"/>
      <c r="R460" s="86"/>
      <c r="S460" s="86"/>
      <c r="T460" s="86"/>
    </row>
    <row r="461">
      <c r="N461" s="86"/>
      <c r="O461" s="86"/>
      <c r="P461" s="86"/>
      <c r="Q461" s="86"/>
      <c r="R461" s="86"/>
      <c r="S461" s="86"/>
      <c r="T461" s="86"/>
    </row>
    <row r="462">
      <c r="N462" s="86"/>
      <c r="O462" s="86"/>
      <c r="P462" s="86"/>
      <c r="Q462" s="86"/>
      <c r="R462" s="86"/>
      <c r="S462" s="86"/>
      <c r="T462" s="86"/>
    </row>
    <row r="463">
      <c r="N463" s="86"/>
      <c r="O463" s="86"/>
      <c r="P463" s="86"/>
      <c r="Q463" s="86"/>
      <c r="R463" s="86"/>
      <c r="S463" s="86"/>
      <c r="T463" s="86"/>
    </row>
    <row r="464">
      <c r="N464" s="86"/>
      <c r="O464" s="86"/>
      <c r="P464" s="86"/>
      <c r="Q464" s="86"/>
      <c r="R464" s="86"/>
      <c r="S464" s="86"/>
      <c r="T464" s="86"/>
    </row>
    <row r="465">
      <c r="N465" s="86"/>
      <c r="O465" s="86"/>
      <c r="P465" s="86"/>
      <c r="Q465" s="86"/>
      <c r="R465" s="86"/>
      <c r="S465" s="86"/>
      <c r="T465" s="86"/>
    </row>
    <row r="466">
      <c r="N466" s="86"/>
      <c r="O466" s="86"/>
      <c r="P466" s="86"/>
      <c r="Q466" s="86"/>
      <c r="R466" s="86"/>
      <c r="S466" s="86"/>
      <c r="T466" s="86"/>
    </row>
    <row r="467">
      <c r="N467" s="86"/>
      <c r="O467" s="86"/>
      <c r="P467" s="86"/>
      <c r="Q467" s="86"/>
      <c r="R467" s="86"/>
      <c r="S467" s="86"/>
      <c r="T467" s="86"/>
    </row>
    <row r="468">
      <c r="N468" s="86"/>
      <c r="O468" s="86"/>
      <c r="P468" s="86"/>
      <c r="Q468" s="86"/>
      <c r="R468" s="86"/>
      <c r="S468" s="86"/>
      <c r="T468" s="86"/>
    </row>
    <row r="469">
      <c r="N469" s="86"/>
      <c r="O469" s="86"/>
      <c r="P469" s="86"/>
      <c r="Q469" s="86"/>
      <c r="R469" s="86"/>
      <c r="S469" s="86"/>
      <c r="T469" s="86"/>
    </row>
    <row r="470">
      <c r="N470" s="86"/>
      <c r="O470" s="86"/>
      <c r="P470" s="86"/>
      <c r="Q470" s="86"/>
      <c r="R470" s="86"/>
      <c r="S470" s="86"/>
      <c r="T470" s="86"/>
    </row>
    <row r="471">
      <c r="N471" s="86"/>
      <c r="O471" s="86"/>
      <c r="P471" s="86"/>
      <c r="Q471" s="86"/>
      <c r="R471" s="86"/>
      <c r="S471" s="86"/>
      <c r="T471" s="86"/>
    </row>
    <row r="472">
      <c r="N472" s="86"/>
      <c r="O472" s="86"/>
      <c r="P472" s="86"/>
      <c r="Q472" s="86"/>
      <c r="R472" s="86"/>
      <c r="S472" s="86"/>
      <c r="T472" s="86"/>
    </row>
    <row r="473">
      <c r="N473" s="86"/>
      <c r="O473" s="86"/>
      <c r="P473" s="86"/>
      <c r="Q473" s="86"/>
      <c r="R473" s="86"/>
      <c r="S473" s="86"/>
      <c r="T473" s="86"/>
    </row>
    <row r="474">
      <c r="N474" s="86"/>
      <c r="O474" s="86"/>
      <c r="P474" s="86"/>
      <c r="Q474" s="86"/>
      <c r="R474" s="86"/>
      <c r="S474" s="86"/>
      <c r="T474" s="86"/>
    </row>
    <row r="475">
      <c r="N475" s="86"/>
      <c r="O475" s="86"/>
      <c r="P475" s="86"/>
      <c r="Q475" s="86"/>
      <c r="R475" s="86"/>
      <c r="S475" s="86"/>
      <c r="T475" s="86"/>
    </row>
    <row r="476">
      <c r="N476" s="86"/>
      <c r="O476" s="86"/>
      <c r="P476" s="86"/>
      <c r="Q476" s="86"/>
      <c r="R476" s="86"/>
      <c r="S476" s="86"/>
      <c r="T476" s="86"/>
    </row>
    <row r="477">
      <c r="N477" s="86"/>
      <c r="O477" s="86"/>
      <c r="P477" s="86"/>
      <c r="Q477" s="86"/>
      <c r="R477" s="86"/>
      <c r="S477" s="86"/>
      <c r="T477" s="86"/>
    </row>
    <row r="478">
      <c r="N478" s="86"/>
      <c r="O478" s="86"/>
      <c r="P478" s="86"/>
      <c r="Q478" s="86"/>
      <c r="R478" s="86"/>
      <c r="S478" s="86"/>
      <c r="T478" s="86"/>
    </row>
    <row r="479">
      <c r="N479" s="86"/>
      <c r="O479" s="86"/>
      <c r="P479" s="86"/>
      <c r="Q479" s="86"/>
      <c r="R479" s="86"/>
      <c r="S479" s="86"/>
      <c r="T479" s="86"/>
    </row>
    <row r="480">
      <c r="N480" s="86"/>
      <c r="O480" s="86"/>
      <c r="P480" s="86"/>
      <c r="Q480" s="86"/>
      <c r="R480" s="86"/>
      <c r="S480" s="86"/>
      <c r="T480" s="86"/>
    </row>
    <row r="481">
      <c r="N481" s="86"/>
      <c r="O481" s="86"/>
      <c r="P481" s="86"/>
      <c r="Q481" s="86"/>
      <c r="R481" s="86"/>
      <c r="S481" s="86"/>
      <c r="T481" s="86"/>
    </row>
    <row r="482">
      <c r="N482" s="86"/>
      <c r="O482" s="86"/>
      <c r="P482" s="86"/>
      <c r="Q482" s="86"/>
      <c r="R482" s="86"/>
      <c r="S482" s="86"/>
      <c r="T482" s="86"/>
    </row>
    <row r="483">
      <c r="N483" s="86"/>
      <c r="O483" s="86"/>
      <c r="P483" s="86"/>
      <c r="Q483" s="86"/>
      <c r="R483" s="86"/>
      <c r="S483" s="86"/>
      <c r="T483" s="86"/>
    </row>
    <row r="484">
      <c r="N484" s="86"/>
      <c r="O484" s="86"/>
      <c r="P484" s="86"/>
      <c r="Q484" s="86"/>
      <c r="R484" s="86"/>
      <c r="S484" s="86"/>
      <c r="T484" s="86"/>
    </row>
    <row r="485">
      <c r="N485" s="86"/>
      <c r="O485" s="86"/>
      <c r="P485" s="86"/>
      <c r="Q485" s="86"/>
      <c r="R485" s="86"/>
      <c r="S485" s="86"/>
      <c r="T485" s="86"/>
    </row>
    <row r="486">
      <c r="N486" s="86"/>
      <c r="O486" s="86"/>
      <c r="P486" s="86"/>
      <c r="Q486" s="86"/>
      <c r="R486" s="86"/>
      <c r="S486" s="86"/>
      <c r="T486" s="86"/>
    </row>
    <row r="487">
      <c r="N487" s="86"/>
      <c r="O487" s="86"/>
      <c r="P487" s="86"/>
      <c r="Q487" s="86"/>
      <c r="R487" s="86"/>
      <c r="S487" s="86"/>
      <c r="T487" s="86"/>
    </row>
    <row r="488">
      <c r="N488" s="86"/>
      <c r="O488" s="86"/>
      <c r="P488" s="86"/>
      <c r="Q488" s="86"/>
      <c r="R488" s="86"/>
      <c r="S488" s="86"/>
      <c r="T488" s="86"/>
    </row>
    <row r="489">
      <c r="N489" s="86"/>
      <c r="O489" s="86"/>
      <c r="P489" s="86"/>
      <c r="Q489" s="86"/>
      <c r="R489" s="86"/>
      <c r="S489" s="86"/>
      <c r="T489" s="86"/>
    </row>
    <row r="490">
      <c r="N490" s="86"/>
      <c r="O490" s="86"/>
      <c r="P490" s="86"/>
      <c r="Q490" s="86"/>
      <c r="R490" s="86"/>
      <c r="S490" s="86"/>
      <c r="T490" s="86"/>
    </row>
    <row r="491">
      <c r="N491" s="86"/>
      <c r="O491" s="86"/>
      <c r="P491" s="86"/>
      <c r="Q491" s="86"/>
      <c r="R491" s="86"/>
      <c r="S491" s="86"/>
      <c r="T491" s="86"/>
    </row>
    <row r="492">
      <c r="N492" s="86"/>
      <c r="O492" s="86"/>
      <c r="P492" s="86"/>
      <c r="Q492" s="86"/>
      <c r="R492" s="86"/>
      <c r="S492" s="86"/>
      <c r="T492" s="86"/>
    </row>
    <row r="493">
      <c r="N493" s="86"/>
      <c r="O493" s="86"/>
      <c r="P493" s="86"/>
      <c r="Q493" s="86"/>
      <c r="R493" s="86"/>
      <c r="S493" s="86"/>
      <c r="T493" s="86"/>
    </row>
    <row r="494">
      <c r="N494" s="86"/>
      <c r="O494" s="86"/>
      <c r="P494" s="86"/>
      <c r="Q494" s="86"/>
      <c r="R494" s="86"/>
      <c r="S494" s="86"/>
      <c r="T494" s="86"/>
    </row>
    <row r="495">
      <c r="N495" s="86"/>
      <c r="O495" s="86"/>
      <c r="P495" s="86"/>
      <c r="Q495" s="86"/>
      <c r="R495" s="86"/>
      <c r="S495" s="86"/>
      <c r="T495" s="86"/>
    </row>
    <row r="496">
      <c r="N496" s="86"/>
      <c r="O496" s="86"/>
      <c r="P496" s="86"/>
      <c r="Q496" s="86"/>
      <c r="R496" s="86"/>
      <c r="S496" s="86"/>
      <c r="T496" s="86"/>
    </row>
    <row r="497">
      <c r="N497" s="86"/>
      <c r="O497" s="86"/>
      <c r="P497" s="86"/>
      <c r="Q497" s="86"/>
      <c r="R497" s="86"/>
      <c r="S497" s="86"/>
      <c r="T497" s="86"/>
    </row>
    <row r="498">
      <c r="N498" s="86"/>
      <c r="O498" s="86"/>
      <c r="P498" s="86"/>
      <c r="Q498" s="86"/>
      <c r="R498" s="86"/>
      <c r="S498" s="86"/>
      <c r="T498" s="86"/>
    </row>
    <row r="499">
      <c r="N499" s="86"/>
      <c r="O499" s="86"/>
      <c r="P499" s="86"/>
      <c r="Q499" s="86"/>
      <c r="R499" s="86"/>
      <c r="S499" s="86"/>
      <c r="T499" s="86"/>
    </row>
    <row r="500">
      <c r="N500" s="86"/>
      <c r="O500" s="86"/>
      <c r="P500" s="86"/>
      <c r="Q500" s="86"/>
      <c r="R500" s="86"/>
      <c r="S500" s="86"/>
      <c r="T500" s="86"/>
    </row>
    <row r="501">
      <c r="N501" s="86"/>
      <c r="O501" s="86"/>
      <c r="P501" s="86"/>
      <c r="Q501" s="86"/>
      <c r="R501" s="86"/>
      <c r="S501" s="86"/>
      <c r="T501" s="86"/>
    </row>
    <row r="502">
      <c r="N502" s="86"/>
      <c r="O502" s="86"/>
      <c r="P502" s="86"/>
      <c r="Q502" s="86"/>
      <c r="R502" s="86"/>
      <c r="S502" s="86"/>
      <c r="T502" s="86"/>
    </row>
    <row r="503">
      <c r="N503" s="86"/>
      <c r="O503" s="86"/>
      <c r="P503" s="86"/>
      <c r="Q503" s="86"/>
      <c r="R503" s="86"/>
      <c r="S503" s="86"/>
      <c r="T503" s="86"/>
    </row>
    <row r="504">
      <c r="N504" s="86"/>
      <c r="O504" s="86"/>
      <c r="P504" s="86"/>
      <c r="Q504" s="86"/>
      <c r="R504" s="86"/>
      <c r="S504" s="86"/>
      <c r="T504" s="86"/>
    </row>
    <row r="505">
      <c r="N505" s="86"/>
      <c r="O505" s="86"/>
      <c r="P505" s="86"/>
      <c r="Q505" s="86"/>
      <c r="R505" s="86"/>
      <c r="S505" s="86"/>
      <c r="T505" s="86"/>
    </row>
    <row r="506">
      <c r="N506" s="86"/>
      <c r="O506" s="86"/>
      <c r="P506" s="86"/>
      <c r="Q506" s="86"/>
      <c r="R506" s="86"/>
      <c r="S506" s="86"/>
      <c r="T506" s="86"/>
    </row>
    <row r="507">
      <c r="N507" s="86"/>
      <c r="O507" s="86"/>
      <c r="P507" s="86"/>
      <c r="Q507" s="86"/>
      <c r="R507" s="86"/>
      <c r="S507" s="86"/>
      <c r="T507" s="86"/>
    </row>
    <row r="508">
      <c r="N508" s="86"/>
      <c r="O508" s="86"/>
      <c r="P508" s="86"/>
      <c r="Q508" s="86"/>
      <c r="R508" s="86"/>
      <c r="S508" s="86"/>
      <c r="T508" s="86"/>
    </row>
    <row r="509">
      <c r="N509" s="86"/>
      <c r="O509" s="86"/>
      <c r="P509" s="86"/>
      <c r="Q509" s="86"/>
      <c r="R509" s="86"/>
      <c r="S509" s="86"/>
      <c r="T509" s="86"/>
    </row>
    <row r="510">
      <c r="N510" s="86"/>
      <c r="O510" s="86"/>
      <c r="P510" s="86"/>
      <c r="Q510" s="86"/>
      <c r="R510" s="86"/>
      <c r="S510" s="86"/>
      <c r="T510" s="86"/>
    </row>
    <row r="511">
      <c r="N511" s="86"/>
      <c r="O511" s="86"/>
      <c r="P511" s="86"/>
      <c r="Q511" s="86"/>
      <c r="R511" s="86"/>
      <c r="S511" s="86"/>
      <c r="T511" s="86"/>
    </row>
    <row r="512">
      <c r="N512" s="86"/>
      <c r="O512" s="86"/>
      <c r="P512" s="86"/>
      <c r="Q512" s="86"/>
      <c r="R512" s="86"/>
      <c r="S512" s="86"/>
      <c r="T512" s="86"/>
    </row>
    <row r="513">
      <c r="N513" s="86"/>
      <c r="O513" s="86"/>
      <c r="P513" s="86"/>
      <c r="Q513" s="86"/>
      <c r="R513" s="86"/>
      <c r="S513" s="86"/>
      <c r="T513" s="86"/>
    </row>
    <row r="514">
      <c r="N514" s="86"/>
      <c r="O514" s="86"/>
      <c r="P514" s="86"/>
      <c r="Q514" s="86"/>
      <c r="R514" s="86"/>
      <c r="S514" s="86"/>
      <c r="T514" s="86"/>
    </row>
    <row r="515">
      <c r="N515" s="86"/>
      <c r="O515" s="86"/>
      <c r="P515" s="86"/>
      <c r="Q515" s="86"/>
      <c r="R515" s="86"/>
      <c r="S515" s="86"/>
      <c r="T515" s="86"/>
    </row>
    <row r="516">
      <c r="N516" s="86"/>
      <c r="O516" s="86"/>
      <c r="P516" s="86"/>
      <c r="Q516" s="86"/>
      <c r="R516" s="86"/>
      <c r="S516" s="86"/>
      <c r="T516" s="86"/>
    </row>
    <row r="517">
      <c r="N517" s="86"/>
      <c r="O517" s="86"/>
      <c r="P517" s="86"/>
      <c r="Q517" s="86"/>
      <c r="R517" s="86"/>
      <c r="S517" s="86"/>
      <c r="T517" s="86"/>
    </row>
    <row r="518">
      <c r="N518" s="86"/>
      <c r="O518" s="86"/>
      <c r="P518" s="86"/>
      <c r="Q518" s="86"/>
      <c r="R518" s="86"/>
      <c r="S518" s="86"/>
      <c r="T518" s="86"/>
    </row>
    <row r="519">
      <c r="N519" s="86"/>
      <c r="O519" s="86"/>
      <c r="P519" s="86"/>
      <c r="Q519" s="86"/>
      <c r="R519" s="86"/>
      <c r="S519" s="86"/>
      <c r="T519" s="86"/>
    </row>
    <row r="520">
      <c r="N520" s="86"/>
      <c r="O520" s="86"/>
      <c r="P520" s="86"/>
      <c r="Q520" s="86"/>
      <c r="R520" s="86"/>
      <c r="S520" s="86"/>
      <c r="T520" s="86"/>
    </row>
    <row r="521">
      <c r="N521" s="86"/>
      <c r="O521" s="86"/>
      <c r="P521" s="86"/>
      <c r="Q521" s="86"/>
      <c r="R521" s="86"/>
      <c r="S521" s="86"/>
      <c r="T521" s="86"/>
    </row>
    <row r="522">
      <c r="N522" s="86"/>
      <c r="O522" s="86"/>
      <c r="P522" s="86"/>
      <c r="Q522" s="86"/>
      <c r="R522" s="86"/>
      <c r="S522" s="86"/>
      <c r="T522" s="86"/>
    </row>
    <row r="523">
      <c r="N523" s="86"/>
      <c r="O523" s="86"/>
      <c r="P523" s="86"/>
      <c r="Q523" s="86"/>
      <c r="R523" s="86"/>
      <c r="S523" s="86"/>
      <c r="T523" s="86"/>
    </row>
    <row r="524">
      <c r="N524" s="86"/>
      <c r="O524" s="86"/>
      <c r="P524" s="86"/>
      <c r="Q524" s="86"/>
      <c r="R524" s="86"/>
      <c r="S524" s="86"/>
      <c r="T524" s="86"/>
    </row>
    <row r="525">
      <c r="N525" s="86"/>
      <c r="O525" s="86"/>
      <c r="P525" s="86"/>
      <c r="Q525" s="86"/>
      <c r="R525" s="86"/>
      <c r="S525" s="86"/>
      <c r="T525" s="86"/>
    </row>
    <row r="526">
      <c r="N526" s="86"/>
      <c r="O526" s="86"/>
      <c r="P526" s="86"/>
      <c r="Q526" s="86"/>
      <c r="R526" s="86"/>
      <c r="S526" s="86"/>
      <c r="T526" s="86"/>
    </row>
    <row r="527">
      <c r="N527" s="86"/>
      <c r="O527" s="86"/>
      <c r="P527" s="86"/>
      <c r="Q527" s="86"/>
      <c r="R527" s="86"/>
      <c r="S527" s="86"/>
      <c r="T527" s="86"/>
    </row>
    <row r="528">
      <c r="N528" s="86"/>
      <c r="O528" s="86"/>
      <c r="P528" s="86"/>
      <c r="Q528" s="86"/>
      <c r="R528" s="86"/>
      <c r="S528" s="86"/>
      <c r="T528" s="86"/>
    </row>
    <row r="529">
      <c r="N529" s="86"/>
      <c r="O529" s="86"/>
      <c r="P529" s="86"/>
      <c r="Q529" s="86"/>
      <c r="R529" s="86"/>
      <c r="S529" s="86"/>
      <c r="T529" s="86"/>
    </row>
    <row r="530">
      <c r="N530" s="86"/>
      <c r="O530" s="86"/>
      <c r="P530" s="86"/>
      <c r="Q530" s="86"/>
      <c r="R530" s="86"/>
      <c r="S530" s="86"/>
      <c r="T530" s="86"/>
    </row>
    <row r="531">
      <c r="N531" s="86"/>
      <c r="O531" s="86"/>
      <c r="P531" s="86"/>
      <c r="Q531" s="86"/>
      <c r="R531" s="86"/>
      <c r="S531" s="86"/>
      <c r="T531" s="86"/>
    </row>
    <row r="532">
      <c r="N532" s="86"/>
      <c r="O532" s="86"/>
      <c r="P532" s="86"/>
      <c r="Q532" s="86"/>
      <c r="R532" s="86"/>
      <c r="S532" s="86"/>
      <c r="T532" s="86"/>
    </row>
    <row r="533">
      <c r="N533" s="86"/>
      <c r="O533" s="86"/>
      <c r="P533" s="86"/>
      <c r="Q533" s="86"/>
      <c r="R533" s="86"/>
      <c r="S533" s="86"/>
      <c r="T533" s="86"/>
    </row>
    <row r="534">
      <c r="N534" s="86"/>
      <c r="O534" s="86"/>
      <c r="P534" s="86"/>
      <c r="Q534" s="86"/>
      <c r="R534" s="86"/>
      <c r="S534" s="86"/>
      <c r="T534" s="86"/>
    </row>
    <row r="535">
      <c r="N535" s="86"/>
      <c r="O535" s="86"/>
      <c r="P535" s="86"/>
      <c r="Q535" s="86"/>
      <c r="R535" s="86"/>
      <c r="S535" s="86"/>
      <c r="T535" s="86"/>
    </row>
    <row r="536">
      <c r="N536" s="86"/>
      <c r="O536" s="86"/>
      <c r="P536" s="86"/>
      <c r="Q536" s="86"/>
      <c r="R536" s="86"/>
      <c r="S536" s="86"/>
      <c r="T536" s="86"/>
    </row>
    <row r="537">
      <c r="N537" s="86"/>
      <c r="O537" s="86"/>
      <c r="P537" s="86"/>
      <c r="Q537" s="86"/>
      <c r="R537" s="86"/>
      <c r="S537" s="86"/>
      <c r="T537" s="86"/>
    </row>
    <row r="538">
      <c r="N538" s="86"/>
      <c r="O538" s="86"/>
      <c r="P538" s="86"/>
      <c r="Q538" s="86"/>
      <c r="R538" s="86"/>
      <c r="S538" s="86"/>
      <c r="T538" s="86"/>
    </row>
    <row r="539">
      <c r="N539" s="86"/>
      <c r="O539" s="86"/>
      <c r="P539" s="86"/>
      <c r="Q539" s="86"/>
      <c r="R539" s="86"/>
      <c r="S539" s="86"/>
      <c r="T539" s="86"/>
    </row>
    <row r="540">
      <c r="N540" s="86"/>
      <c r="O540" s="86"/>
      <c r="P540" s="86"/>
      <c r="Q540" s="86"/>
      <c r="R540" s="86"/>
      <c r="S540" s="86"/>
      <c r="T540" s="86"/>
    </row>
    <row r="541">
      <c r="N541" s="86"/>
      <c r="O541" s="86"/>
      <c r="P541" s="86"/>
      <c r="Q541" s="86"/>
      <c r="R541" s="86"/>
      <c r="S541" s="86"/>
      <c r="T541" s="86"/>
    </row>
    <row r="542">
      <c r="N542" s="86"/>
      <c r="O542" s="86"/>
      <c r="P542" s="86"/>
      <c r="Q542" s="86"/>
      <c r="R542" s="86"/>
      <c r="S542" s="86"/>
      <c r="T542" s="86"/>
    </row>
    <row r="543">
      <c r="N543" s="86"/>
      <c r="O543" s="86"/>
      <c r="P543" s="86"/>
      <c r="Q543" s="86"/>
      <c r="R543" s="86"/>
      <c r="S543" s="86"/>
      <c r="T543" s="86"/>
    </row>
    <row r="544">
      <c r="N544" s="86"/>
      <c r="O544" s="86"/>
      <c r="P544" s="86"/>
      <c r="Q544" s="86"/>
      <c r="R544" s="86"/>
      <c r="S544" s="86"/>
      <c r="T544" s="86"/>
    </row>
    <row r="545">
      <c r="N545" s="86"/>
      <c r="O545" s="86"/>
      <c r="P545" s="86"/>
      <c r="Q545" s="86"/>
      <c r="R545" s="86"/>
      <c r="S545" s="86"/>
      <c r="T545" s="86"/>
    </row>
    <row r="546">
      <c r="N546" s="86"/>
      <c r="O546" s="86"/>
      <c r="P546" s="86"/>
      <c r="Q546" s="86"/>
      <c r="R546" s="86"/>
      <c r="S546" s="86"/>
      <c r="T546" s="86"/>
    </row>
    <row r="547">
      <c r="N547" s="86"/>
      <c r="O547" s="86"/>
      <c r="P547" s="86"/>
      <c r="Q547" s="86"/>
      <c r="R547" s="86"/>
      <c r="S547" s="86"/>
      <c r="T547" s="86"/>
    </row>
    <row r="548">
      <c r="N548" s="86"/>
      <c r="O548" s="86"/>
      <c r="P548" s="86"/>
      <c r="Q548" s="86"/>
      <c r="R548" s="86"/>
      <c r="S548" s="86"/>
      <c r="T548" s="86"/>
    </row>
    <row r="549">
      <c r="N549" s="86"/>
      <c r="O549" s="86"/>
      <c r="P549" s="86"/>
      <c r="Q549" s="86"/>
      <c r="R549" s="86"/>
      <c r="S549" s="86"/>
      <c r="T549" s="86"/>
    </row>
    <row r="550">
      <c r="N550" s="86"/>
      <c r="O550" s="86"/>
      <c r="P550" s="86"/>
      <c r="Q550" s="86"/>
      <c r="R550" s="86"/>
      <c r="S550" s="86"/>
      <c r="T550" s="86"/>
    </row>
    <row r="551">
      <c r="N551" s="86"/>
      <c r="O551" s="86"/>
      <c r="P551" s="86"/>
      <c r="Q551" s="86"/>
      <c r="R551" s="86"/>
      <c r="S551" s="86"/>
      <c r="T551" s="86"/>
    </row>
    <row r="552">
      <c r="N552" s="86"/>
      <c r="O552" s="86"/>
      <c r="P552" s="86"/>
      <c r="Q552" s="86"/>
      <c r="R552" s="86"/>
      <c r="S552" s="86"/>
      <c r="T552" s="86"/>
    </row>
    <row r="553">
      <c r="N553" s="86"/>
      <c r="O553" s="86"/>
      <c r="P553" s="86"/>
      <c r="Q553" s="86"/>
      <c r="R553" s="86"/>
      <c r="S553" s="86"/>
      <c r="T553" s="86"/>
    </row>
    <row r="554">
      <c r="N554" s="86"/>
      <c r="O554" s="86"/>
      <c r="P554" s="86"/>
      <c r="Q554" s="86"/>
      <c r="R554" s="86"/>
      <c r="S554" s="86"/>
      <c r="T554" s="86"/>
    </row>
    <row r="555">
      <c r="N555" s="86"/>
      <c r="O555" s="86"/>
      <c r="P555" s="86"/>
      <c r="Q555" s="86"/>
      <c r="R555" s="86"/>
      <c r="S555" s="86"/>
      <c r="T555" s="86"/>
    </row>
    <row r="556">
      <c r="N556" s="86"/>
      <c r="O556" s="86"/>
      <c r="P556" s="86"/>
      <c r="Q556" s="86"/>
      <c r="R556" s="86"/>
      <c r="S556" s="86"/>
      <c r="T556" s="86"/>
    </row>
    <row r="557">
      <c r="N557" s="86"/>
      <c r="O557" s="86"/>
      <c r="P557" s="86"/>
      <c r="Q557" s="86"/>
      <c r="R557" s="86"/>
      <c r="S557" s="86"/>
      <c r="T557" s="86"/>
    </row>
    <row r="558">
      <c r="N558" s="86"/>
      <c r="O558" s="86"/>
      <c r="P558" s="86"/>
      <c r="Q558" s="86"/>
      <c r="R558" s="86"/>
      <c r="S558" s="86"/>
      <c r="T558" s="86"/>
    </row>
    <row r="559">
      <c r="N559" s="86"/>
      <c r="O559" s="86"/>
      <c r="P559" s="86"/>
      <c r="Q559" s="86"/>
      <c r="R559" s="86"/>
      <c r="S559" s="86"/>
      <c r="T559" s="86"/>
    </row>
    <row r="560">
      <c r="N560" s="86"/>
      <c r="O560" s="86"/>
      <c r="P560" s="86"/>
      <c r="Q560" s="86"/>
      <c r="R560" s="86"/>
      <c r="S560" s="86"/>
      <c r="T560" s="86"/>
    </row>
    <row r="561">
      <c r="N561" s="86"/>
      <c r="O561" s="86"/>
      <c r="P561" s="86"/>
      <c r="Q561" s="86"/>
      <c r="R561" s="86"/>
      <c r="S561" s="86"/>
      <c r="T561" s="86"/>
    </row>
    <row r="562">
      <c r="N562" s="86"/>
      <c r="O562" s="86"/>
      <c r="P562" s="86"/>
      <c r="Q562" s="86"/>
      <c r="R562" s="86"/>
      <c r="S562" s="86"/>
      <c r="T562" s="86"/>
    </row>
    <row r="563">
      <c r="N563" s="86"/>
      <c r="O563" s="86"/>
      <c r="P563" s="86"/>
      <c r="Q563" s="86"/>
      <c r="R563" s="86"/>
      <c r="S563" s="86"/>
      <c r="T563" s="86"/>
    </row>
    <row r="564">
      <c r="N564" s="86"/>
      <c r="O564" s="86"/>
      <c r="P564" s="86"/>
      <c r="Q564" s="86"/>
      <c r="R564" s="86"/>
      <c r="S564" s="86"/>
      <c r="T564" s="86"/>
    </row>
    <row r="565">
      <c r="N565" s="86"/>
      <c r="O565" s="86"/>
      <c r="P565" s="86"/>
      <c r="Q565" s="86"/>
      <c r="R565" s="86"/>
      <c r="S565" s="86"/>
      <c r="T565" s="86"/>
    </row>
    <row r="566">
      <c r="N566" s="86"/>
      <c r="O566" s="86"/>
      <c r="P566" s="86"/>
      <c r="Q566" s="86"/>
      <c r="R566" s="86"/>
      <c r="S566" s="86"/>
      <c r="T566" s="86"/>
    </row>
    <row r="567">
      <c r="N567" s="86"/>
      <c r="O567" s="86"/>
      <c r="P567" s="86"/>
      <c r="Q567" s="86"/>
      <c r="R567" s="86"/>
      <c r="S567" s="86"/>
      <c r="T567" s="86"/>
    </row>
    <row r="568">
      <c r="N568" s="86"/>
      <c r="O568" s="86"/>
      <c r="P568" s="86"/>
      <c r="Q568" s="86"/>
      <c r="R568" s="86"/>
      <c r="S568" s="86"/>
      <c r="T568" s="86"/>
    </row>
    <row r="569">
      <c r="N569" s="86"/>
      <c r="O569" s="86"/>
      <c r="P569" s="86"/>
      <c r="Q569" s="86"/>
      <c r="R569" s="86"/>
      <c r="S569" s="86"/>
      <c r="T569" s="86"/>
    </row>
    <row r="570">
      <c r="N570" s="86"/>
      <c r="O570" s="86"/>
      <c r="P570" s="86"/>
      <c r="Q570" s="86"/>
      <c r="R570" s="86"/>
      <c r="S570" s="86"/>
      <c r="T570" s="86"/>
    </row>
    <row r="571">
      <c r="N571" s="86"/>
      <c r="O571" s="86"/>
      <c r="P571" s="86"/>
      <c r="Q571" s="86"/>
      <c r="R571" s="86"/>
      <c r="S571" s="86"/>
      <c r="T571" s="86"/>
    </row>
    <row r="572">
      <c r="N572" s="86"/>
      <c r="O572" s="86"/>
      <c r="P572" s="86"/>
      <c r="Q572" s="86"/>
      <c r="R572" s="86"/>
      <c r="S572" s="86"/>
      <c r="T572" s="86"/>
    </row>
    <row r="573">
      <c r="N573" s="86"/>
      <c r="O573" s="86"/>
      <c r="P573" s="86"/>
      <c r="Q573" s="86"/>
      <c r="R573" s="86"/>
      <c r="S573" s="86"/>
      <c r="T573" s="86"/>
    </row>
    <row r="574">
      <c r="N574" s="86"/>
      <c r="O574" s="86"/>
      <c r="P574" s="86"/>
      <c r="Q574" s="86"/>
      <c r="R574" s="86"/>
      <c r="S574" s="86"/>
      <c r="T574" s="86"/>
    </row>
    <row r="575">
      <c r="N575" s="86"/>
      <c r="O575" s="86"/>
      <c r="P575" s="86"/>
      <c r="Q575" s="86"/>
      <c r="R575" s="86"/>
      <c r="S575" s="86"/>
      <c r="T575" s="86"/>
    </row>
    <row r="576">
      <c r="N576" s="86"/>
      <c r="O576" s="86"/>
      <c r="P576" s="86"/>
      <c r="Q576" s="86"/>
      <c r="R576" s="86"/>
      <c r="S576" s="86"/>
      <c r="T576" s="86"/>
    </row>
    <row r="577">
      <c r="N577" s="86"/>
      <c r="O577" s="86"/>
      <c r="P577" s="86"/>
      <c r="Q577" s="86"/>
      <c r="R577" s="86"/>
      <c r="S577" s="86"/>
      <c r="T577" s="86"/>
    </row>
    <row r="578">
      <c r="N578" s="86"/>
      <c r="O578" s="86"/>
      <c r="P578" s="86"/>
      <c r="Q578" s="86"/>
      <c r="R578" s="86"/>
      <c r="S578" s="86"/>
      <c r="T578" s="86"/>
    </row>
    <row r="579">
      <c r="N579" s="86"/>
      <c r="O579" s="86"/>
      <c r="P579" s="86"/>
      <c r="Q579" s="86"/>
      <c r="R579" s="86"/>
      <c r="S579" s="86"/>
      <c r="T579" s="86"/>
    </row>
    <row r="580">
      <c r="N580" s="86"/>
      <c r="O580" s="86"/>
      <c r="P580" s="86"/>
      <c r="Q580" s="86"/>
      <c r="R580" s="86"/>
      <c r="S580" s="86"/>
      <c r="T580" s="86"/>
    </row>
    <row r="581">
      <c r="N581" s="86"/>
      <c r="O581" s="86"/>
      <c r="P581" s="86"/>
      <c r="Q581" s="86"/>
      <c r="R581" s="86"/>
      <c r="S581" s="86"/>
      <c r="T581" s="86"/>
    </row>
    <row r="582">
      <c r="N582" s="86"/>
      <c r="O582" s="86"/>
      <c r="P582" s="86"/>
      <c r="Q582" s="86"/>
      <c r="R582" s="86"/>
      <c r="S582" s="86"/>
      <c r="T582" s="86"/>
    </row>
    <row r="583">
      <c r="N583" s="86"/>
      <c r="O583" s="86"/>
      <c r="P583" s="86"/>
      <c r="Q583" s="86"/>
      <c r="R583" s="86"/>
      <c r="S583" s="86"/>
      <c r="T583" s="86"/>
    </row>
    <row r="584">
      <c r="N584" s="86"/>
      <c r="O584" s="86"/>
      <c r="P584" s="86"/>
      <c r="Q584" s="86"/>
      <c r="R584" s="86"/>
      <c r="S584" s="86"/>
      <c r="T584" s="86"/>
    </row>
    <row r="585">
      <c r="N585" s="86"/>
      <c r="O585" s="86"/>
      <c r="P585" s="86"/>
      <c r="Q585" s="86"/>
      <c r="R585" s="86"/>
      <c r="S585" s="86"/>
      <c r="T585" s="86"/>
    </row>
    <row r="586">
      <c r="N586" s="86"/>
      <c r="O586" s="86"/>
      <c r="P586" s="86"/>
      <c r="Q586" s="86"/>
      <c r="R586" s="86"/>
      <c r="S586" s="86"/>
      <c r="T586" s="86"/>
    </row>
    <row r="587">
      <c r="N587" s="86"/>
      <c r="O587" s="86"/>
      <c r="P587" s="86"/>
      <c r="Q587" s="86"/>
      <c r="R587" s="86"/>
      <c r="S587" s="86"/>
      <c r="T587" s="86"/>
    </row>
    <row r="588">
      <c r="N588" s="86"/>
      <c r="O588" s="86"/>
      <c r="P588" s="86"/>
      <c r="Q588" s="86"/>
      <c r="R588" s="86"/>
      <c r="S588" s="86"/>
      <c r="T588" s="86"/>
    </row>
    <row r="589">
      <c r="N589" s="86"/>
      <c r="O589" s="86"/>
      <c r="P589" s="86"/>
      <c r="Q589" s="86"/>
      <c r="R589" s="86"/>
      <c r="S589" s="86"/>
      <c r="T589" s="86"/>
    </row>
    <row r="590">
      <c r="N590" s="86"/>
      <c r="O590" s="86"/>
      <c r="P590" s="86"/>
      <c r="Q590" s="86"/>
      <c r="R590" s="86"/>
      <c r="S590" s="86"/>
      <c r="T590" s="86"/>
    </row>
    <row r="591">
      <c r="N591" s="86"/>
      <c r="O591" s="86"/>
      <c r="P591" s="86"/>
      <c r="Q591" s="86"/>
      <c r="R591" s="86"/>
      <c r="S591" s="86"/>
      <c r="T591" s="86"/>
    </row>
    <row r="592">
      <c r="N592" s="86"/>
      <c r="O592" s="86"/>
      <c r="P592" s="86"/>
      <c r="Q592" s="86"/>
      <c r="R592" s="86"/>
      <c r="S592" s="86"/>
      <c r="T592" s="86"/>
    </row>
    <row r="593">
      <c r="N593" s="86"/>
      <c r="O593" s="86"/>
      <c r="P593" s="86"/>
      <c r="Q593" s="86"/>
      <c r="R593" s="86"/>
      <c r="S593" s="86"/>
      <c r="T593" s="86"/>
    </row>
    <row r="594">
      <c r="N594" s="86"/>
      <c r="O594" s="86"/>
      <c r="P594" s="86"/>
      <c r="Q594" s="86"/>
      <c r="R594" s="86"/>
      <c r="S594" s="86"/>
      <c r="T594" s="86"/>
    </row>
    <row r="595">
      <c r="N595" s="86"/>
      <c r="O595" s="86"/>
      <c r="P595" s="86"/>
      <c r="Q595" s="86"/>
      <c r="R595" s="86"/>
      <c r="S595" s="86"/>
      <c r="T595" s="86"/>
    </row>
    <row r="596">
      <c r="N596" s="86"/>
      <c r="O596" s="86"/>
      <c r="P596" s="86"/>
      <c r="Q596" s="86"/>
      <c r="R596" s="86"/>
      <c r="S596" s="86"/>
      <c r="T596" s="86"/>
    </row>
    <row r="597">
      <c r="N597" s="86"/>
      <c r="O597" s="86"/>
      <c r="P597" s="86"/>
      <c r="Q597" s="86"/>
      <c r="R597" s="86"/>
      <c r="S597" s="86"/>
      <c r="T597" s="86"/>
    </row>
    <row r="598">
      <c r="N598" s="86"/>
      <c r="O598" s="86"/>
      <c r="P598" s="86"/>
      <c r="Q598" s="86"/>
      <c r="R598" s="86"/>
      <c r="S598" s="86"/>
      <c r="T598" s="86"/>
    </row>
    <row r="599">
      <c r="N599" s="86"/>
      <c r="O599" s="86"/>
      <c r="P599" s="86"/>
      <c r="Q599" s="86"/>
      <c r="R599" s="86"/>
      <c r="S599" s="86"/>
      <c r="T599" s="86"/>
    </row>
    <row r="600">
      <c r="N600" s="86"/>
      <c r="O600" s="86"/>
      <c r="P600" s="86"/>
      <c r="Q600" s="86"/>
      <c r="R600" s="86"/>
      <c r="S600" s="86"/>
      <c r="T600" s="86"/>
    </row>
    <row r="601">
      <c r="N601" s="86"/>
      <c r="O601" s="86"/>
      <c r="P601" s="86"/>
      <c r="Q601" s="86"/>
      <c r="R601" s="86"/>
      <c r="S601" s="86"/>
      <c r="T601" s="86"/>
    </row>
    <row r="602">
      <c r="N602" s="86"/>
      <c r="O602" s="86"/>
      <c r="P602" s="86"/>
      <c r="Q602" s="86"/>
      <c r="R602" s="86"/>
      <c r="S602" s="86"/>
      <c r="T602" s="86"/>
    </row>
    <row r="603">
      <c r="N603" s="86"/>
      <c r="O603" s="86"/>
      <c r="P603" s="86"/>
      <c r="Q603" s="86"/>
      <c r="R603" s="86"/>
      <c r="S603" s="86"/>
      <c r="T603" s="86"/>
    </row>
    <row r="604">
      <c r="N604" s="86"/>
      <c r="O604" s="86"/>
      <c r="P604" s="86"/>
      <c r="Q604" s="86"/>
      <c r="R604" s="86"/>
      <c r="S604" s="86"/>
      <c r="T604" s="86"/>
    </row>
    <row r="605">
      <c r="N605" s="86"/>
      <c r="O605" s="86"/>
      <c r="P605" s="86"/>
      <c r="Q605" s="86"/>
      <c r="R605" s="86"/>
      <c r="S605" s="86"/>
      <c r="T605" s="86"/>
    </row>
    <row r="606">
      <c r="N606" s="86"/>
      <c r="O606" s="86"/>
      <c r="P606" s="86"/>
      <c r="Q606" s="86"/>
      <c r="R606" s="86"/>
      <c r="S606" s="86"/>
      <c r="T606" s="86"/>
    </row>
    <row r="607">
      <c r="N607" s="86"/>
      <c r="O607" s="86"/>
      <c r="P607" s="86"/>
      <c r="Q607" s="86"/>
      <c r="R607" s="86"/>
      <c r="S607" s="86"/>
      <c r="T607" s="86"/>
    </row>
    <row r="608">
      <c r="N608" s="86"/>
      <c r="O608" s="86"/>
      <c r="P608" s="86"/>
      <c r="Q608" s="86"/>
      <c r="R608" s="86"/>
      <c r="S608" s="86"/>
      <c r="T608" s="86"/>
    </row>
    <row r="609">
      <c r="N609" s="86"/>
      <c r="O609" s="86"/>
      <c r="P609" s="86"/>
      <c r="Q609" s="86"/>
      <c r="R609" s="86"/>
      <c r="S609" s="86"/>
      <c r="T609" s="86"/>
    </row>
    <row r="610">
      <c r="N610" s="86"/>
      <c r="O610" s="86"/>
      <c r="P610" s="86"/>
      <c r="Q610" s="86"/>
      <c r="R610" s="86"/>
      <c r="S610" s="86"/>
      <c r="T610" s="86"/>
    </row>
    <row r="611">
      <c r="N611" s="86"/>
      <c r="O611" s="86"/>
      <c r="P611" s="86"/>
      <c r="Q611" s="86"/>
      <c r="R611" s="86"/>
      <c r="S611" s="86"/>
      <c r="T611" s="86"/>
    </row>
    <row r="612">
      <c r="N612" s="86"/>
      <c r="O612" s="86"/>
      <c r="P612" s="86"/>
      <c r="Q612" s="86"/>
      <c r="R612" s="86"/>
      <c r="S612" s="86"/>
      <c r="T612" s="86"/>
    </row>
    <row r="613">
      <c r="N613" s="86"/>
      <c r="O613" s="86"/>
      <c r="P613" s="86"/>
      <c r="Q613" s="86"/>
      <c r="R613" s="86"/>
      <c r="S613" s="86"/>
      <c r="T613" s="86"/>
    </row>
    <row r="614">
      <c r="N614" s="86"/>
      <c r="O614" s="86"/>
      <c r="P614" s="86"/>
      <c r="Q614" s="86"/>
      <c r="R614" s="86"/>
      <c r="S614" s="86"/>
      <c r="T614" s="86"/>
    </row>
    <row r="615">
      <c r="N615" s="86"/>
      <c r="O615" s="86"/>
      <c r="P615" s="86"/>
      <c r="Q615" s="86"/>
      <c r="R615" s="86"/>
      <c r="S615" s="86"/>
      <c r="T615" s="86"/>
    </row>
    <row r="616">
      <c r="N616" s="86"/>
      <c r="O616" s="86"/>
      <c r="P616" s="86"/>
      <c r="Q616" s="86"/>
      <c r="R616" s="86"/>
      <c r="S616" s="86"/>
      <c r="T616" s="86"/>
    </row>
    <row r="617">
      <c r="N617" s="86"/>
      <c r="O617" s="86"/>
      <c r="P617" s="86"/>
      <c r="Q617" s="86"/>
      <c r="R617" s="86"/>
      <c r="S617" s="86"/>
      <c r="T617" s="86"/>
    </row>
    <row r="618">
      <c r="N618" s="86"/>
      <c r="O618" s="86"/>
      <c r="P618" s="86"/>
      <c r="Q618" s="86"/>
      <c r="R618" s="86"/>
      <c r="S618" s="86"/>
      <c r="T618" s="86"/>
    </row>
    <row r="619">
      <c r="N619" s="86"/>
      <c r="O619" s="86"/>
      <c r="P619" s="86"/>
      <c r="Q619" s="86"/>
      <c r="R619" s="86"/>
      <c r="S619" s="86"/>
      <c r="T619" s="86"/>
    </row>
    <row r="620">
      <c r="N620" s="86"/>
      <c r="O620" s="86"/>
      <c r="P620" s="86"/>
      <c r="Q620" s="86"/>
      <c r="R620" s="86"/>
      <c r="S620" s="86"/>
      <c r="T620" s="86"/>
    </row>
    <row r="621">
      <c r="N621" s="86"/>
      <c r="O621" s="86"/>
      <c r="P621" s="86"/>
      <c r="Q621" s="86"/>
      <c r="R621" s="86"/>
      <c r="S621" s="86"/>
      <c r="T621" s="86"/>
    </row>
    <row r="622">
      <c r="N622" s="86"/>
      <c r="O622" s="86"/>
      <c r="P622" s="86"/>
      <c r="Q622" s="86"/>
      <c r="R622" s="86"/>
      <c r="S622" s="86"/>
      <c r="T622" s="86"/>
    </row>
    <row r="623">
      <c r="N623" s="86"/>
      <c r="O623" s="86"/>
      <c r="P623" s="86"/>
      <c r="Q623" s="86"/>
      <c r="R623" s="86"/>
      <c r="S623" s="86"/>
      <c r="T623" s="86"/>
    </row>
    <row r="624">
      <c r="N624" s="86"/>
      <c r="O624" s="86"/>
      <c r="P624" s="86"/>
      <c r="Q624" s="86"/>
      <c r="R624" s="86"/>
      <c r="S624" s="86"/>
      <c r="T624" s="86"/>
    </row>
    <row r="625">
      <c r="N625" s="86"/>
      <c r="O625" s="86"/>
      <c r="P625" s="86"/>
      <c r="Q625" s="86"/>
      <c r="R625" s="86"/>
      <c r="S625" s="86"/>
      <c r="T625" s="86"/>
    </row>
    <row r="626">
      <c r="N626" s="86"/>
      <c r="O626" s="86"/>
      <c r="P626" s="86"/>
      <c r="Q626" s="86"/>
      <c r="R626" s="86"/>
      <c r="S626" s="86"/>
      <c r="T626" s="86"/>
    </row>
    <row r="627">
      <c r="N627" s="86"/>
      <c r="O627" s="86"/>
      <c r="P627" s="86"/>
      <c r="Q627" s="86"/>
      <c r="R627" s="86"/>
      <c r="S627" s="86"/>
      <c r="T627" s="86"/>
    </row>
    <row r="628">
      <c r="N628" s="86"/>
      <c r="O628" s="86"/>
      <c r="P628" s="86"/>
      <c r="Q628" s="86"/>
      <c r="R628" s="86"/>
      <c r="S628" s="86"/>
      <c r="T628" s="86"/>
    </row>
    <row r="629">
      <c r="N629" s="86"/>
      <c r="O629" s="86"/>
      <c r="P629" s="86"/>
      <c r="Q629" s="86"/>
      <c r="R629" s="86"/>
      <c r="S629" s="86"/>
      <c r="T629" s="86"/>
    </row>
    <row r="630">
      <c r="N630" s="86"/>
      <c r="O630" s="86"/>
      <c r="P630" s="86"/>
      <c r="Q630" s="86"/>
      <c r="R630" s="86"/>
      <c r="S630" s="86"/>
      <c r="T630" s="86"/>
    </row>
    <row r="631">
      <c r="N631" s="86"/>
      <c r="O631" s="86"/>
      <c r="P631" s="86"/>
      <c r="Q631" s="86"/>
      <c r="R631" s="86"/>
      <c r="S631" s="86"/>
      <c r="T631" s="86"/>
    </row>
    <row r="632">
      <c r="N632" s="86"/>
      <c r="O632" s="86"/>
      <c r="P632" s="86"/>
      <c r="Q632" s="86"/>
      <c r="R632" s="86"/>
      <c r="S632" s="86"/>
      <c r="T632" s="86"/>
    </row>
    <row r="633">
      <c r="N633" s="86"/>
      <c r="O633" s="86"/>
      <c r="P633" s="86"/>
      <c r="Q633" s="86"/>
      <c r="R633" s="86"/>
      <c r="S633" s="86"/>
      <c r="T633" s="86"/>
    </row>
    <row r="634">
      <c r="N634" s="86"/>
      <c r="O634" s="86"/>
      <c r="P634" s="86"/>
      <c r="Q634" s="86"/>
      <c r="R634" s="86"/>
      <c r="S634" s="86"/>
      <c r="T634" s="86"/>
    </row>
    <row r="635">
      <c r="N635" s="86"/>
      <c r="O635" s="86"/>
      <c r="P635" s="86"/>
      <c r="Q635" s="86"/>
      <c r="R635" s="86"/>
      <c r="S635" s="86"/>
      <c r="T635" s="86"/>
    </row>
    <row r="636">
      <c r="N636" s="86"/>
      <c r="O636" s="86"/>
      <c r="P636" s="86"/>
      <c r="Q636" s="86"/>
      <c r="R636" s="86"/>
      <c r="S636" s="86"/>
      <c r="T636" s="86"/>
    </row>
    <row r="637">
      <c r="N637" s="86"/>
      <c r="O637" s="86"/>
      <c r="P637" s="86"/>
      <c r="Q637" s="86"/>
      <c r="R637" s="86"/>
      <c r="S637" s="86"/>
      <c r="T637" s="86"/>
    </row>
    <row r="638">
      <c r="N638" s="86"/>
      <c r="O638" s="86"/>
      <c r="P638" s="86"/>
      <c r="Q638" s="86"/>
      <c r="R638" s="86"/>
      <c r="S638" s="86"/>
      <c r="T638" s="86"/>
    </row>
    <row r="639">
      <c r="N639" s="86"/>
      <c r="O639" s="86"/>
      <c r="P639" s="86"/>
      <c r="Q639" s="86"/>
      <c r="R639" s="86"/>
      <c r="S639" s="86"/>
      <c r="T639" s="86"/>
    </row>
    <row r="640">
      <c r="N640" s="86"/>
      <c r="O640" s="86"/>
      <c r="P640" s="86"/>
      <c r="Q640" s="86"/>
      <c r="R640" s="86"/>
      <c r="S640" s="86"/>
      <c r="T640" s="86"/>
    </row>
    <row r="641">
      <c r="N641" s="86"/>
      <c r="O641" s="86"/>
      <c r="P641" s="86"/>
      <c r="Q641" s="86"/>
      <c r="R641" s="86"/>
      <c r="S641" s="86"/>
      <c r="T641" s="86"/>
    </row>
    <row r="642">
      <c r="N642" s="86"/>
      <c r="O642" s="86"/>
      <c r="P642" s="86"/>
      <c r="Q642" s="86"/>
      <c r="R642" s="86"/>
      <c r="S642" s="86"/>
      <c r="T642" s="86"/>
    </row>
    <row r="643">
      <c r="N643" s="86"/>
      <c r="O643" s="86"/>
      <c r="P643" s="86"/>
      <c r="Q643" s="86"/>
      <c r="R643" s="86"/>
      <c r="S643" s="86"/>
      <c r="T643" s="86"/>
    </row>
    <row r="644">
      <c r="N644" s="86"/>
      <c r="O644" s="86"/>
      <c r="P644" s="86"/>
      <c r="Q644" s="86"/>
      <c r="R644" s="86"/>
      <c r="S644" s="86"/>
      <c r="T644" s="86"/>
    </row>
    <row r="645">
      <c r="N645" s="86"/>
      <c r="O645" s="86"/>
      <c r="P645" s="86"/>
      <c r="Q645" s="86"/>
      <c r="R645" s="86"/>
      <c r="S645" s="86"/>
      <c r="T645" s="86"/>
    </row>
    <row r="646">
      <c r="N646" s="86"/>
      <c r="O646" s="86"/>
      <c r="P646" s="86"/>
      <c r="Q646" s="86"/>
      <c r="R646" s="86"/>
      <c r="S646" s="86"/>
      <c r="T646" s="86"/>
    </row>
    <row r="647">
      <c r="N647" s="86"/>
      <c r="O647" s="86"/>
      <c r="P647" s="86"/>
      <c r="Q647" s="86"/>
      <c r="R647" s="86"/>
      <c r="S647" s="86"/>
      <c r="T647" s="86"/>
    </row>
    <row r="648">
      <c r="N648" s="86"/>
      <c r="O648" s="86"/>
      <c r="P648" s="86"/>
      <c r="Q648" s="86"/>
      <c r="R648" s="86"/>
      <c r="S648" s="86"/>
      <c r="T648" s="86"/>
    </row>
    <row r="649">
      <c r="N649" s="86"/>
      <c r="O649" s="86"/>
      <c r="P649" s="86"/>
      <c r="Q649" s="86"/>
      <c r="R649" s="86"/>
      <c r="S649" s="86"/>
      <c r="T649" s="86"/>
    </row>
    <row r="650">
      <c r="N650" s="86"/>
      <c r="O650" s="86"/>
      <c r="P650" s="86"/>
      <c r="Q650" s="86"/>
      <c r="R650" s="86"/>
      <c r="S650" s="86"/>
      <c r="T650" s="86"/>
    </row>
    <row r="651">
      <c r="N651" s="86"/>
      <c r="O651" s="86"/>
      <c r="P651" s="86"/>
      <c r="Q651" s="86"/>
      <c r="R651" s="86"/>
      <c r="S651" s="86"/>
      <c r="T651" s="86"/>
    </row>
    <row r="652">
      <c r="N652" s="86"/>
      <c r="O652" s="86"/>
      <c r="P652" s="86"/>
      <c r="Q652" s="86"/>
      <c r="R652" s="86"/>
      <c r="S652" s="86"/>
      <c r="T652" s="86"/>
    </row>
    <row r="653">
      <c r="N653" s="86"/>
      <c r="O653" s="86"/>
      <c r="P653" s="86"/>
      <c r="Q653" s="86"/>
      <c r="R653" s="86"/>
      <c r="S653" s="86"/>
      <c r="T653" s="86"/>
    </row>
    <row r="654">
      <c r="N654" s="86"/>
      <c r="O654" s="86"/>
      <c r="P654" s="86"/>
      <c r="Q654" s="86"/>
      <c r="R654" s="86"/>
      <c r="S654" s="86"/>
      <c r="T654" s="86"/>
    </row>
    <row r="655">
      <c r="N655" s="86"/>
      <c r="O655" s="86"/>
      <c r="P655" s="86"/>
      <c r="Q655" s="86"/>
      <c r="R655" s="86"/>
      <c r="S655" s="86"/>
      <c r="T655" s="86"/>
    </row>
    <row r="656">
      <c r="N656" s="86"/>
      <c r="O656" s="86"/>
      <c r="P656" s="86"/>
      <c r="Q656" s="86"/>
      <c r="R656" s="86"/>
      <c r="S656" s="86"/>
      <c r="T656" s="86"/>
    </row>
    <row r="657">
      <c r="N657" s="86"/>
      <c r="O657" s="86"/>
      <c r="P657" s="86"/>
      <c r="Q657" s="86"/>
      <c r="R657" s="86"/>
      <c r="S657" s="86"/>
      <c r="T657" s="86"/>
    </row>
    <row r="658">
      <c r="N658" s="86"/>
      <c r="O658" s="86"/>
      <c r="P658" s="86"/>
      <c r="Q658" s="86"/>
      <c r="R658" s="86"/>
      <c r="S658" s="86"/>
      <c r="T658" s="86"/>
    </row>
    <row r="659">
      <c r="N659" s="86"/>
      <c r="O659" s="86"/>
      <c r="P659" s="86"/>
      <c r="Q659" s="86"/>
      <c r="R659" s="86"/>
      <c r="S659" s="86"/>
      <c r="T659" s="86"/>
    </row>
    <row r="660">
      <c r="N660" s="86"/>
      <c r="O660" s="86"/>
      <c r="P660" s="86"/>
      <c r="Q660" s="86"/>
      <c r="R660" s="86"/>
      <c r="S660" s="86"/>
      <c r="T660" s="86"/>
    </row>
    <row r="661">
      <c r="N661" s="86"/>
      <c r="O661" s="86"/>
      <c r="P661" s="86"/>
      <c r="Q661" s="86"/>
      <c r="R661" s="86"/>
      <c r="S661" s="86"/>
      <c r="T661" s="86"/>
    </row>
    <row r="662">
      <c r="N662" s="86"/>
      <c r="O662" s="86"/>
      <c r="P662" s="86"/>
      <c r="Q662" s="86"/>
      <c r="R662" s="86"/>
      <c r="S662" s="86"/>
      <c r="T662" s="86"/>
    </row>
    <row r="663">
      <c r="N663" s="86"/>
      <c r="O663" s="86"/>
      <c r="P663" s="86"/>
      <c r="Q663" s="86"/>
      <c r="R663" s="86"/>
      <c r="S663" s="86"/>
      <c r="T663" s="86"/>
    </row>
    <row r="664">
      <c r="N664" s="86"/>
      <c r="O664" s="86"/>
      <c r="P664" s="86"/>
      <c r="Q664" s="86"/>
      <c r="R664" s="86"/>
      <c r="S664" s="86"/>
      <c r="T664" s="86"/>
    </row>
    <row r="665">
      <c r="N665" s="86"/>
      <c r="O665" s="86"/>
      <c r="P665" s="86"/>
      <c r="Q665" s="86"/>
      <c r="R665" s="86"/>
      <c r="S665" s="86"/>
      <c r="T665" s="86"/>
    </row>
    <row r="666">
      <c r="N666" s="86"/>
      <c r="O666" s="86"/>
      <c r="P666" s="86"/>
      <c r="Q666" s="86"/>
      <c r="R666" s="86"/>
      <c r="S666" s="86"/>
      <c r="T666" s="86"/>
    </row>
    <row r="667">
      <c r="N667" s="86"/>
      <c r="O667" s="86"/>
      <c r="P667" s="86"/>
      <c r="Q667" s="86"/>
      <c r="R667" s="86"/>
      <c r="S667" s="86"/>
      <c r="T667" s="86"/>
    </row>
    <row r="668">
      <c r="N668" s="86"/>
      <c r="O668" s="86"/>
      <c r="P668" s="86"/>
      <c r="Q668" s="86"/>
      <c r="R668" s="86"/>
      <c r="S668" s="86"/>
      <c r="T668" s="86"/>
    </row>
    <row r="669">
      <c r="N669" s="86"/>
      <c r="O669" s="86"/>
      <c r="P669" s="86"/>
      <c r="Q669" s="86"/>
      <c r="R669" s="86"/>
      <c r="S669" s="86"/>
      <c r="T669" s="86"/>
    </row>
    <row r="670">
      <c r="N670" s="86"/>
      <c r="O670" s="86"/>
      <c r="P670" s="86"/>
      <c r="Q670" s="86"/>
      <c r="R670" s="86"/>
      <c r="S670" s="86"/>
      <c r="T670" s="86"/>
    </row>
    <row r="671">
      <c r="N671" s="86"/>
      <c r="O671" s="86"/>
      <c r="P671" s="86"/>
      <c r="Q671" s="86"/>
      <c r="R671" s="86"/>
      <c r="S671" s="86"/>
      <c r="T671" s="86"/>
    </row>
    <row r="672">
      <c r="N672" s="86"/>
      <c r="O672" s="86"/>
      <c r="P672" s="86"/>
      <c r="Q672" s="86"/>
      <c r="R672" s="86"/>
      <c r="S672" s="86"/>
      <c r="T672" s="86"/>
    </row>
    <row r="673">
      <c r="N673" s="86"/>
      <c r="O673" s="86"/>
      <c r="P673" s="86"/>
      <c r="Q673" s="86"/>
      <c r="R673" s="86"/>
      <c r="S673" s="86"/>
      <c r="T673" s="86"/>
    </row>
    <row r="674">
      <c r="N674" s="86"/>
      <c r="O674" s="86"/>
      <c r="P674" s="86"/>
      <c r="Q674" s="86"/>
      <c r="R674" s="86"/>
      <c r="S674" s="86"/>
      <c r="T674" s="86"/>
    </row>
    <row r="675">
      <c r="N675" s="86"/>
      <c r="O675" s="86"/>
      <c r="P675" s="86"/>
      <c r="Q675" s="86"/>
      <c r="R675" s="86"/>
      <c r="S675" s="86"/>
      <c r="T675" s="86"/>
    </row>
    <row r="676">
      <c r="N676" s="86"/>
      <c r="O676" s="86"/>
      <c r="P676" s="86"/>
      <c r="Q676" s="86"/>
      <c r="R676" s="86"/>
      <c r="S676" s="86"/>
      <c r="T676" s="86"/>
    </row>
    <row r="677">
      <c r="N677" s="86"/>
      <c r="O677" s="86"/>
      <c r="P677" s="86"/>
      <c r="Q677" s="86"/>
      <c r="R677" s="86"/>
      <c r="S677" s="86"/>
      <c r="T677" s="86"/>
    </row>
    <row r="678">
      <c r="N678" s="86"/>
      <c r="O678" s="86"/>
      <c r="P678" s="86"/>
      <c r="Q678" s="86"/>
      <c r="R678" s="86"/>
      <c r="S678" s="86"/>
      <c r="T678" s="86"/>
    </row>
    <row r="679">
      <c r="N679" s="86"/>
      <c r="O679" s="86"/>
      <c r="P679" s="86"/>
      <c r="Q679" s="86"/>
      <c r="R679" s="86"/>
      <c r="S679" s="86"/>
      <c r="T679" s="86"/>
    </row>
    <row r="680">
      <c r="N680" s="86"/>
      <c r="O680" s="86"/>
      <c r="P680" s="86"/>
      <c r="Q680" s="86"/>
      <c r="R680" s="86"/>
      <c r="S680" s="86"/>
      <c r="T680" s="86"/>
    </row>
    <row r="681">
      <c r="N681" s="86"/>
      <c r="O681" s="86"/>
      <c r="P681" s="86"/>
      <c r="Q681" s="86"/>
      <c r="R681" s="86"/>
      <c r="S681" s="86"/>
      <c r="T681" s="86"/>
    </row>
    <row r="682">
      <c r="N682" s="86"/>
      <c r="O682" s="86"/>
      <c r="P682" s="86"/>
      <c r="Q682" s="86"/>
      <c r="R682" s="86"/>
      <c r="S682" s="86"/>
      <c r="T682" s="86"/>
    </row>
    <row r="683">
      <c r="N683" s="86"/>
      <c r="O683" s="86"/>
      <c r="P683" s="86"/>
      <c r="Q683" s="86"/>
      <c r="R683" s="86"/>
      <c r="S683" s="86"/>
      <c r="T683" s="86"/>
    </row>
    <row r="684">
      <c r="N684" s="86"/>
      <c r="O684" s="86"/>
      <c r="P684" s="86"/>
      <c r="Q684" s="86"/>
      <c r="R684" s="86"/>
      <c r="S684" s="86"/>
      <c r="T684" s="86"/>
    </row>
    <row r="685">
      <c r="N685" s="86"/>
      <c r="O685" s="86"/>
      <c r="P685" s="86"/>
      <c r="Q685" s="86"/>
      <c r="R685" s="86"/>
      <c r="S685" s="86"/>
      <c r="T685" s="86"/>
    </row>
    <row r="686">
      <c r="N686" s="86"/>
      <c r="O686" s="86"/>
      <c r="P686" s="86"/>
      <c r="Q686" s="86"/>
      <c r="R686" s="86"/>
      <c r="S686" s="86"/>
      <c r="T686" s="86"/>
    </row>
    <row r="687">
      <c r="N687" s="86"/>
      <c r="O687" s="86"/>
      <c r="P687" s="86"/>
      <c r="Q687" s="86"/>
      <c r="R687" s="86"/>
      <c r="S687" s="86"/>
      <c r="T687" s="86"/>
    </row>
    <row r="688">
      <c r="N688" s="86"/>
      <c r="O688" s="86"/>
      <c r="P688" s="86"/>
      <c r="Q688" s="86"/>
      <c r="R688" s="86"/>
      <c r="S688" s="86"/>
      <c r="T688" s="86"/>
    </row>
    <row r="689">
      <c r="N689" s="86"/>
      <c r="O689" s="86"/>
      <c r="P689" s="86"/>
      <c r="Q689" s="86"/>
      <c r="R689" s="86"/>
      <c r="S689" s="86"/>
      <c r="T689" s="86"/>
    </row>
    <row r="690">
      <c r="N690" s="86"/>
      <c r="O690" s="86"/>
      <c r="P690" s="86"/>
      <c r="Q690" s="86"/>
      <c r="R690" s="86"/>
      <c r="S690" s="86"/>
      <c r="T690" s="86"/>
    </row>
    <row r="691">
      <c r="N691" s="86"/>
      <c r="O691" s="86"/>
      <c r="P691" s="86"/>
      <c r="Q691" s="86"/>
      <c r="R691" s="86"/>
      <c r="S691" s="86"/>
      <c r="T691" s="86"/>
    </row>
    <row r="692">
      <c r="N692" s="86"/>
      <c r="O692" s="86"/>
      <c r="P692" s="86"/>
      <c r="Q692" s="86"/>
      <c r="R692" s="86"/>
      <c r="S692" s="86"/>
      <c r="T692" s="86"/>
    </row>
    <row r="693">
      <c r="N693" s="86"/>
      <c r="O693" s="86"/>
      <c r="P693" s="86"/>
      <c r="Q693" s="86"/>
      <c r="R693" s="86"/>
      <c r="S693" s="86"/>
      <c r="T693" s="86"/>
    </row>
    <row r="694">
      <c r="N694" s="86"/>
      <c r="O694" s="86"/>
      <c r="P694" s="86"/>
      <c r="Q694" s="86"/>
      <c r="R694" s="86"/>
      <c r="S694" s="86"/>
      <c r="T694" s="86"/>
    </row>
    <row r="695">
      <c r="N695" s="86"/>
      <c r="O695" s="86"/>
      <c r="P695" s="86"/>
      <c r="Q695" s="86"/>
      <c r="R695" s="86"/>
      <c r="S695" s="86"/>
      <c r="T695" s="86"/>
    </row>
    <row r="696">
      <c r="N696" s="86"/>
      <c r="O696" s="86"/>
      <c r="P696" s="86"/>
      <c r="Q696" s="86"/>
      <c r="R696" s="86"/>
      <c r="S696" s="86"/>
      <c r="T696" s="86"/>
    </row>
    <row r="697">
      <c r="N697" s="86"/>
      <c r="O697" s="86"/>
      <c r="P697" s="86"/>
      <c r="Q697" s="86"/>
      <c r="R697" s="86"/>
      <c r="S697" s="86"/>
      <c r="T697" s="86"/>
    </row>
    <row r="698">
      <c r="N698" s="86"/>
      <c r="O698" s="86"/>
      <c r="P698" s="86"/>
      <c r="Q698" s="86"/>
      <c r="R698" s="86"/>
      <c r="S698" s="86"/>
      <c r="T698" s="86"/>
    </row>
    <row r="699">
      <c r="N699" s="86"/>
      <c r="O699" s="86"/>
      <c r="P699" s="86"/>
      <c r="Q699" s="86"/>
      <c r="R699" s="86"/>
      <c r="S699" s="86"/>
      <c r="T699" s="86"/>
    </row>
    <row r="700">
      <c r="N700" s="86"/>
      <c r="O700" s="86"/>
      <c r="P700" s="86"/>
      <c r="Q700" s="86"/>
      <c r="R700" s="86"/>
      <c r="S700" s="86"/>
      <c r="T700" s="86"/>
    </row>
    <row r="701">
      <c r="N701" s="86"/>
      <c r="O701" s="86"/>
      <c r="P701" s="86"/>
      <c r="Q701" s="86"/>
      <c r="R701" s="86"/>
      <c r="S701" s="86"/>
      <c r="T701" s="86"/>
    </row>
    <row r="702">
      <c r="N702" s="86"/>
      <c r="O702" s="86"/>
      <c r="P702" s="86"/>
      <c r="Q702" s="86"/>
      <c r="R702" s="86"/>
      <c r="S702" s="86"/>
      <c r="T702" s="86"/>
    </row>
    <row r="703">
      <c r="N703" s="86"/>
      <c r="O703" s="86"/>
      <c r="P703" s="86"/>
      <c r="Q703" s="86"/>
      <c r="R703" s="86"/>
      <c r="S703" s="86"/>
      <c r="T703" s="86"/>
    </row>
    <row r="704">
      <c r="N704" s="86"/>
      <c r="O704" s="86"/>
      <c r="P704" s="86"/>
      <c r="Q704" s="86"/>
      <c r="R704" s="86"/>
      <c r="S704" s="86"/>
      <c r="T704" s="86"/>
    </row>
    <row r="705">
      <c r="N705" s="86"/>
      <c r="O705" s="86"/>
      <c r="P705" s="86"/>
      <c r="Q705" s="86"/>
      <c r="R705" s="86"/>
      <c r="S705" s="86"/>
      <c r="T705" s="86"/>
    </row>
    <row r="706">
      <c r="N706" s="86"/>
      <c r="O706" s="86"/>
      <c r="P706" s="86"/>
      <c r="Q706" s="86"/>
      <c r="R706" s="86"/>
      <c r="S706" s="86"/>
      <c r="T706" s="86"/>
    </row>
    <row r="707">
      <c r="N707" s="86"/>
      <c r="O707" s="86"/>
      <c r="P707" s="86"/>
      <c r="Q707" s="86"/>
      <c r="R707" s="86"/>
      <c r="S707" s="86"/>
      <c r="T707" s="86"/>
    </row>
    <row r="708">
      <c r="N708" s="86"/>
      <c r="O708" s="86"/>
      <c r="P708" s="86"/>
      <c r="Q708" s="86"/>
      <c r="R708" s="86"/>
      <c r="S708" s="86"/>
      <c r="T708" s="86"/>
    </row>
    <row r="709">
      <c r="N709" s="86"/>
      <c r="O709" s="86"/>
      <c r="P709" s="86"/>
      <c r="Q709" s="86"/>
      <c r="R709" s="86"/>
      <c r="S709" s="86"/>
      <c r="T709" s="86"/>
    </row>
    <row r="710">
      <c r="N710" s="86"/>
      <c r="O710" s="86"/>
      <c r="P710" s="86"/>
      <c r="Q710" s="86"/>
      <c r="R710" s="86"/>
      <c r="S710" s="86"/>
      <c r="T710" s="86"/>
    </row>
    <row r="711">
      <c r="N711" s="86"/>
      <c r="O711" s="86"/>
      <c r="P711" s="86"/>
      <c r="Q711" s="86"/>
      <c r="R711" s="86"/>
      <c r="S711" s="86"/>
      <c r="T711" s="86"/>
    </row>
    <row r="712">
      <c r="N712" s="86"/>
      <c r="O712" s="86"/>
      <c r="P712" s="86"/>
      <c r="Q712" s="86"/>
      <c r="R712" s="86"/>
      <c r="S712" s="86"/>
      <c r="T712" s="86"/>
    </row>
    <row r="713">
      <c r="N713" s="86"/>
      <c r="O713" s="86"/>
      <c r="P713" s="86"/>
      <c r="Q713" s="86"/>
      <c r="R713" s="86"/>
      <c r="S713" s="86"/>
      <c r="T713" s="86"/>
    </row>
    <row r="714">
      <c r="N714" s="86"/>
      <c r="O714" s="86"/>
      <c r="P714" s="86"/>
      <c r="Q714" s="86"/>
      <c r="R714" s="86"/>
      <c r="S714" s="86"/>
      <c r="T714" s="86"/>
    </row>
    <row r="715">
      <c r="N715" s="86"/>
      <c r="O715" s="86"/>
      <c r="P715" s="86"/>
      <c r="Q715" s="86"/>
      <c r="R715" s="86"/>
      <c r="S715" s="86"/>
      <c r="T715" s="86"/>
    </row>
    <row r="716">
      <c r="N716" s="86"/>
      <c r="O716" s="86"/>
      <c r="P716" s="86"/>
      <c r="Q716" s="86"/>
      <c r="R716" s="86"/>
      <c r="S716" s="86"/>
      <c r="T716" s="86"/>
    </row>
    <row r="717">
      <c r="N717" s="86"/>
      <c r="O717" s="86"/>
      <c r="P717" s="86"/>
      <c r="Q717" s="86"/>
      <c r="R717" s="86"/>
      <c r="S717" s="86"/>
      <c r="T717" s="86"/>
    </row>
    <row r="718">
      <c r="N718" s="86"/>
      <c r="O718" s="86"/>
      <c r="P718" s="86"/>
      <c r="Q718" s="86"/>
      <c r="R718" s="86"/>
      <c r="S718" s="86"/>
      <c r="T718" s="86"/>
    </row>
    <row r="719">
      <c r="N719" s="86"/>
      <c r="O719" s="86"/>
      <c r="P719" s="86"/>
      <c r="Q719" s="86"/>
      <c r="R719" s="86"/>
      <c r="S719" s="86"/>
      <c r="T719" s="86"/>
    </row>
    <row r="720">
      <c r="N720" s="86"/>
      <c r="O720" s="86"/>
      <c r="P720" s="86"/>
      <c r="Q720" s="86"/>
      <c r="R720" s="86"/>
      <c r="S720" s="86"/>
      <c r="T720" s="86"/>
    </row>
    <row r="721">
      <c r="N721" s="86"/>
      <c r="O721" s="86"/>
      <c r="P721" s="86"/>
      <c r="Q721" s="86"/>
      <c r="R721" s="86"/>
      <c r="S721" s="86"/>
      <c r="T721" s="86"/>
    </row>
    <row r="722">
      <c r="N722" s="86"/>
      <c r="O722" s="86"/>
      <c r="P722" s="86"/>
      <c r="Q722" s="86"/>
      <c r="R722" s="86"/>
      <c r="S722" s="86"/>
      <c r="T722" s="86"/>
    </row>
    <row r="723">
      <c r="N723" s="86"/>
      <c r="O723" s="86"/>
      <c r="P723" s="86"/>
      <c r="Q723" s="86"/>
      <c r="R723" s="86"/>
      <c r="S723" s="86"/>
      <c r="T723" s="86"/>
    </row>
    <row r="724">
      <c r="N724" s="86"/>
      <c r="O724" s="86"/>
      <c r="P724" s="86"/>
      <c r="Q724" s="86"/>
      <c r="R724" s="86"/>
      <c r="S724" s="86"/>
      <c r="T724" s="86"/>
    </row>
    <row r="725">
      <c r="N725" s="86"/>
      <c r="O725" s="86"/>
      <c r="P725" s="86"/>
      <c r="Q725" s="86"/>
      <c r="R725" s="86"/>
      <c r="S725" s="86"/>
      <c r="T725" s="86"/>
    </row>
    <row r="726">
      <c r="N726" s="86"/>
      <c r="O726" s="86"/>
      <c r="P726" s="86"/>
      <c r="Q726" s="86"/>
      <c r="R726" s="86"/>
      <c r="S726" s="86"/>
      <c r="T726" s="86"/>
    </row>
    <row r="727">
      <c r="N727" s="86"/>
      <c r="O727" s="86"/>
      <c r="P727" s="86"/>
      <c r="Q727" s="86"/>
      <c r="R727" s="86"/>
      <c r="S727" s="86"/>
      <c r="T727" s="86"/>
    </row>
    <row r="728">
      <c r="N728" s="86"/>
      <c r="O728" s="86"/>
      <c r="P728" s="86"/>
      <c r="Q728" s="86"/>
      <c r="R728" s="86"/>
      <c r="S728" s="86"/>
      <c r="T728" s="86"/>
    </row>
    <row r="729">
      <c r="N729" s="86"/>
      <c r="O729" s="86"/>
      <c r="P729" s="86"/>
      <c r="Q729" s="86"/>
      <c r="R729" s="86"/>
      <c r="S729" s="86"/>
      <c r="T729" s="86"/>
    </row>
    <row r="730">
      <c r="N730" s="86"/>
      <c r="O730" s="86"/>
      <c r="P730" s="86"/>
      <c r="Q730" s="86"/>
      <c r="R730" s="86"/>
      <c r="S730" s="86"/>
      <c r="T730" s="86"/>
    </row>
    <row r="731">
      <c r="N731" s="86"/>
      <c r="O731" s="86"/>
      <c r="P731" s="86"/>
      <c r="Q731" s="86"/>
      <c r="R731" s="86"/>
      <c r="S731" s="86"/>
      <c r="T731" s="86"/>
    </row>
    <row r="732">
      <c r="N732" s="86"/>
      <c r="O732" s="86"/>
      <c r="P732" s="86"/>
      <c r="Q732" s="86"/>
      <c r="R732" s="86"/>
      <c r="S732" s="86"/>
      <c r="T732" s="86"/>
    </row>
    <row r="733">
      <c r="N733" s="86"/>
      <c r="O733" s="86"/>
      <c r="P733" s="86"/>
      <c r="Q733" s="86"/>
      <c r="R733" s="86"/>
      <c r="S733" s="86"/>
      <c r="T733" s="86"/>
    </row>
    <row r="734">
      <c r="N734" s="86"/>
      <c r="O734" s="86"/>
      <c r="P734" s="86"/>
      <c r="Q734" s="86"/>
      <c r="R734" s="86"/>
      <c r="S734" s="86"/>
      <c r="T734" s="86"/>
    </row>
    <row r="735">
      <c r="N735" s="86"/>
      <c r="O735" s="86"/>
      <c r="P735" s="86"/>
      <c r="Q735" s="86"/>
      <c r="R735" s="86"/>
      <c r="S735" s="86"/>
      <c r="T735" s="86"/>
    </row>
    <row r="736">
      <c r="N736" s="86"/>
      <c r="O736" s="86"/>
      <c r="P736" s="86"/>
      <c r="Q736" s="86"/>
      <c r="R736" s="86"/>
      <c r="S736" s="86"/>
      <c r="T736" s="86"/>
    </row>
    <row r="737">
      <c r="N737" s="86"/>
      <c r="O737" s="86"/>
      <c r="P737" s="86"/>
      <c r="Q737" s="86"/>
      <c r="R737" s="86"/>
      <c r="S737" s="86"/>
      <c r="T737" s="86"/>
    </row>
    <row r="738">
      <c r="N738" s="86"/>
      <c r="O738" s="86"/>
      <c r="P738" s="86"/>
      <c r="Q738" s="86"/>
      <c r="R738" s="86"/>
      <c r="S738" s="86"/>
      <c r="T738" s="86"/>
    </row>
    <row r="739">
      <c r="N739" s="86"/>
      <c r="O739" s="86"/>
      <c r="P739" s="86"/>
      <c r="Q739" s="86"/>
      <c r="R739" s="86"/>
      <c r="S739" s="86"/>
      <c r="T739" s="86"/>
    </row>
    <row r="740">
      <c r="N740" s="86"/>
      <c r="O740" s="86"/>
      <c r="P740" s="86"/>
      <c r="Q740" s="86"/>
      <c r="R740" s="86"/>
      <c r="S740" s="86"/>
      <c r="T740" s="86"/>
    </row>
    <row r="741">
      <c r="N741" s="86"/>
      <c r="O741" s="86"/>
      <c r="P741" s="86"/>
      <c r="Q741" s="86"/>
      <c r="R741" s="86"/>
      <c r="S741" s="86"/>
      <c r="T741" s="86"/>
    </row>
    <row r="742">
      <c r="N742" s="86"/>
      <c r="O742" s="86"/>
      <c r="P742" s="86"/>
      <c r="Q742" s="86"/>
      <c r="R742" s="86"/>
      <c r="S742" s="86"/>
      <c r="T742" s="86"/>
    </row>
    <row r="743">
      <c r="N743" s="86"/>
      <c r="O743" s="86"/>
      <c r="P743" s="86"/>
      <c r="Q743" s="86"/>
      <c r="R743" s="86"/>
      <c r="S743" s="86"/>
      <c r="T743" s="86"/>
    </row>
    <row r="744">
      <c r="N744" s="86"/>
      <c r="O744" s="86"/>
      <c r="P744" s="86"/>
      <c r="Q744" s="86"/>
      <c r="R744" s="86"/>
      <c r="S744" s="86"/>
      <c r="T744" s="86"/>
    </row>
    <row r="745">
      <c r="N745" s="86"/>
      <c r="O745" s="86"/>
      <c r="P745" s="86"/>
      <c r="Q745" s="86"/>
      <c r="R745" s="86"/>
      <c r="S745" s="86"/>
      <c r="T745" s="86"/>
    </row>
    <row r="746">
      <c r="N746" s="86"/>
      <c r="O746" s="86"/>
      <c r="P746" s="86"/>
      <c r="Q746" s="86"/>
      <c r="R746" s="86"/>
      <c r="S746" s="86"/>
      <c r="T746" s="86"/>
    </row>
    <row r="747">
      <c r="N747" s="86"/>
      <c r="O747" s="86"/>
      <c r="P747" s="86"/>
      <c r="Q747" s="86"/>
      <c r="R747" s="86"/>
      <c r="S747" s="86"/>
      <c r="T747" s="86"/>
    </row>
    <row r="748">
      <c r="N748" s="86"/>
      <c r="O748" s="86"/>
      <c r="P748" s="86"/>
      <c r="Q748" s="86"/>
      <c r="R748" s="86"/>
      <c r="S748" s="86"/>
      <c r="T748" s="86"/>
    </row>
    <row r="749">
      <c r="N749" s="86"/>
      <c r="O749" s="86"/>
      <c r="P749" s="86"/>
      <c r="Q749" s="86"/>
      <c r="R749" s="86"/>
      <c r="S749" s="86"/>
      <c r="T749" s="86"/>
    </row>
    <row r="750">
      <c r="N750" s="86"/>
      <c r="O750" s="86"/>
      <c r="P750" s="86"/>
      <c r="Q750" s="86"/>
      <c r="R750" s="86"/>
      <c r="S750" s="86"/>
      <c r="T750" s="86"/>
    </row>
    <row r="751">
      <c r="N751" s="86"/>
      <c r="O751" s="86"/>
      <c r="P751" s="86"/>
      <c r="Q751" s="86"/>
      <c r="R751" s="86"/>
      <c r="S751" s="86"/>
      <c r="T751" s="86"/>
    </row>
    <row r="752">
      <c r="N752" s="86"/>
      <c r="O752" s="86"/>
      <c r="P752" s="86"/>
      <c r="Q752" s="86"/>
      <c r="R752" s="86"/>
      <c r="S752" s="86"/>
      <c r="T752" s="86"/>
    </row>
    <row r="753">
      <c r="N753" s="86"/>
      <c r="O753" s="86"/>
      <c r="P753" s="86"/>
      <c r="Q753" s="86"/>
      <c r="R753" s="86"/>
      <c r="S753" s="86"/>
      <c r="T753" s="86"/>
    </row>
    <row r="754">
      <c r="N754" s="86"/>
      <c r="O754" s="86"/>
      <c r="P754" s="86"/>
      <c r="Q754" s="86"/>
      <c r="R754" s="86"/>
      <c r="S754" s="86"/>
      <c r="T754" s="86"/>
    </row>
    <row r="755">
      <c r="N755" s="86"/>
      <c r="O755" s="86"/>
      <c r="P755" s="86"/>
      <c r="Q755" s="86"/>
      <c r="R755" s="86"/>
      <c r="S755" s="86"/>
      <c r="T755" s="86"/>
    </row>
    <row r="756">
      <c r="N756" s="86"/>
      <c r="O756" s="86"/>
      <c r="P756" s="86"/>
      <c r="Q756" s="86"/>
      <c r="R756" s="86"/>
      <c r="S756" s="86"/>
      <c r="T756" s="86"/>
    </row>
    <row r="757">
      <c r="N757" s="86"/>
      <c r="O757" s="86"/>
      <c r="P757" s="86"/>
      <c r="Q757" s="86"/>
      <c r="R757" s="86"/>
      <c r="S757" s="86"/>
      <c r="T757" s="86"/>
    </row>
    <row r="758">
      <c r="N758" s="86"/>
      <c r="O758" s="86"/>
      <c r="P758" s="86"/>
      <c r="Q758" s="86"/>
      <c r="R758" s="86"/>
      <c r="S758" s="86"/>
      <c r="T758" s="86"/>
    </row>
    <row r="759">
      <c r="N759" s="86"/>
      <c r="O759" s="86"/>
      <c r="P759" s="86"/>
      <c r="Q759" s="86"/>
      <c r="R759" s="86"/>
      <c r="S759" s="86"/>
      <c r="T759" s="86"/>
    </row>
    <row r="760">
      <c r="N760" s="86"/>
      <c r="O760" s="86"/>
      <c r="P760" s="86"/>
      <c r="Q760" s="86"/>
      <c r="R760" s="86"/>
      <c r="S760" s="86"/>
      <c r="T760" s="86"/>
    </row>
    <row r="761">
      <c r="N761" s="86"/>
      <c r="O761" s="86"/>
      <c r="P761" s="86"/>
      <c r="Q761" s="86"/>
      <c r="R761" s="86"/>
      <c r="S761" s="86"/>
      <c r="T761" s="86"/>
    </row>
    <row r="762">
      <c r="N762" s="86"/>
      <c r="O762" s="86"/>
      <c r="P762" s="86"/>
      <c r="Q762" s="86"/>
      <c r="R762" s="86"/>
      <c r="S762" s="86"/>
      <c r="T762" s="86"/>
    </row>
    <row r="763">
      <c r="N763" s="86"/>
      <c r="O763" s="86"/>
      <c r="P763" s="86"/>
      <c r="Q763" s="86"/>
      <c r="R763" s="86"/>
      <c r="S763" s="86"/>
      <c r="T763" s="86"/>
    </row>
    <row r="764">
      <c r="N764" s="86"/>
      <c r="O764" s="86"/>
      <c r="P764" s="86"/>
      <c r="Q764" s="86"/>
      <c r="R764" s="86"/>
      <c r="S764" s="86"/>
      <c r="T764" s="86"/>
    </row>
    <row r="765">
      <c r="N765" s="86"/>
      <c r="O765" s="86"/>
      <c r="P765" s="86"/>
      <c r="Q765" s="86"/>
      <c r="R765" s="86"/>
      <c r="S765" s="86"/>
      <c r="T765" s="86"/>
    </row>
    <row r="766">
      <c r="N766" s="86"/>
      <c r="O766" s="86"/>
      <c r="P766" s="86"/>
      <c r="Q766" s="86"/>
      <c r="R766" s="86"/>
      <c r="S766" s="86"/>
      <c r="T766" s="86"/>
    </row>
    <row r="767">
      <c r="N767" s="86"/>
      <c r="O767" s="86"/>
      <c r="P767" s="86"/>
      <c r="Q767" s="86"/>
      <c r="R767" s="86"/>
      <c r="S767" s="86"/>
      <c r="T767" s="86"/>
    </row>
    <row r="768">
      <c r="N768" s="86"/>
      <c r="O768" s="86"/>
      <c r="P768" s="86"/>
      <c r="Q768" s="86"/>
      <c r="R768" s="86"/>
      <c r="S768" s="86"/>
      <c r="T768" s="86"/>
    </row>
    <row r="769">
      <c r="N769" s="86"/>
      <c r="O769" s="86"/>
      <c r="P769" s="86"/>
      <c r="Q769" s="86"/>
      <c r="R769" s="86"/>
      <c r="S769" s="86"/>
      <c r="T769" s="86"/>
    </row>
    <row r="770">
      <c r="N770" s="86"/>
      <c r="O770" s="86"/>
      <c r="P770" s="86"/>
      <c r="Q770" s="86"/>
      <c r="R770" s="86"/>
      <c r="S770" s="86"/>
      <c r="T770" s="86"/>
    </row>
    <row r="771">
      <c r="N771" s="86"/>
      <c r="O771" s="86"/>
      <c r="P771" s="86"/>
      <c r="Q771" s="86"/>
      <c r="R771" s="86"/>
      <c r="S771" s="86"/>
      <c r="T771" s="86"/>
    </row>
    <row r="772">
      <c r="N772" s="86"/>
      <c r="O772" s="86"/>
      <c r="P772" s="86"/>
      <c r="Q772" s="86"/>
      <c r="R772" s="86"/>
      <c r="S772" s="86"/>
      <c r="T772" s="86"/>
    </row>
    <row r="773">
      <c r="N773" s="86"/>
      <c r="O773" s="86"/>
      <c r="P773" s="86"/>
      <c r="Q773" s="86"/>
      <c r="R773" s="86"/>
      <c r="S773" s="86"/>
      <c r="T773" s="86"/>
    </row>
    <row r="774">
      <c r="N774" s="86"/>
      <c r="O774" s="86"/>
      <c r="P774" s="86"/>
      <c r="Q774" s="86"/>
      <c r="R774" s="86"/>
      <c r="S774" s="86"/>
      <c r="T774" s="86"/>
    </row>
    <row r="775">
      <c r="N775" s="86"/>
      <c r="O775" s="86"/>
      <c r="P775" s="86"/>
      <c r="Q775" s="86"/>
      <c r="R775" s="86"/>
      <c r="S775" s="86"/>
      <c r="T775" s="86"/>
    </row>
    <row r="776">
      <c r="N776" s="86"/>
      <c r="O776" s="86"/>
      <c r="P776" s="86"/>
      <c r="Q776" s="86"/>
      <c r="R776" s="86"/>
      <c r="S776" s="86"/>
      <c r="T776" s="86"/>
    </row>
    <row r="777">
      <c r="N777" s="86"/>
      <c r="O777" s="86"/>
      <c r="P777" s="86"/>
      <c r="Q777" s="86"/>
      <c r="R777" s="86"/>
      <c r="S777" s="86"/>
      <c r="T777" s="86"/>
    </row>
    <row r="778">
      <c r="N778" s="86"/>
      <c r="O778" s="86"/>
      <c r="P778" s="86"/>
      <c r="Q778" s="86"/>
      <c r="R778" s="86"/>
      <c r="S778" s="86"/>
      <c r="T778" s="86"/>
    </row>
    <row r="779">
      <c r="N779" s="86"/>
      <c r="O779" s="86"/>
      <c r="P779" s="86"/>
      <c r="Q779" s="86"/>
      <c r="R779" s="86"/>
      <c r="S779" s="86"/>
      <c r="T779" s="86"/>
    </row>
    <row r="780">
      <c r="N780" s="86"/>
      <c r="O780" s="86"/>
      <c r="P780" s="86"/>
      <c r="Q780" s="86"/>
      <c r="R780" s="86"/>
      <c r="S780" s="86"/>
      <c r="T780" s="86"/>
    </row>
    <row r="781">
      <c r="N781" s="86"/>
      <c r="O781" s="86"/>
      <c r="P781" s="86"/>
      <c r="Q781" s="86"/>
      <c r="R781" s="86"/>
      <c r="S781" s="86"/>
      <c r="T781" s="86"/>
    </row>
    <row r="782">
      <c r="N782" s="86"/>
      <c r="O782" s="86"/>
      <c r="P782" s="86"/>
      <c r="Q782" s="86"/>
      <c r="R782" s="86"/>
      <c r="S782" s="86"/>
      <c r="T782" s="86"/>
    </row>
    <row r="783">
      <c r="N783" s="86"/>
      <c r="O783" s="86"/>
      <c r="P783" s="86"/>
      <c r="Q783" s="86"/>
      <c r="R783" s="86"/>
      <c r="S783" s="86"/>
      <c r="T783" s="86"/>
    </row>
    <row r="784">
      <c r="N784" s="86"/>
      <c r="O784" s="86"/>
      <c r="P784" s="86"/>
      <c r="Q784" s="86"/>
      <c r="R784" s="86"/>
      <c r="S784" s="86"/>
      <c r="T784" s="86"/>
    </row>
    <row r="785">
      <c r="N785" s="86"/>
      <c r="O785" s="86"/>
      <c r="P785" s="86"/>
      <c r="Q785" s="86"/>
      <c r="R785" s="86"/>
      <c r="S785" s="86"/>
      <c r="T785" s="86"/>
    </row>
    <row r="786">
      <c r="N786" s="86"/>
      <c r="O786" s="86"/>
      <c r="P786" s="86"/>
      <c r="Q786" s="86"/>
      <c r="R786" s="86"/>
      <c r="S786" s="86"/>
      <c r="T786" s="86"/>
    </row>
    <row r="787">
      <c r="N787" s="86"/>
      <c r="O787" s="86"/>
      <c r="P787" s="86"/>
      <c r="Q787" s="86"/>
      <c r="R787" s="86"/>
      <c r="S787" s="86"/>
      <c r="T787" s="86"/>
    </row>
    <row r="788">
      <c r="N788" s="86"/>
      <c r="O788" s="86"/>
      <c r="P788" s="86"/>
      <c r="Q788" s="86"/>
      <c r="R788" s="86"/>
      <c r="S788" s="86"/>
      <c r="T788" s="86"/>
    </row>
    <row r="789">
      <c r="N789" s="86"/>
      <c r="O789" s="86"/>
      <c r="P789" s="86"/>
      <c r="Q789" s="86"/>
      <c r="R789" s="86"/>
      <c r="S789" s="86"/>
      <c r="T789" s="86"/>
    </row>
    <row r="790">
      <c r="N790" s="86"/>
      <c r="O790" s="86"/>
      <c r="P790" s="86"/>
      <c r="Q790" s="86"/>
      <c r="R790" s="86"/>
      <c r="S790" s="86"/>
      <c r="T790" s="86"/>
    </row>
    <row r="791">
      <c r="N791" s="86"/>
      <c r="O791" s="86"/>
      <c r="P791" s="86"/>
      <c r="Q791" s="86"/>
      <c r="R791" s="86"/>
      <c r="S791" s="86"/>
      <c r="T791" s="86"/>
    </row>
    <row r="792">
      <c r="N792" s="86"/>
      <c r="O792" s="86"/>
      <c r="P792" s="86"/>
      <c r="Q792" s="86"/>
      <c r="R792" s="86"/>
      <c r="S792" s="86"/>
      <c r="T792" s="86"/>
    </row>
    <row r="793">
      <c r="N793" s="86"/>
      <c r="O793" s="86"/>
      <c r="P793" s="86"/>
      <c r="Q793" s="86"/>
      <c r="R793" s="86"/>
      <c r="S793" s="86"/>
      <c r="T793" s="86"/>
    </row>
    <row r="794">
      <c r="N794" s="86"/>
      <c r="O794" s="86"/>
      <c r="P794" s="86"/>
      <c r="Q794" s="86"/>
      <c r="R794" s="86"/>
      <c r="S794" s="86"/>
      <c r="T794" s="86"/>
    </row>
    <row r="795">
      <c r="N795" s="86"/>
      <c r="O795" s="86"/>
      <c r="P795" s="86"/>
      <c r="Q795" s="86"/>
      <c r="R795" s="86"/>
      <c r="S795" s="86"/>
      <c r="T795" s="86"/>
    </row>
    <row r="796">
      <c r="N796" s="86"/>
      <c r="O796" s="86"/>
      <c r="P796" s="86"/>
      <c r="Q796" s="86"/>
      <c r="R796" s="86"/>
      <c r="S796" s="86"/>
      <c r="T796" s="86"/>
    </row>
    <row r="797">
      <c r="N797" s="86"/>
      <c r="O797" s="86"/>
      <c r="P797" s="86"/>
      <c r="Q797" s="86"/>
      <c r="R797" s="86"/>
      <c r="S797" s="86"/>
      <c r="T797" s="86"/>
    </row>
    <row r="798">
      <c r="N798" s="86"/>
      <c r="O798" s="86"/>
      <c r="P798" s="86"/>
      <c r="Q798" s="86"/>
      <c r="R798" s="86"/>
      <c r="S798" s="86"/>
      <c r="T798" s="86"/>
    </row>
    <row r="799">
      <c r="N799" s="86"/>
      <c r="O799" s="86"/>
      <c r="P799" s="86"/>
      <c r="Q799" s="86"/>
      <c r="R799" s="86"/>
      <c r="S799" s="86"/>
      <c r="T799" s="86"/>
    </row>
    <row r="800">
      <c r="N800" s="86"/>
      <c r="O800" s="86"/>
      <c r="P800" s="86"/>
      <c r="Q800" s="86"/>
      <c r="R800" s="86"/>
      <c r="S800" s="86"/>
      <c r="T800" s="86"/>
    </row>
    <row r="801">
      <c r="N801" s="86"/>
      <c r="O801" s="86"/>
      <c r="P801" s="86"/>
      <c r="Q801" s="86"/>
      <c r="R801" s="86"/>
      <c r="S801" s="86"/>
      <c r="T801" s="86"/>
    </row>
    <row r="802">
      <c r="N802" s="86"/>
      <c r="O802" s="86"/>
      <c r="P802" s="86"/>
      <c r="Q802" s="86"/>
      <c r="R802" s="86"/>
      <c r="S802" s="86"/>
      <c r="T802" s="86"/>
    </row>
    <row r="803">
      <c r="N803" s="86"/>
      <c r="O803" s="86"/>
      <c r="P803" s="86"/>
      <c r="Q803" s="86"/>
      <c r="R803" s="86"/>
      <c r="S803" s="86"/>
      <c r="T803" s="86"/>
    </row>
    <row r="804">
      <c r="N804" s="86"/>
      <c r="O804" s="86"/>
      <c r="P804" s="86"/>
      <c r="Q804" s="86"/>
      <c r="R804" s="86"/>
      <c r="S804" s="86"/>
      <c r="T804" s="86"/>
    </row>
    <row r="805">
      <c r="N805" s="86"/>
      <c r="O805" s="86"/>
      <c r="P805" s="86"/>
      <c r="Q805" s="86"/>
      <c r="R805" s="86"/>
      <c r="S805" s="86"/>
      <c r="T805" s="86"/>
    </row>
    <row r="806">
      <c r="N806" s="86"/>
      <c r="O806" s="86"/>
      <c r="P806" s="86"/>
      <c r="Q806" s="86"/>
      <c r="R806" s="86"/>
      <c r="S806" s="86"/>
      <c r="T806" s="86"/>
    </row>
    <row r="807">
      <c r="N807" s="86"/>
      <c r="O807" s="86"/>
      <c r="P807" s="86"/>
      <c r="Q807" s="86"/>
      <c r="R807" s="86"/>
      <c r="S807" s="86"/>
      <c r="T807" s="86"/>
    </row>
    <row r="808">
      <c r="N808" s="86"/>
      <c r="O808" s="86"/>
      <c r="P808" s="86"/>
      <c r="Q808" s="86"/>
      <c r="R808" s="86"/>
      <c r="S808" s="86"/>
      <c r="T808" s="86"/>
    </row>
    <row r="809">
      <c r="N809" s="86"/>
      <c r="O809" s="86"/>
      <c r="P809" s="86"/>
      <c r="Q809" s="86"/>
      <c r="R809" s="86"/>
      <c r="S809" s="86"/>
      <c r="T809" s="86"/>
    </row>
    <row r="810">
      <c r="N810" s="86"/>
      <c r="O810" s="86"/>
      <c r="P810" s="86"/>
      <c r="Q810" s="86"/>
      <c r="R810" s="86"/>
      <c r="S810" s="86"/>
      <c r="T810" s="86"/>
    </row>
    <row r="811">
      <c r="N811" s="86"/>
      <c r="O811" s="86"/>
      <c r="P811" s="86"/>
      <c r="Q811" s="86"/>
      <c r="R811" s="86"/>
      <c r="S811" s="86"/>
      <c r="T811" s="86"/>
    </row>
    <row r="812">
      <c r="N812" s="86"/>
      <c r="O812" s="86"/>
      <c r="P812" s="86"/>
      <c r="Q812" s="86"/>
      <c r="R812" s="86"/>
      <c r="S812" s="86"/>
      <c r="T812" s="86"/>
    </row>
    <row r="813">
      <c r="N813" s="86"/>
      <c r="O813" s="86"/>
      <c r="P813" s="86"/>
      <c r="Q813" s="86"/>
      <c r="R813" s="86"/>
      <c r="S813" s="86"/>
      <c r="T813" s="86"/>
    </row>
    <row r="814">
      <c r="N814" s="86"/>
      <c r="O814" s="86"/>
      <c r="P814" s="86"/>
      <c r="Q814" s="86"/>
      <c r="R814" s="86"/>
      <c r="S814" s="86"/>
      <c r="T814" s="86"/>
    </row>
    <row r="815">
      <c r="N815" s="86"/>
      <c r="O815" s="86"/>
      <c r="P815" s="86"/>
      <c r="Q815" s="86"/>
      <c r="R815" s="86"/>
      <c r="S815" s="86"/>
      <c r="T815" s="86"/>
    </row>
    <row r="816">
      <c r="N816" s="86"/>
      <c r="O816" s="86"/>
      <c r="P816" s="86"/>
      <c r="Q816" s="86"/>
      <c r="R816" s="86"/>
      <c r="S816" s="86"/>
      <c r="T816" s="86"/>
    </row>
    <row r="817">
      <c r="N817" s="86"/>
      <c r="O817" s="86"/>
      <c r="P817" s="86"/>
      <c r="Q817" s="86"/>
      <c r="R817" s="86"/>
      <c r="S817" s="86"/>
      <c r="T817" s="86"/>
    </row>
    <row r="818">
      <c r="N818" s="86"/>
      <c r="O818" s="86"/>
      <c r="P818" s="86"/>
      <c r="Q818" s="86"/>
      <c r="R818" s="86"/>
      <c r="S818" s="86"/>
      <c r="T818" s="86"/>
    </row>
    <row r="819">
      <c r="N819" s="86"/>
      <c r="O819" s="86"/>
      <c r="P819" s="86"/>
      <c r="Q819" s="86"/>
      <c r="R819" s="86"/>
      <c r="S819" s="86"/>
      <c r="T819" s="86"/>
    </row>
    <row r="820">
      <c r="N820" s="86"/>
      <c r="O820" s="86"/>
      <c r="P820" s="86"/>
      <c r="Q820" s="86"/>
      <c r="R820" s="86"/>
      <c r="S820" s="86"/>
      <c r="T820" s="86"/>
    </row>
    <row r="821">
      <c r="N821" s="86"/>
      <c r="O821" s="86"/>
      <c r="P821" s="86"/>
      <c r="Q821" s="86"/>
      <c r="R821" s="86"/>
      <c r="S821" s="86"/>
      <c r="T821" s="86"/>
    </row>
    <row r="822">
      <c r="N822" s="86"/>
      <c r="O822" s="86"/>
      <c r="P822" s="86"/>
      <c r="Q822" s="86"/>
      <c r="R822" s="86"/>
      <c r="S822" s="86"/>
      <c r="T822" s="86"/>
    </row>
    <row r="823">
      <c r="N823" s="86"/>
      <c r="O823" s="86"/>
      <c r="P823" s="86"/>
      <c r="Q823" s="86"/>
      <c r="R823" s="86"/>
      <c r="S823" s="86"/>
      <c r="T823" s="86"/>
    </row>
    <row r="824">
      <c r="N824" s="86"/>
      <c r="O824" s="86"/>
      <c r="P824" s="86"/>
      <c r="Q824" s="86"/>
      <c r="R824" s="86"/>
      <c r="S824" s="86"/>
      <c r="T824" s="86"/>
    </row>
    <row r="825">
      <c r="N825" s="86"/>
      <c r="O825" s="86"/>
      <c r="P825" s="86"/>
      <c r="Q825" s="86"/>
      <c r="R825" s="86"/>
      <c r="S825" s="86"/>
      <c r="T825" s="86"/>
    </row>
    <row r="826">
      <c r="N826" s="86"/>
      <c r="O826" s="86"/>
      <c r="P826" s="86"/>
      <c r="Q826" s="86"/>
      <c r="R826" s="86"/>
      <c r="S826" s="86"/>
      <c r="T826" s="86"/>
    </row>
    <row r="827">
      <c r="N827" s="86"/>
      <c r="O827" s="86"/>
      <c r="P827" s="86"/>
      <c r="Q827" s="86"/>
      <c r="R827" s="86"/>
      <c r="S827" s="86"/>
      <c r="T827" s="86"/>
    </row>
    <row r="828">
      <c r="N828" s="86"/>
      <c r="O828" s="86"/>
      <c r="P828" s="86"/>
      <c r="Q828" s="86"/>
      <c r="R828" s="86"/>
      <c r="S828" s="86"/>
      <c r="T828" s="86"/>
    </row>
    <row r="829">
      <c r="N829" s="86"/>
      <c r="O829" s="86"/>
      <c r="P829" s="86"/>
      <c r="Q829" s="86"/>
      <c r="R829" s="86"/>
      <c r="S829" s="86"/>
      <c r="T829" s="86"/>
    </row>
    <row r="830">
      <c r="N830" s="86"/>
      <c r="O830" s="86"/>
      <c r="P830" s="86"/>
      <c r="Q830" s="86"/>
      <c r="R830" s="86"/>
      <c r="S830" s="86"/>
      <c r="T830" s="86"/>
    </row>
    <row r="831">
      <c r="N831" s="86"/>
      <c r="O831" s="86"/>
      <c r="P831" s="86"/>
      <c r="Q831" s="86"/>
      <c r="R831" s="86"/>
      <c r="S831" s="86"/>
      <c r="T831" s="86"/>
    </row>
    <row r="832">
      <c r="N832" s="86"/>
      <c r="O832" s="86"/>
      <c r="P832" s="86"/>
      <c r="Q832" s="86"/>
      <c r="R832" s="86"/>
      <c r="S832" s="86"/>
      <c r="T832" s="86"/>
    </row>
    <row r="833">
      <c r="N833" s="86"/>
      <c r="O833" s="86"/>
      <c r="P833" s="86"/>
      <c r="Q833" s="86"/>
      <c r="R833" s="86"/>
      <c r="S833" s="86"/>
      <c r="T833" s="86"/>
    </row>
    <row r="834">
      <c r="N834" s="86"/>
      <c r="O834" s="86"/>
      <c r="P834" s="86"/>
      <c r="Q834" s="86"/>
      <c r="R834" s="86"/>
      <c r="S834" s="86"/>
      <c r="T834" s="86"/>
    </row>
    <row r="835">
      <c r="N835" s="86"/>
      <c r="O835" s="86"/>
      <c r="P835" s="86"/>
      <c r="Q835" s="86"/>
      <c r="R835" s="86"/>
      <c r="S835" s="86"/>
      <c r="T835" s="86"/>
    </row>
    <row r="836">
      <c r="N836" s="86"/>
      <c r="O836" s="86"/>
      <c r="P836" s="86"/>
      <c r="Q836" s="86"/>
      <c r="R836" s="86"/>
      <c r="S836" s="86"/>
      <c r="T836" s="86"/>
    </row>
    <row r="837">
      <c r="N837" s="86"/>
      <c r="O837" s="86"/>
      <c r="P837" s="86"/>
      <c r="Q837" s="86"/>
      <c r="R837" s="86"/>
      <c r="S837" s="86"/>
      <c r="T837" s="86"/>
    </row>
    <row r="838">
      <c r="N838" s="86"/>
      <c r="O838" s="86"/>
      <c r="P838" s="86"/>
      <c r="Q838" s="86"/>
      <c r="R838" s="86"/>
      <c r="S838" s="86"/>
      <c r="T838" s="86"/>
    </row>
    <row r="839">
      <c r="N839" s="86"/>
      <c r="O839" s="86"/>
      <c r="P839" s="86"/>
      <c r="Q839" s="86"/>
      <c r="R839" s="86"/>
      <c r="S839" s="86"/>
      <c r="T839" s="86"/>
    </row>
    <row r="840">
      <c r="N840" s="86"/>
      <c r="O840" s="86"/>
      <c r="P840" s="86"/>
      <c r="Q840" s="86"/>
      <c r="R840" s="86"/>
      <c r="S840" s="86"/>
      <c r="T840" s="86"/>
    </row>
    <row r="841">
      <c r="N841" s="86"/>
      <c r="O841" s="86"/>
      <c r="P841" s="86"/>
      <c r="Q841" s="86"/>
      <c r="R841" s="86"/>
      <c r="S841" s="86"/>
      <c r="T841" s="86"/>
    </row>
    <row r="842">
      <c r="N842" s="86"/>
      <c r="O842" s="86"/>
      <c r="P842" s="86"/>
      <c r="Q842" s="86"/>
      <c r="R842" s="86"/>
      <c r="S842" s="86"/>
      <c r="T842" s="86"/>
    </row>
    <row r="843">
      <c r="N843" s="86"/>
      <c r="O843" s="86"/>
      <c r="P843" s="86"/>
      <c r="Q843" s="86"/>
      <c r="R843" s="86"/>
      <c r="S843" s="86"/>
      <c r="T843" s="86"/>
    </row>
    <row r="844">
      <c r="N844" s="86"/>
      <c r="O844" s="86"/>
      <c r="P844" s="86"/>
      <c r="Q844" s="86"/>
      <c r="R844" s="86"/>
      <c r="S844" s="86"/>
      <c r="T844" s="86"/>
    </row>
    <row r="845">
      <c r="N845" s="86"/>
      <c r="O845" s="86"/>
      <c r="P845" s="86"/>
      <c r="Q845" s="86"/>
      <c r="R845" s="86"/>
      <c r="S845" s="86"/>
      <c r="T845" s="86"/>
    </row>
    <row r="846">
      <c r="N846" s="86"/>
      <c r="O846" s="86"/>
      <c r="P846" s="86"/>
      <c r="Q846" s="86"/>
      <c r="R846" s="86"/>
      <c r="S846" s="86"/>
      <c r="T846" s="86"/>
    </row>
    <row r="847">
      <c r="N847" s="86"/>
      <c r="O847" s="86"/>
      <c r="P847" s="86"/>
      <c r="Q847" s="86"/>
      <c r="R847" s="86"/>
      <c r="S847" s="86"/>
      <c r="T847" s="86"/>
    </row>
    <row r="848">
      <c r="N848" s="86"/>
      <c r="O848" s="86"/>
      <c r="P848" s="86"/>
      <c r="Q848" s="86"/>
      <c r="R848" s="86"/>
      <c r="S848" s="86"/>
      <c r="T848" s="86"/>
    </row>
    <row r="849">
      <c r="N849" s="86"/>
      <c r="O849" s="86"/>
      <c r="P849" s="86"/>
      <c r="Q849" s="86"/>
      <c r="R849" s="86"/>
      <c r="S849" s="86"/>
      <c r="T849" s="86"/>
    </row>
    <row r="850">
      <c r="N850" s="86"/>
      <c r="O850" s="86"/>
      <c r="P850" s="86"/>
      <c r="Q850" s="86"/>
      <c r="R850" s="86"/>
      <c r="S850" s="86"/>
      <c r="T850" s="86"/>
    </row>
    <row r="851">
      <c r="N851" s="86"/>
      <c r="O851" s="86"/>
      <c r="P851" s="86"/>
      <c r="Q851" s="86"/>
      <c r="R851" s="86"/>
      <c r="S851" s="86"/>
      <c r="T851" s="86"/>
    </row>
    <row r="852">
      <c r="N852" s="86"/>
      <c r="O852" s="86"/>
      <c r="P852" s="86"/>
      <c r="Q852" s="86"/>
      <c r="R852" s="86"/>
      <c r="S852" s="86"/>
      <c r="T852" s="86"/>
    </row>
    <row r="853">
      <c r="N853" s="86"/>
      <c r="O853" s="86"/>
      <c r="P853" s="86"/>
      <c r="Q853" s="86"/>
      <c r="R853" s="86"/>
      <c r="S853" s="86"/>
      <c r="T853" s="86"/>
    </row>
    <row r="854">
      <c r="N854" s="86"/>
      <c r="O854" s="86"/>
      <c r="P854" s="86"/>
      <c r="Q854" s="86"/>
      <c r="R854" s="86"/>
      <c r="S854" s="86"/>
      <c r="T854" s="86"/>
    </row>
    <row r="855">
      <c r="N855" s="86"/>
      <c r="O855" s="86"/>
      <c r="P855" s="86"/>
      <c r="Q855" s="86"/>
      <c r="R855" s="86"/>
      <c r="S855" s="86"/>
      <c r="T855" s="86"/>
    </row>
    <row r="856">
      <c r="N856" s="86"/>
      <c r="O856" s="86"/>
      <c r="P856" s="86"/>
      <c r="Q856" s="86"/>
      <c r="R856" s="86"/>
      <c r="S856" s="86"/>
      <c r="T856" s="86"/>
    </row>
    <row r="857">
      <c r="N857" s="86"/>
      <c r="O857" s="86"/>
      <c r="P857" s="86"/>
      <c r="Q857" s="86"/>
      <c r="R857" s="86"/>
      <c r="S857" s="86"/>
      <c r="T857" s="86"/>
    </row>
    <row r="858">
      <c r="N858" s="86"/>
      <c r="O858" s="86"/>
      <c r="P858" s="86"/>
      <c r="Q858" s="86"/>
      <c r="R858" s="86"/>
      <c r="S858" s="86"/>
      <c r="T858" s="86"/>
    </row>
    <row r="859">
      <c r="N859" s="86"/>
      <c r="O859" s="86"/>
      <c r="P859" s="86"/>
      <c r="Q859" s="86"/>
      <c r="R859" s="86"/>
      <c r="S859" s="86"/>
      <c r="T859" s="86"/>
    </row>
    <row r="860">
      <c r="N860" s="86"/>
      <c r="O860" s="86"/>
      <c r="P860" s="86"/>
      <c r="Q860" s="86"/>
      <c r="R860" s="86"/>
      <c r="S860" s="86"/>
      <c r="T860" s="86"/>
    </row>
    <row r="861">
      <c r="N861" s="86"/>
      <c r="O861" s="86"/>
      <c r="P861" s="86"/>
      <c r="Q861" s="86"/>
      <c r="R861" s="86"/>
      <c r="S861" s="86"/>
      <c r="T861" s="86"/>
    </row>
    <row r="862">
      <c r="N862" s="86"/>
      <c r="O862" s="86"/>
      <c r="P862" s="86"/>
      <c r="Q862" s="86"/>
      <c r="R862" s="86"/>
      <c r="S862" s="86"/>
      <c r="T862" s="86"/>
    </row>
    <row r="863">
      <c r="N863" s="86"/>
      <c r="O863" s="86"/>
      <c r="P863" s="86"/>
      <c r="Q863" s="86"/>
      <c r="R863" s="86"/>
      <c r="S863" s="86"/>
      <c r="T863" s="86"/>
    </row>
    <row r="864">
      <c r="N864" s="86"/>
      <c r="O864" s="86"/>
      <c r="P864" s="86"/>
      <c r="Q864" s="86"/>
      <c r="R864" s="86"/>
      <c r="S864" s="86"/>
      <c r="T864" s="86"/>
    </row>
    <row r="865">
      <c r="N865" s="86"/>
      <c r="O865" s="86"/>
      <c r="P865" s="86"/>
      <c r="Q865" s="86"/>
      <c r="R865" s="86"/>
      <c r="S865" s="86"/>
      <c r="T865" s="86"/>
    </row>
    <row r="866">
      <c r="N866" s="86"/>
      <c r="O866" s="86"/>
      <c r="P866" s="86"/>
      <c r="Q866" s="86"/>
      <c r="R866" s="86"/>
      <c r="S866" s="86"/>
      <c r="T866" s="86"/>
    </row>
    <row r="867">
      <c r="N867" s="86"/>
      <c r="O867" s="86"/>
      <c r="P867" s="86"/>
      <c r="Q867" s="86"/>
      <c r="R867" s="86"/>
      <c r="S867" s="86"/>
      <c r="T867" s="86"/>
    </row>
    <row r="868">
      <c r="N868" s="86"/>
      <c r="O868" s="86"/>
      <c r="P868" s="86"/>
      <c r="Q868" s="86"/>
      <c r="R868" s="86"/>
      <c r="S868" s="86"/>
      <c r="T868" s="86"/>
    </row>
    <row r="869">
      <c r="N869" s="86"/>
      <c r="O869" s="86"/>
      <c r="P869" s="86"/>
      <c r="Q869" s="86"/>
      <c r="R869" s="86"/>
      <c r="S869" s="86"/>
      <c r="T869" s="86"/>
    </row>
    <row r="870">
      <c r="N870" s="86"/>
      <c r="O870" s="86"/>
      <c r="P870" s="86"/>
      <c r="Q870" s="86"/>
      <c r="R870" s="86"/>
      <c r="S870" s="86"/>
      <c r="T870" s="86"/>
    </row>
    <row r="871">
      <c r="N871" s="86"/>
      <c r="O871" s="86"/>
      <c r="P871" s="86"/>
      <c r="Q871" s="86"/>
      <c r="R871" s="86"/>
      <c r="S871" s="86"/>
      <c r="T871" s="86"/>
    </row>
    <row r="872">
      <c r="N872" s="86"/>
      <c r="O872" s="86"/>
      <c r="P872" s="86"/>
      <c r="Q872" s="86"/>
      <c r="R872" s="86"/>
      <c r="S872" s="86"/>
      <c r="T872" s="86"/>
    </row>
    <row r="873">
      <c r="N873" s="86"/>
      <c r="O873" s="86"/>
      <c r="P873" s="86"/>
      <c r="Q873" s="86"/>
      <c r="R873" s="86"/>
      <c r="S873" s="86"/>
      <c r="T873" s="86"/>
    </row>
    <row r="874">
      <c r="N874" s="86"/>
      <c r="O874" s="86"/>
      <c r="P874" s="86"/>
      <c r="Q874" s="86"/>
      <c r="R874" s="86"/>
      <c r="S874" s="86"/>
      <c r="T874" s="86"/>
    </row>
    <row r="875">
      <c r="N875" s="86"/>
      <c r="O875" s="86"/>
      <c r="P875" s="86"/>
      <c r="Q875" s="86"/>
      <c r="R875" s="86"/>
      <c r="S875" s="86"/>
      <c r="T875" s="86"/>
    </row>
    <row r="876">
      <c r="N876" s="86"/>
      <c r="O876" s="86"/>
      <c r="P876" s="86"/>
      <c r="Q876" s="86"/>
      <c r="R876" s="86"/>
      <c r="S876" s="86"/>
      <c r="T876" s="86"/>
    </row>
    <row r="877">
      <c r="N877" s="86"/>
      <c r="O877" s="86"/>
      <c r="P877" s="86"/>
      <c r="Q877" s="86"/>
      <c r="R877" s="86"/>
      <c r="S877" s="86"/>
      <c r="T877" s="86"/>
    </row>
    <row r="878">
      <c r="N878" s="86"/>
      <c r="O878" s="86"/>
      <c r="P878" s="86"/>
      <c r="Q878" s="86"/>
      <c r="R878" s="86"/>
      <c r="S878" s="86"/>
      <c r="T878" s="86"/>
    </row>
    <row r="879">
      <c r="N879" s="86"/>
      <c r="O879" s="86"/>
      <c r="P879" s="86"/>
      <c r="Q879" s="86"/>
      <c r="R879" s="86"/>
      <c r="S879" s="86"/>
      <c r="T879" s="86"/>
    </row>
    <row r="880">
      <c r="N880" s="86"/>
      <c r="O880" s="86"/>
      <c r="P880" s="86"/>
      <c r="Q880" s="86"/>
      <c r="R880" s="86"/>
      <c r="S880" s="86"/>
      <c r="T880" s="86"/>
    </row>
    <row r="881">
      <c r="N881" s="86"/>
      <c r="O881" s="86"/>
      <c r="P881" s="86"/>
      <c r="Q881" s="86"/>
      <c r="R881" s="86"/>
      <c r="S881" s="86"/>
      <c r="T881" s="86"/>
    </row>
    <row r="882">
      <c r="N882" s="86"/>
      <c r="O882" s="86"/>
      <c r="P882" s="86"/>
      <c r="Q882" s="86"/>
      <c r="R882" s="86"/>
      <c r="S882" s="86"/>
      <c r="T882" s="86"/>
    </row>
    <row r="883">
      <c r="N883" s="86"/>
      <c r="O883" s="86"/>
      <c r="P883" s="86"/>
      <c r="Q883" s="86"/>
      <c r="R883" s="86"/>
      <c r="S883" s="86"/>
      <c r="T883" s="86"/>
    </row>
    <row r="884">
      <c r="N884" s="86"/>
      <c r="O884" s="86"/>
      <c r="P884" s="86"/>
      <c r="Q884" s="86"/>
      <c r="R884" s="86"/>
      <c r="S884" s="86"/>
      <c r="T884" s="86"/>
    </row>
    <row r="885">
      <c r="N885" s="86"/>
      <c r="O885" s="86"/>
      <c r="P885" s="86"/>
      <c r="Q885" s="86"/>
      <c r="R885" s="86"/>
      <c r="S885" s="86"/>
      <c r="T885" s="86"/>
    </row>
    <row r="886">
      <c r="N886" s="86"/>
      <c r="O886" s="86"/>
      <c r="P886" s="86"/>
      <c r="Q886" s="86"/>
      <c r="R886" s="86"/>
      <c r="S886" s="86"/>
      <c r="T886" s="86"/>
    </row>
    <row r="887">
      <c r="N887" s="86"/>
      <c r="O887" s="86"/>
      <c r="P887" s="86"/>
      <c r="Q887" s="86"/>
      <c r="R887" s="86"/>
      <c r="S887" s="86"/>
      <c r="T887" s="86"/>
    </row>
    <row r="888">
      <c r="N888" s="86"/>
      <c r="O888" s="86"/>
      <c r="P888" s="86"/>
      <c r="Q888" s="86"/>
      <c r="R888" s="86"/>
      <c r="S888" s="86"/>
      <c r="T888" s="86"/>
    </row>
    <row r="889">
      <c r="N889" s="86"/>
      <c r="O889" s="86"/>
      <c r="P889" s="86"/>
      <c r="Q889" s="86"/>
      <c r="R889" s="86"/>
      <c r="S889" s="86"/>
      <c r="T889" s="86"/>
    </row>
    <row r="890">
      <c r="N890" s="86"/>
      <c r="O890" s="86"/>
      <c r="P890" s="86"/>
      <c r="Q890" s="86"/>
      <c r="R890" s="86"/>
      <c r="S890" s="86"/>
      <c r="T890" s="86"/>
    </row>
    <row r="891">
      <c r="N891" s="86"/>
      <c r="O891" s="86"/>
      <c r="P891" s="86"/>
      <c r="Q891" s="86"/>
      <c r="R891" s="86"/>
      <c r="S891" s="86"/>
      <c r="T891" s="86"/>
    </row>
    <row r="892">
      <c r="N892" s="86"/>
      <c r="O892" s="86"/>
      <c r="P892" s="86"/>
      <c r="Q892" s="86"/>
      <c r="R892" s="86"/>
      <c r="S892" s="86"/>
      <c r="T892" s="86"/>
    </row>
    <row r="893">
      <c r="N893" s="86"/>
      <c r="O893" s="86"/>
      <c r="P893" s="86"/>
      <c r="Q893" s="86"/>
      <c r="R893" s="86"/>
      <c r="S893" s="86"/>
      <c r="T893" s="86"/>
    </row>
    <row r="894">
      <c r="N894" s="86"/>
      <c r="O894" s="86"/>
      <c r="P894" s="86"/>
      <c r="Q894" s="86"/>
      <c r="R894" s="86"/>
      <c r="S894" s="86"/>
      <c r="T894" s="86"/>
    </row>
    <row r="895">
      <c r="N895" s="86"/>
      <c r="O895" s="86"/>
      <c r="P895" s="86"/>
      <c r="Q895" s="86"/>
      <c r="R895" s="86"/>
      <c r="S895" s="86"/>
      <c r="T895" s="86"/>
    </row>
    <row r="896">
      <c r="N896" s="86"/>
      <c r="O896" s="86"/>
      <c r="P896" s="86"/>
      <c r="Q896" s="86"/>
      <c r="R896" s="86"/>
      <c r="S896" s="86"/>
      <c r="T896" s="86"/>
    </row>
    <row r="897">
      <c r="N897" s="86"/>
      <c r="O897" s="86"/>
      <c r="P897" s="86"/>
      <c r="Q897" s="86"/>
      <c r="R897" s="86"/>
      <c r="S897" s="86"/>
      <c r="T897" s="86"/>
    </row>
    <row r="898">
      <c r="N898" s="86"/>
      <c r="O898" s="86"/>
      <c r="P898" s="86"/>
      <c r="Q898" s="86"/>
      <c r="R898" s="86"/>
      <c r="S898" s="86"/>
      <c r="T898" s="86"/>
    </row>
    <row r="899">
      <c r="N899" s="86"/>
      <c r="O899" s="86"/>
      <c r="P899" s="86"/>
      <c r="Q899" s="86"/>
      <c r="R899" s="86"/>
      <c r="S899" s="86"/>
      <c r="T899" s="86"/>
    </row>
    <row r="900">
      <c r="N900" s="86"/>
      <c r="O900" s="86"/>
      <c r="P900" s="86"/>
      <c r="Q900" s="86"/>
      <c r="R900" s="86"/>
      <c r="S900" s="86"/>
      <c r="T900" s="86"/>
    </row>
    <row r="901">
      <c r="N901" s="86"/>
      <c r="O901" s="86"/>
      <c r="P901" s="86"/>
      <c r="Q901" s="86"/>
      <c r="R901" s="86"/>
      <c r="S901" s="86"/>
      <c r="T901" s="86"/>
    </row>
    <row r="902">
      <c r="N902" s="86"/>
      <c r="O902" s="86"/>
      <c r="P902" s="86"/>
      <c r="Q902" s="86"/>
      <c r="R902" s="86"/>
      <c r="S902" s="86"/>
      <c r="T902" s="86"/>
    </row>
    <row r="903">
      <c r="N903" s="86"/>
      <c r="O903" s="86"/>
      <c r="P903" s="86"/>
      <c r="Q903" s="86"/>
      <c r="R903" s="86"/>
      <c r="S903" s="86"/>
      <c r="T903" s="86"/>
    </row>
    <row r="904">
      <c r="N904" s="86"/>
      <c r="O904" s="86"/>
      <c r="P904" s="86"/>
      <c r="Q904" s="86"/>
      <c r="R904" s="86"/>
      <c r="S904" s="86"/>
      <c r="T904" s="86"/>
    </row>
    <row r="905">
      <c r="N905" s="86"/>
      <c r="O905" s="86"/>
      <c r="P905" s="86"/>
      <c r="Q905" s="86"/>
      <c r="R905" s="86"/>
      <c r="S905" s="86"/>
      <c r="T905" s="86"/>
    </row>
    <row r="906">
      <c r="N906" s="86"/>
      <c r="O906" s="86"/>
      <c r="P906" s="86"/>
      <c r="Q906" s="86"/>
      <c r="R906" s="86"/>
      <c r="S906" s="86"/>
      <c r="T906" s="86"/>
    </row>
    <row r="907">
      <c r="N907" s="86"/>
      <c r="O907" s="86"/>
      <c r="P907" s="86"/>
      <c r="Q907" s="86"/>
      <c r="R907" s="86"/>
      <c r="S907" s="86"/>
      <c r="T907" s="86"/>
    </row>
    <row r="908">
      <c r="N908" s="86"/>
      <c r="O908" s="86"/>
      <c r="P908" s="86"/>
      <c r="Q908" s="86"/>
      <c r="R908" s="86"/>
      <c r="S908" s="86"/>
      <c r="T908" s="86"/>
    </row>
    <row r="909">
      <c r="N909" s="86"/>
      <c r="O909" s="86"/>
      <c r="P909" s="86"/>
      <c r="Q909" s="86"/>
      <c r="R909" s="86"/>
      <c r="S909" s="86"/>
      <c r="T909" s="86"/>
    </row>
    <row r="910">
      <c r="N910" s="86"/>
      <c r="O910" s="86"/>
      <c r="P910" s="86"/>
      <c r="Q910" s="86"/>
      <c r="R910" s="86"/>
      <c r="S910" s="86"/>
      <c r="T910" s="86"/>
    </row>
    <row r="911">
      <c r="N911" s="86"/>
      <c r="O911" s="86"/>
      <c r="P911" s="86"/>
      <c r="Q911" s="86"/>
      <c r="R911" s="86"/>
      <c r="S911" s="86"/>
      <c r="T911" s="86"/>
    </row>
    <row r="912">
      <c r="N912" s="86"/>
      <c r="O912" s="86"/>
      <c r="P912" s="86"/>
      <c r="Q912" s="86"/>
      <c r="R912" s="86"/>
      <c r="S912" s="86"/>
      <c r="T912" s="86"/>
    </row>
    <row r="913">
      <c r="N913" s="86"/>
      <c r="O913" s="86"/>
      <c r="P913" s="86"/>
      <c r="Q913" s="86"/>
      <c r="R913" s="86"/>
      <c r="S913" s="86"/>
      <c r="T913" s="86"/>
    </row>
    <row r="914">
      <c r="N914" s="86"/>
      <c r="O914" s="86"/>
      <c r="P914" s="86"/>
      <c r="Q914" s="86"/>
      <c r="R914" s="86"/>
      <c r="S914" s="86"/>
      <c r="T914" s="86"/>
    </row>
    <row r="915">
      <c r="N915" s="86"/>
      <c r="O915" s="86"/>
      <c r="P915" s="86"/>
      <c r="Q915" s="86"/>
      <c r="R915" s="86"/>
      <c r="S915" s="86"/>
      <c r="T915" s="86"/>
    </row>
    <row r="916">
      <c r="N916" s="86"/>
      <c r="O916" s="86"/>
      <c r="P916" s="86"/>
      <c r="Q916" s="86"/>
      <c r="R916" s="86"/>
      <c r="S916" s="86"/>
      <c r="T916" s="86"/>
    </row>
    <row r="917">
      <c r="N917" s="86"/>
      <c r="O917" s="86"/>
      <c r="P917" s="86"/>
      <c r="Q917" s="86"/>
      <c r="R917" s="86"/>
      <c r="S917" s="86"/>
      <c r="T917" s="86"/>
    </row>
    <row r="918">
      <c r="N918" s="86"/>
      <c r="O918" s="86"/>
      <c r="P918" s="86"/>
      <c r="Q918" s="86"/>
      <c r="R918" s="86"/>
      <c r="S918" s="86"/>
      <c r="T918" s="86"/>
    </row>
    <row r="919">
      <c r="N919" s="86"/>
      <c r="O919" s="86"/>
      <c r="P919" s="86"/>
      <c r="Q919" s="86"/>
      <c r="R919" s="86"/>
      <c r="S919" s="86"/>
      <c r="T919" s="86"/>
    </row>
    <row r="920">
      <c r="N920" s="86"/>
      <c r="O920" s="86"/>
      <c r="P920" s="86"/>
      <c r="Q920" s="86"/>
      <c r="R920" s="86"/>
      <c r="S920" s="86"/>
      <c r="T920" s="86"/>
    </row>
    <row r="921">
      <c r="N921" s="86"/>
      <c r="O921" s="86"/>
      <c r="P921" s="86"/>
      <c r="Q921" s="86"/>
      <c r="R921" s="86"/>
      <c r="S921" s="86"/>
      <c r="T921" s="86"/>
    </row>
    <row r="922">
      <c r="N922" s="86"/>
      <c r="O922" s="86"/>
      <c r="P922" s="86"/>
      <c r="Q922" s="86"/>
      <c r="R922" s="86"/>
      <c r="S922" s="86"/>
      <c r="T922" s="86"/>
    </row>
    <row r="923">
      <c r="N923" s="86"/>
      <c r="O923" s="86"/>
      <c r="P923" s="86"/>
      <c r="Q923" s="86"/>
      <c r="R923" s="86"/>
      <c r="S923" s="86"/>
      <c r="T923" s="86"/>
    </row>
    <row r="924">
      <c r="N924" s="86"/>
      <c r="O924" s="86"/>
      <c r="P924" s="86"/>
      <c r="Q924" s="86"/>
      <c r="R924" s="86"/>
      <c r="S924" s="86"/>
      <c r="T924" s="86"/>
    </row>
    <row r="925">
      <c r="N925" s="86"/>
      <c r="O925" s="86"/>
      <c r="P925" s="86"/>
      <c r="Q925" s="86"/>
      <c r="R925" s="86"/>
      <c r="S925" s="86"/>
      <c r="T925" s="86"/>
    </row>
    <row r="926">
      <c r="N926" s="86"/>
      <c r="O926" s="86"/>
      <c r="P926" s="86"/>
      <c r="Q926" s="86"/>
      <c r="R926" s="86"/>
      <c r="S926" s="86"/>
      <c r="T926" s="86"/>
    </row>
    <row r="927">
      <c r="N927" s="86"/>
      <c r="O927" s="86"/>
      <c r="P927" s="86"/>
      <c r="Q927" s="86"/>
      <c r="R927" s="86"/>
      <c r="S927" s="86"/>
      <c r="T927" s="86"/>
    </row>
    <row r="928">
      <c r="N928" s="86"/>
      <c r="O928" s="86"/>
      <c r="P928" s="86"/>
      <c r="Q928" s="86"/>
      <c r="R928" s="86"/>
      <c r="S928" s="86"/>
      <c r="T928" s="86"/>
    </row>
    <row r="929">
      <c r="N929" s="86"/>
      <c r="O929" s="86"/>
      <c r="P929" s="86"/>
      <c r="Q929" s="86"/>
      <c r="R929" s="86"/>
      <c r="S929" s="86"/>
      <c r="T929" s="86"/>
    </row>
    <row r="930">
      <c r="N930" s="86"/>
      <c r="O930" s="86"/>
      <c r="P930" s="86"/>
      <c r="Q930" s="86"/>
      <c r="R930" s="86"/>
      <c r="S930" s="86"/>
      <c r="T930" s="86"/>
    </row>
    <row r="931">
      <c r="N931" s="86"/>
      <c r="O931" s="86"/>
      <c r="P931" s="86"/>
      <c r="Q931" s="86"/>
      <c r="R931" s="86"/>
      <c r="S931" s="86"/>
      <c r="T931" s="86"/>
    </row>
    <row r="932">
      <c r="N932" s="86"/>
      <c r="O932" s="86"/>
      <c r="P932" s="86"/>
      <c r="Q932" s="86"/>
      <c r="R932" s="86"/>
      <c r="S932" s="86"/>
      <c r="T932" s="86"/>
    </row>
    <row r="933">
      <c r="N933" s="86"/>
      <c r="O933" s="86"/>
      <c r="P933" s="86"/>
      <c r="Q933" s="86"/>
      <c r="R933" s="86"/>
      <c r="S933" s="86"/>
      <c r="T933" s="86"/>
    </row>
    <row r="934">
      <c r="N934" s="86"/>
      <c r="O934" s="86"/>
      <c r="P934" s="86"/>
      <c r="Q934" s="86"/>
      <c r="R934" s="86"/>
      <c r="S934" s="86"/>
      <c r="T934" s="86"/>
    </row>
    <row r="935">
      <c r="N935" s="86"/>
      <c r="O935" s="86"/>
      <c r="P935" s="86"/>
      <c r="Q935" s="86"/>
      <c r="R935" s="86"/>
      <c r="S935" s="86"/>
      <c r="T935" s="86"/>
    </row>
    <row r="936">
      <c r="N936" s="86"/>
      <c r="O936" s="86"/>
      <c r="P936" s="86"/>
      <c r="Q936" s="86"/>
      <c r="R936" s="86"/>
      <c r="S936" s="86"/>
      <c r="T936" s="86"/>
    </row>
    <row r="937">
      <c r="N937" s="86"/>
      <c r="O937" s="86"/>
      <c r="P937" s="86"/>
      <c r="Q937" s="86"/>
      <c r="R937" s="86"/>
      <c r="S937" s="86"/>
      <c r="T937" s="86"/>
    </row>
    <row r="938">
      <c r="N938" s="86"/>
      <c r="O938" s="86"/>
      <c r="P938" s="86"/>
      <c r="Q938" s="86"/>
      <c r="R938" s="86"/>
      <c r="S938" s="86"/>
      <c r="T938" s="86"/>
    </row>
    <row r="939">
      <c r="N939" s="86"/>
      <c r="O939" s="86"/>
      <c r="P939" s="86"/>
      <c r="Q939" s="86"/>
      <c r="R939" s="86"/>
      <c r="S939" s="86"/>
      <c r="T939" s="86"/>
    </row>
    <row r="940">
      <c r="N940" s="86"/>
      <c r="O940" s="86"/>
      <c r="P940" s="86"/>
      <c r="Q940" s="86"/>
      <c r="R940" s="86"/>
      <c r="S940" s="86"/>
      <c r="T940" s="86"/>
    </row>
    <row r="941">
      <c r="N941" s="86"/>
      <c r="O941" s="86"/>
      <c r="P941" s="86"/>
      <c r="Q941" s="86"/>
      <c r="R941" s="86"/>
      <c r="S941" s="86"/>
      <c r="T941" s="86"/>
    </row>
    <row r="942">
      <c r="N942" s="86"/>
      <c r="O942" s="86"/>
      <c r="P942" s="86"/>
      <c r="Q942" s="86"/>
      <c r="R942" s="86"/>
      <c r="S942" s="86"/>
      <c r="T942" s="86"/>
    </row>
    <row r="943">
      <c r="N943" s="86"/>
      <c r="O943" s="86"/>
      <c r="P943" s="86"/>
      <c r="Q943" s="86"/>
      <c r="R943" s="86"/>
      <c r="S943" s="86"/>
      <c r="T943" s="86"/>
    </row>
    <row r="944">
      <c r="N944" s="86"/>
      <c r="O944" s="86"/>
      <c r="P944" s="86"/>
      <c r="Q944" s="86"/>
      <c r="R944" s="86"/>
      <c r="S944" s="86"/>
      <c r="T944" s="86"/>
    </row>
    <row r="945">
      <c r="N945" s="86"/>
      <c r="O945" s="86"/>
      <c r="P945" s="86"/>
      <c r="Q945" s="86"/>
      <c r="R945" s="86"/>
      <c r="S945" s="86"/>
      <c r="T945" s="86"/>
    </row>
    <row r="946">
      <c r="N946" s="86"/>
      <c r="O946" s="86"/>
      <c r="P946" s="86"/>
      <c r="Q946" s="86"/>
      <c r="R946" s="86"/>
      <c r="S946" s="86"/>
      <c r="T946" s="86"/>
    </row>
    <row r="947">
      <c r="N947" s="86"/>
      <c r="O947" s="86"/>
      <c r="P947" s="86"/>
      <c r="Q947" s="86"/>
      <c r="R947" s="86"/>
      <c r="S947" s="86"/>
      <c r="T947" s="86"/>
    </row>
    <row r="948">
      <c r="N948" s="86"/>
      <c r="O948" s="86"/>
      <c r="P948" s="86"/>
      <c r="Q948" s="86"/>
      <c r="R948" s="86"/>
      <c r="S948" s="86"/>
      <c r="T948" s="86"/>
    </row>
    <row r="949">
      <c r="N949" s="86"/>
      <c r="O949" s="86"/>
      <c r="P949" s="86"/>
      <c r="Q949" s="86"/>
      <c r="R949" s="86"/>
      <c r="S949" s="86"/>
      <c r="T949" s="86"/>
    </row>
    <row r="950">
      <c r="N950" s="86"/>
      <c r="O950" s="86"/>
      <c r="P950" s="86"/>
      <c r="Q950" s="86"/>
      <c r="R950" s="86"/>
      <c r="S950" s="86"/>
      <c r="T950" s="86"/>
    </row>
    <row r="951">
      <c r="N951" s="86"/>
      <c r="O951" s="86"/>
      <c r="P951" s="86"/>
      <c r="Q951" s="86"/>
      <c r="R951" s="86"/>
      <c r="S951" s="86"/>
      <c r="T951" s="86"/>
    </row>
    <row r="952">
      <c r="N952" s="86"/>
      <c r="O952" s="86"/>
      <c r="P952" s="86"/>
      <c r="Q952" s="86"/>
      <c r="R952" s="86"/>
      <c r="S952" s="86"/>
      <c r="T952" s="86"/>
    </row>
    <row r="953">
      <c r="N953" s="86"/>
      <c r="O953" s="86"/>
      <c r="P953" s="86"/>
      <c r="Q953" s="86"/>
      <c r="R953" s="86"/>
      <c r="S953" s="86"/>
      <c r="T953" s="86"/>
    </row>
    <row r="954">
      <c r="N954" s="86"/>
      <c r="O954" s="86"/>
      <c r="P954" s="86"/>
      <c r="Q954" s="86"/>
      <c r="R954" s="86"/>
      <c r="S954" s="86"/>
      <c r="T954" s="86"/>
    </row>
    <row r="955">
      <c r="N955" s="86"/>
      <c r="O955" s="86"/>
      <c r="P955" s="86"/>
      <c r="Q955" s="86"/>
      <c r="R955" s="86"/>
      <c r="S955" s="86"/>
      <c r="T955" s="86"/>
    </row>
    <row r="956">
      <c r="N956" s="86"/>
      <c r="O956" s="86"/>
      <c r="P956" s="86"/>
      <c r="Q956" s="86"/>
      <c r="R956" s="86"/>
      <c r="S956" s="86"/>
      <c r="T956" s="86"/>
    </row>
    <row r="957">
      <c r="N957" s="86"/>
      <c r="O957" s="86"/>
      <c r="P957" s="86"/>
      <c r="Q957" s="86"/>
      <c r="R957" s="86"/>
      <c r="S957" s="86"/>
      <c r="T957" s="86"/>
    </row>
    <row r="958">
      <c r="N958" s="86"/>
      <c r="O958" s="86"/>
      <c r="P958" s="86"/>
      <c r="Q958" s="86"/>
      <c r="R958" s="86"/>
      <c r="S958" s="86"/>
      <c r="T958" s="86"/>
    </row>
    <row r="959">
      <c r="N959" s="86"/>
      <c r="O959" s="86"/>
      <c r="P959" s="86"/>
      <c r="Q959" s="86"/>
      <c r="R959" s="86"/>
      <c r="S959" s="86"/>
      <c r="T959" s="86"/>
    </row>
    <row r="960">
      <c r="N960" s="86"/>
      <c r="O960" s="86"/>
      <c r="P960" s="86"/>
      <c r="Q960" s="86"/>
      <c r="R960" s="86"/>
      <c r="S960" s="86"/>
      <c r="T960" s="86"/>
    </row>
    <row r="961">
      <c r="N961" s="86"/>
      <c r="O961" s="86"/>
      <c r="P961" s="86"/>
      <c r="Q961" s="86"/>
      <c r="R961" s="86"/>
      <c r="S961" s="86"/>
      <c r="T961" s="86"/>
    </row>
    <row r="962">
      <c r="N962" s="86"/>
      <c r="O962" s="86"/>
      <c r="P962" s="86"/>
      <c r="Q962" s="86"/>
      <c r="R962" s="86"/>
      <c r="S962" s="86"/>
      <c r="T962" s="86"/>
    </row>
    <row r="963">
      <c r="N963" s="86"/>
      <c r="O963" s="86"/>
      <c r="P963" s="86"/>
      <c r="Q963" s="86"/>
      <c r="R963" s="86"/>
      <c r="S963" s="86"/>
      <c r="T963" s="86"/>
    </row>
    <row r="964">
      <c r="N964" s="86"/>
      <c r="O964" s="86"/>
      <c r="P964" s="86"/>
      <c r="Q964" s="86"/>
      <c r="R964" s="86"/>
      <c r="S964" s="86"/>
      <c r="T964" s="86"/>
    </row>
    <row r="965">
      <c r="N965" s="86"/>
      <c r="O965" s="86"/>
      <c r="P965" s="86"/>
      <c r="Q965" s="86"/>
      <c r="R965" s="86"/>
      <c r="S965" s="86"/>
      <c r="T965" s="86"/>
    </row>
    <row r="966">
      <c r="N966" s="86"/>
      <c r="O966" s="86"/>
      <c r="P966" s="86"/>
      <c r="Q966" s="86"/>
      <c r="R966" s="86"/>
      <c r="S966" s="86"/>
      <c r="T966" s="86"/>
    </row>
    <row r="967">
      <c r="N967" s="86"/>
      <c r="O967" s="86"/>
      <c r="P967" s="86"/>
      <c r="Q967" s="86"/>
      <c r="R967" s="86"/>
      <c r="S967" s="86"/>
      <c r="T967" s="86"/>
    </row>
    <row r="968">
      <c r="N968" s="86"/>
      <c r="O968" s="86"/>
      <c r="P968" s="86"/>
      <c r="Q968" s="86"/>
      <c r="R968" s="86"/>
      <c r="S968" s="86"/>
      <c r="T968" s="86"/>
    </row>
    <row r="969">
      <c r="N969" s="86"/>
      <c r="O969" s="86"/>
      <c r="P969" s="86"/>
      <c r="Q969" s="86"/>
      <c r="R969" s="86"/>
      <c r="S969" s="86"/>
      <c r="T969" s="86"/>
    </row>
    <row r="970">
      <c r="N970" s="86"/>
      <c r="O970" s="86"/>
      <c r="P970" s="86"/>
      <c r="Q970" s="86"/>
      <c r="R970" s="86"/>
      <c r="S970" s="86"/>
      <c r="T970" s="86"/>
    </row>
    <row r="971">
      <c r="N971" s="86"/>
      <c r="O971" s="86"/>
      <c r="P971" s="86"/>
      <c r="Q971" s="86"/>
      <c r="R971" s="86"/>
      <c r="S971" s="86"/>
      <c r="T971" s="86"/>
    </row>
    <row r="972">
      <c r="N972" s="86"/>
      <c r="O972" s="86"/>
      <c r="P972" s="86"/>
      <c r="Q972" s="86"/>
      <c r="R972" s="86"/>
      <c r="S972" s="86"/>
      <c r="T972" s="86"/>
    </row>
    <row r="973">
      <c r="N973" s="86"/>
      <c r="O973" s="86"/>
      <c r="P973" s="86"/>
      <c r="Q973" s="86"/>
      <c r="R973" s="86"/>
      <c r="S973" s="86"/>
      <c r="T973" s="86"/>
    </row>
    <row r="974">
      <c r="N974" s="86"/>
      <c r="O974" s="86"/>
      <c r="P974" s="86"/>
      <c r="Q974" s="86"/>
      <c r="R974" s="86"/>
      <c r="S974" s="86"/>
      <c r="T974" s="86"/>
    </row>
    <row r="975">
      <c r="N975" s="86"/>
      <c r="O975" s="86"/>
      <c r="P975" s="86"/>
      <c r="Q975" s="86"/>
      <c r="R975" s="86"/>
      <c r="S975" s="86"/>
      <c r="T975" s="86"/>
    </row>
    <row r="976">
      <c r="N976" s="86"/>
      <c r="O976" s="86"/>
      <c r="P976" s="86"/>
      <c r="Q976" s="86"/>
      <c r="R976" s="86"/>
      <c r="S976" s="86"/>
      <c r="T976" s="86"/>
    </row>
    <row r="977">
      <c r="N977" s="86"/>
      <c r="O977" s="86"/>
      <c r="P977" s="86"/>
      <c r="Q977" s="86"/>
      <c r="R977" s="86"/>
      <c r="S977" s="86"/>
      <c r="T977" s="86"/>
    </row>
    <row r="978">
      <c r="N978" s="86"/>
      <c r="O978" s="86"/>
      <c r="P978" s="86"/>
      <c r="Q978" s="86"/>
      <c r="R978" s="86"/>
      <c r="S978" s="86"/>
      <c r="T978" s="86"/>
    </row>
    <row r="979">
      <c r="N979" s="86"/>
      <c r="O979" s="86"/>
      <c r="P979" s="86"/>
      <c r="Q979" s="86"/>
      <c r="R979" s="86"/>
      <c r="S979" s="86"/>
      <c r="T979" s="86"/>
    </row>
    <row r="980">
      <c r="N980" s="86"/>
      <c r="O980" s="86"/>
      <c r="P980" s="86"/>
      <c r="Q980" s="86"/>
      <c r="R980" s="86"/>
      <c r="S980" s="86"/>
      <c r="T980" s="86"/>
    </row>
    <row r="981">
      <c r="N981" s="86"/>
      <c r="O981" s="86"/>
      <c r="P981" s="86"/>
      <c r="Q981" s="86"/>
      <c r="R981" s="86"/>
      <c r="S981" s="86"/>
      <c r="T981" s="86"/>
    </row>
    <row r="982">
      <c r="N982" s="86"/>
      <c r="O982" s="86"/>
      <c r="P982" s="86"/>
      <c r="Q982" s="86"/>
      <c r="R982" s="86"/>
      <c r="S982" s="86"/>
      <c r="T982" s="86"/>
    </row>
    <row r="983">
      <c r="N983" s="86"/>
      <c r="O983" s="86"/>
      <c r="P983" s="86"/>
      <c r="Q983" s="86"/>
      <c r="R983" s="86"/>
      <c r="S983" s="86"/>
      <c r="T983" s="86"/>
    </row>
    <row r="984">
      <c r="N984" s="86"/>
      <c r="O984" s="86"/>
      <c r="P984" s="86"/>
      <c r="Q984" s="86"/>
      <c r="R984" s="86"/>
      <c r="S984" s="86"/>
      <c r="T984" s="86"/>
    </row>
    <row r="985">
      <c r="N985" s="86"/>
      <c r="O985" s="86"/>
      <c r="P985" s="86"/>
      <c r="Q985" s="86"/>
      <c r="R985" s="86"/>
      <c r="S985" s="86"/>
      <c r="T985" s="86"/>
    </row>
    <row r="986">
      <c r="N986" s="86"/>
      <c r="O986" s="86"/>
      <c r="P986" s="86"/>
      <c r="Q986" s="86"/>
      <c r="R986" s="86"/>
      <c r="S986" s="86"/>
      <c r="T986" s="86"/>
    </row>
    <row r="987">
      <c r="N987" s="86"/>
      <c r="O987" s="86"/>
      <c r="P987" s="86"/>
      <c r="Q987" s="86"/>
      <c r="R987" s="86"/>
      <c r="S987" s="86"/>
      <c r="T987" s="86"/>
    </row>
    <row r="988">
      <c r="N988" s="86"/>
      <c r="O988" s="86"/>
      <c r="P988" s="86"/>
      <c r="Q988" s="86"/>
      <c r="R988" s="86"/>
      <c r="S988" s="86"/>
      <c r="T988" s="86"/>
    </row>
    <row r="989">
      <c r="N989" s="86"/>
      <c r="O989" s="86"/>
      <c r="P989" s="86"/>
      <c r="Q989" s="86"/>
      <c r="R989" s="86"/>
      <c r="S989" s="86"/>
      <c r="T989" s="86"/>
    </row>
    <row r="990">
      <c r="N990" s="86"/>
      <c r="O990" s="86"/>
      <c r="P990" s="86"/>
      <c r="Q990" s="86"/>
      <c r="R990" s="86"/>
      <c r="S990" s="86"/>
      <c r="T990" s="86"/>
    </row>
    <row r="991">
      <c r="N991" s="86"/>
      <c r="O991" s="86"/>
      <c r="P991" s="86"/>
      <c r="Q991" s="86"/>
      <c r="R991" s="86"/>
      <c r="S991" s="86"/>
      <c r="T991" s="86"/>
    </row>
    <row r="992">
      <c r="N992" s="86"/>
      <c r="O992" s="86"/>
      <c r="P992" s="86"/>
      <c r="Q992" s="86"/>
      <c r="R992" s="86"/>
      <c r="S992" s="86"/>
      <c r="T992" s="86"/>
    </row>
    <row r="993">
      <c r="N993" s="86"/>
      <c r="O993" s="86"/>
      <c r="P993" s="86"/>
      <c r="Q993" s="86"/>
      <c r="R993" s="86"/>
      <c r="S993" s="86"/>
      <c r="T993" s="86"/>
    </row>
    <row r="994">
      <c r="N994" s="86"/>
      <c r="O994" s="86"/>
      <c r="P994" s="86"/>
      <c r="Q994" s="86"/>
      <c r="R994" s="86"/>
      <c r="S994" s="86"/>
      <c r="T994" s="86"/>
    </row>
    <row r="995">
      <c r="N995" s="86"/>
      <c r="O995" s="86"/>
      <c r="P995" s="86"/>
      <c r="Q995" s="86"/>
      <c r="R995" s="86"/>
      <c r="S995" s="86"/>
      <c r="T995" s="86"/>
    </row>
    <row r="996">
      <c r="N996" s="86"/>
      <c r="O996" s="86"/>
      <c r="P996" s="86"/>
      <c r="Q996" s="86"/>
      <c r="R996" s="86"/>
      <c r="S996" s="86"/>
      <c r="T996" s="86"/>
    </row>
    <row r="997">
      <c r="N997" s="86"/>
      <c r="O997" s="86"/>
      <c r="P997" s="86"/>
      <c r="Q997" s="86"/>
      <c r="R997" s="86"/>
      <c r="S997" s="86"/>
      <c r="T997" s="86"/>
    </row>
    <row r="998">
      <c r="N998" s="86"/>
      <c r="O998" s="86"/>
      <c r="P998" s="86"/>
      <c r="Q998" s="86"/>
      <c r="R998" s="86"/>
      <c r="S998" s="86"/>
      <c r="T998" s="86"/>
    </row>
    <row r="999">
      <c r="N999" s="86"/>
      <c r="O999" s="86"/>
      <c r="P999" s="86"/>
      <c r="Q999" s="86"/>
      <c r="R999" s="86"/>
      <c r="S999" s="86"/>
      <c r="T999" s="86"/>
    </row>
    <row r="1000">
      <c r="N1000" s="86"/>
      <c r="O1000" s="86"/>
      <c r="P1000" s="86"/>
      <c r="Q1000" s="86"/>
      <c r="R1000" s="86"/>
      <c r="S1000" s="86"/>
      <c r="T1000" s="86"/>
    </row>
    <row r="1001">
      <c r="N1001" s="86"/>
      <c r="O1001" s="86"/>
      <c r="P1001" s="86"/>
      <c r="Q1001" s="86"/>
      <c r="R1001" s="86"/>
      <c r="S1001" s="86"/>
      <c r="T1001" s="86"/>
    </row>
    <row r="1002">
      <c r="N1002" s="86"/>
      <c r="O1002" s="86"/>
      <c r="P1002" s="86"/>
      <c r="Q1002" s="86"/>
      <c r="R1002" s="86"/>
      <c r="S1002" s="86"/>
      <c r="T1002" s="86"/>
    </row>
    <row r="1003">
      <c r="N1003" s="86"/>
      <c r="O1003" s="86"/>
      <c r="P1003" s="86"/>
      <c r="Q1003" s="86"/>
      <c r="R1003" s="86"/>
      <c r="S1003" s="86"/>
      <c r="T1003" s="86"/>
    </row>
    <row r="1004">
      <c r="N1004" s="86"/>
      <c r="O1004" s="86"/>
      <c r="P1004" s="86"/>
      <c r="Q1004" s="86"/>
      <c r="R1004" s="86"/>
      <c r="S1004" s="86"/>
      <c r="T1004" s="86"/>
    </row>
    <row r="1005">
      <c r="N1005" s="86"/>
      <c r="O1005" s="86"/>
      <c r="P1005" s="86"/>
      <c r="Q1005" s="86"/>
      <c r="R1005" s="86"/>
      <c r="S1005" s="86"/>
      <c r="T1005" s="86"/>
    </row>
    <row r="1006">
      <c r="N1006" s="86"/>
      <c r="O1006" s="86"/>
      <c r="P1006" s="86"/>
      <c r="Q1006" s="86"/>
      <c r="R1006" s="86"/>
      <c r="S1006" s="86"/>
      <c r="T1006" s="86"/>
    </row>
    <row r="1007">
      <c r="N1007" s="86"/>
      <c r="O1007" s="86"/>
      <c r="P1007" s="86"/>
      <c r="Q1007" s="86"/>
      <c r="R1007" s="86"/>
      <c r="S1007" s="86"/>
      <c r="T1007" s="86"/>
    </row>
    <row r="1008">
      <c r="N1008" s="86"/>
      <c r="O1008" s="86"/>
      <c r="P1008" s="86"/>
      <c r="Q1008" s="86"/>
      <c r="R1008" s="86"/>
      <c r="S1008" s="86"/>
      <c r="T1008" s="86"/>
    </row>
    <row r="1009">
      <c r="N1009" s="86"/>
      <c r="O1009" s="86"/>
      <c r="P1009" s="86"/>
      <c r="Q1009" s="86"/>
      <c r="R1009" s="86"/>
      <c r="S1009" s="86"/>
      <c r="T1009" s="86"/>
    </row>
    <row r="1010">
      <c r="N1010" s="86"/>
      <c r="O1010" s="86"/>
      <c r="P1010" s="86"/>
      <c r="Q1010" s="86"/>
      <c r="R1010" s="86"/>
      <c r="S1010" s="86"/>
      <c r="T1010" s="86"/>
    </row>
    <row r="1011">
      <c r="N1011" s="86"/>
      <c r="O1011" s="86"/>
      <c r="P1011" s="86"/>
      <c r="Q1011" s="86"/>
      <c r="R1011" s="86"/>
      <c r="S1011" s="86"/>
      <c r="T1011" s="86"/>
    </row>
    <row r="1012">
      <c r="N1012" s="86"/>
      <c r="O1012" s="86"/>
      <c r="P1012" s="86"/>
      <c r="Q1012" s="86"/>
      <c r="R1012" s="86"/>
      <c r="S1012" s="86"/>
      <c r="T1012" s="86"/>
    </row>
    <row r="1013">
      <c r="N1013" s="86"/>
      <c r="O1013" s="86"/>
      <c r="P1013" s="86"/>
      <c r="Q1013" s="86"/>
      <c r="R1013" s="86"/>
      <c r="S1013" s="86"/>
      <c r="T1013" s="86"/>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3.75"/>
    <col customWidth="1" min="23" max="23" width="25.38"/>
    <col customWidth="1" min="24" max="24" width="25.63"/>
    <col customWidth="1" min="25" max="25" width="25.88"/>
  </cols>
  <sheetData>
    <row r="1">
      <c r="A1" s="1" t="s">
        <v>619</v>
      </c>
    </row>
    <row r="2">
      <c r="A2" s="2" t="s">
        <v>620</v>
      </c>
      <c r="B2" s="2" t="s">
        <v>621</v>
      </c>
      <c r="C2" s="3" t="s">
        <v>3</v>
      </c>
      <c r="D2" s="4" t="s">
        <v>4</v>
      </c>
      <c r="E2" s="5">
        <f>SUM(E12:E106)+5</f>
        <v>11</v>
      </c>
      <c r="F2" s="6"/>
      <c r="J2" s="7" t="s">
        <v>5</v>
      </c>
      <c r="K2" s="8" t="s">
        <v>6</v>
      </c>
      <c r="L2" s="8" t="s">
        <v>7</v>
      </c>
      <c r="M2" s="8" t="s">
        <v>8</v>
      </c>
      <c r="O2" s="9" t="s">
        <v>9</v>
      </c>
      <c r="P2" s="10"/>
      <c r="Q2" s="11"/>
      <c r="R2" s="11"/>
      <c r="S2" s="11"/>
      <c r="T2" s="12"/>
      <c r="V2" s="9" t="s">
        <v>10</v>
      </c>
      <c r="W2" s="13"/>
      <c r="X2" s="14"/>
    </row>
    <row r="3">
      <c r="A3" s="2" t="s">
        <v>622</v>
      </c>
      <c r="C3" s="15"/>
      <c r="D3" s="16" t="s">
        <v>12</v>
      </c>
      <c r="E3" s="17">
        <f>sum(H11:H103)</f>
        <v>16527</v>
      </c>
      <c r="F3" s="18"/>
      <c r="K3" s="34" t="s">
        <v>546</v>
      </c>
      <c r="L3" s="34" t="s">
        <v>623</v>
      </c>
      <c r="M3" s="34" t="s">
        <v>624</v>
      </c>
      <c r="O3" s="21">
        <v>4.0</v>
      </c>
      <c r="P3" s="35" t="s">
        <v>290</v>
      </c>
      <c r="Q3" s="22">
        <v>2.0</v>
      </c>
      <c r="R3" s="22" t="s">
        <v>625</v>
      </c>
      <c r="S3" s="21"/>
      <c r="T3" s="21"/>
      <c r="V3" s="98" t="s">
        <v>626</v>
      </c>
      <c r="W3" s="74" t="s">
        <v>259</v>
      </c>
      <c r="X3" s="20"/>
    </row>
    <row r="4">
      <c r="C4" s="26"/>
      <c r="D4" s="27" t="s">
        <v>15</v>
      </c>
      <c r="E4" s="28">
        <f>SUM(F11:F106)-SUM(G11:G106)</f>
        <v>155</v>
      </c>
      <c r="F4" s="29"/>
      <c r="K4" s="78" t="s">
        <v>259</v>
      </c>
      <c r="L4" s="33" t="s">
        <v>626</v>
      </c>
      <c r="M4" s="31"/>
      <c r="O4" s="32">
        <v>1.0</v>
      </c>
      <c r="P4" s="41" t="s">
        <v>627</v>
      </c>
      <c r="Q4" s="32">
        <v>2.0</v>
      </c>
      <c r="R4" s="32" t="s">
        <v>148</v>
      </c>
      <c r="S4" s="31"/>
      <c r="T4" s="31"/>
      <c r="V4" s="33" t="s">
        <v>623</v>
      </c>
      <c r="W4" s="67"/>
      <c r="X4" s="31"/>
    </row>
    <row r="5">
      <c r="K5" s="34"/>
      <c r="L5" s="99" t="s">
        <v>628</v>
      </c>
      <c r="M5" s="20"/>
      <c r="O5" s="35">
        <v>1.0</v>
      </c>
      <c r="P5" s="35" t="s">
        <v>629</v>
      </c>
      <c r="Q5" s="35">
        <v>1.0</v>
      </c>
      <c r="R5" s="35" t="s">
        <v>265</v>
      </c>
      <c r="S5" s="20"/>
      <c r="T5" s="20"/>
      <c r="V5" s="34" t="s">
        <v>624</v>
      </c>
      <c r="W5" s="34" t="s">
        <v>546</v>
      </c>
      <c r="X5" s="20"/>
    </row>
    <row r="6">
      <c r="K6" s="70" t="s">
        <v>630</v>
      </c>
      <c r="L6" s="100"/>
      <c r="M6" s="31"/>
      <c r="O6" s="32">
        <v>2.0</v>
      </c>
      <c r="P6" s="32" t="s">
        <v>631</v>
      </c>
      <c r="Q6" s="32">
        <v>1.0</v>
      </c>
      <c r="R6" s="32" t="s">
        <v>632</v>
      </c>
      <c r="S6" s="31"/>
      <c r="T6" s="31"/>
      <c r="V6" s="33" t="s">
        <v>158</v>
      </c>
      <c r="W6" s="78" t="s">
        <v>633</v>
      </c>
      <c r="X6" s="31"/>
    </row>
    <row r="7">
      <c r="O7" s="35">
        <v>1.0</v>
      </c>
      <c r="P7" s="35" t="s">
        <v>176</v>
      </c>
      <c r="Q7" s="36">
        <v>3.0</v>
      </c>
      <c r="R7" s="36" t="s">
        <v>634</v>
      </c>
      <c r="S7" s="20"/>
      <c r="T7" s="20"/>
      <c r="V7" s="34" t="s">
        <v>628</v>
      </c>
      <c r="W7" s="68" t="s">
        <v>635</v>
      </c>
      <c r="X7" s="20"/>
    </row>
    <row r="8">
      <c r="J8" s="7" t="s">
        <v>17</v>
      </c>
      <c r="K8" s="76" t="s">
        <v>259</v>
      </c>
      <c r="L8" s="34" t="s">
        <v>546</v>
      </c>
      <c r="M8" s="34"/>
      <c r="O8" s="32">
        <v>1.0</v>
      </c>
      <c r="P8" s="32" t="s">
        <v>434</v>
      </c>
      <c r="Q8" s="32">
        <v>3.0</v>
      </c>
      <c r="R8" s="32" t="s">
        <v>636</v>
      </c>
      <c r="S8" s="31"/>
      <c r="T8" s="31"/>
      <c r="V8" s="33"/>
      <c r="W8" s="101"/>
      <c r="X8" s="31"/>
    </row>
    <row r="9">
      <c r="O9" s="35">
        <v>1.0</v>
      </c>
      <c r="P9" s="35" t="s">
        <v>637</v>
      </c>
      <c r="Q9" s="35"/>
      <c r="R9" s="35"/>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40">
        <v>44671.0</v>
      </c>
      <c r="B11" s="41"/>
      <c r="C11" s="41" t="s">
        <v>638</v>
      </c>
      <c r="D11" s="41"/>
      <c r="E11" s="41"/>
      <c r="F11" s="41">
        <v>20.0</v>
      </c>
      <c r="G11" s="42"/>
      <c r="H11" s="42"/>
      <c r="I11" s="42"/>
      <c r="J11" s="41" t="s">
        <v>639</v>
      </c>
      <c r="K11" s="42"/>
      <c r="L11" s="42"/>
      <c r="M11" s="42"/>
      <c r="N11" s="42"/>
      <c r="O11" s="42"/>
      <c r="P11" s="42"/>
      <c r="Q11" s="42"/>
      <c r="R11" s="42"/>
      <c r="S11" s="42"/>
      <c r="T11" s="42"/>
      <c r="U11" s="42"/>
      <c r="V11" s="42"/>
      <c r="W11" s="42"/>
      <c r="X11" s="42"/>
      <c r="Y11" s="42"/>
      <c r="Z11" s="42"/>
      <c r="AA11" s="42"/>
      <c r="AB11" s="42"/>
      <c r="AC11" s="42"/>
      <c r="AD11" s="42"/>
    </row>
    <row r="12">
      <c r="A12" s="40">
        <v>44671.0</v>
      </c>
      <c r="B12" s="41" t="s">
        <v>640</v>
      </c>
      <c r="C12" s="41" t="s">
        <v>641</v>
      </c>
      <c r="D12" s="41" t="s">
        <v>58</v>
      </c>
      <c r="E12" s="41">
        <v>1.0</v>
      </c>
      <c r="F12" s="41">
        <v>10.0</v>
      </c>
      <c r="G12" s="42"/>
      <c r="H12" s="42"/>
      <c r="I12" s="42"/>
      <c r="J12" s="41" t="s">
        <v>642</v>
      </c>
      <c r="K12" s="42"/>
      <c r="L12" s="42"/>
      <c r="M12" s="42"/>
      <c r="N12" s="42"/>
      <c r="O12" s="42"/>
      <c r="P12" s="42"/>
      <c r="Q12" s="42"/>
      <c r="R12" s="42"/>
      <c r="S12" s="42"/>
      <c r="T12" s="42"/>
      <c r="U12" s="42"/>
      <c r="V12" s="42"/>
      <c r="W12" s="42"/>
      <c r="X12" s="42"/>
      <c r="Y12" s="42"/>
      <c r="Z12" s="42"/>
      <c r="AA12" s="42"/>
      <c r="AB12" s="42"/>
      <c r="AC12" s="42"/>
      <c r="AD12" s="42"/>
    </row>
    <row r="13">
      <c r="A13" s="40">
        <v>44671.0</v>
      </c>
      <c r="B13" s="42"/>
      <c r="C13" s="41" t="s">
        <v>40</v>
      </c>
      <c r="D13" s="42"/>
      <c r="E13" s="42"/>
      <c r="F13" s="42"/>
      <c r="G13" s="41">
        <v>5.0</v>
      </c>
      <c r="H13" s="42"/>
      <c r="I13" s="42"/>
      <c r="J13" s="41" t="s">
        <v>259</v>
      </c>
      <c r="K13" s="42"/>
      <c r="L13" s="42"/>
      <c r="M13" s="41" t="s">
        <v>643</v>
      </c>
      <c r="N13" s="42"/>
      <c r="O13" s="42"/>
      <c r="P13" s="42"/>
      <c r="Q13" s="42"/>
      <c r="R13" s="41"/>
      <c r="S13" s="42"/>
      <c r="T13" s="42"/>
      <c r="U13" s="42"/>
      <c r="V13" s="42"/>
      <c r="W13" s="42"/>
      <c r="X13" s="42"/>
      <c r="Y13" s="42"/>
      <c r="Z13" s="42"/>
      <c r="AA13" s="42"/>
      <c r="AB13" s="42"/>
      <c r="AC13" s="42"/>
      <c r="AD13" s="42"/>
    </row>
    <row r="14">
      <c r="A14" s="40">
        <v>44683.0</v>
      </c>
      <c r="B14" s="42"/>
      <c r="C14" s="41" t="s">
        <v>638</v>
      </c>
      <c r="D14" s="42"/>
      <c r="E14" s="42"/>
      <c r="F14" s="42"/>
      <c r="G14" s="42"/>
      <c r="H14" s="41">
        <v>2500.0</v>
      </c>
      <c r="I14" s="42"/>
      <c r="J14" s="41" t="s">
        <v>644</v>
      </c>
      <c r="K14" s="42"/>
      <c r="L14" s="42"/>
      <c r="M14" s="42"/>
      <c r="N14" s="42"/>
      <c r="O14" s="42"/>
      <c r="P14" s="42"/>
      <c r="Q14" s="42"/>
      <c r="R14" s="42"/>
      <c r="S14" s="42"/>
      <c r="T14" s="42"/>
      <c r="U14" s="42"/>
      <c r="V14" s="42"/>
      <c r="W14" s="42"/>
      <c r="X14" s="42"/>
      <c r="Y14" s="42"/>
      <c r="Z14" s="42"/>
      <c r="AA14" s="42"/>
      <c r="AB14" s="42"/>
      <c r="AC14" s="42"/>
      <c r="AD14" s="42"/>
    </row>
    <row r="15">
      <c r="A15" s="40">
        <v>44683.0</v>
      </c>
      <c r="B15" s="42"/>
      <c r="C15" s="41" t="s">
        <v>638</v>
      </c>
      <c r="D15" s="42"/>
      <c r="E15" s="42"/>
      <c r="F15" s="42"/>
      <c r="G15" s="42"/>
      <c r="H15" s="41">
        <v>2500.0</v>
      </c>
      <c r="I15" s="42"/>
      <c r="J15" s="41" t="s">
        <v>645</v>
      </c>
      <c r="K15" s="42"/>
      <c r="L15" s="42"/>
      <c r="M15" s="42"/>
      <c r="N15" s="42"/>
      <c r="O15" s="42"/>
      <c r="P15" s="42"/>
      <c r="Q15" s="42"/>
      <c r="R15" s="42"/>
      <c r="S15" s="42"/>
      <c r="T15" s="42"/>
      <c r="U15" s="42"/>
      <c r="V15" s="42"/>
      <c r="W15" s="42"/>
      <c r="X15" s="42"/>
      <c r="Y15" s="42"/>
      <c r="Z15" s="42"/>
      <c r="AA15" s="42"/>
      <c r="AB15" s="42"/>
      <c r="AC15" s="42"/>
      <c r="AD15" s="42"/>
    </row>
    <row r="16">
      <c r="A16" s="40">
        <v>44685.0</v>
      </c>
      <c r="B16" s="41" t="s">
        <v>427</v>
      </c>
      <c r="C16" s="41" t="s">
        <v>646</v>
      </c>
      <c r="D16" s="41" t="s">
        <v>37</v>
      </c>
      <c r="E16" s="41">
        <v>1.0</v>
      </c>
      <c r="F16" s="41">
        <v>10.0</v>
      </c>
      <c r="G16" s="41"/>
      <c r="H16" s="41">
        <v>500.0</v>
      </c>
      <c r="I16" s="41"/>
      <c r="J16" s="41" t="s">
        <v>647</v>
      </c>
      <c r="K16" s="41"/>
      <c r="L16" s="42"/>
      <c r="M16" s="41" t="s">
        <v>648</v>
      </c>
      <c r="N16" s="41"/>
      <c r="O16" s="42"/>
      <c r="P16" s="42"/>
      <c r="Q16" s="42"/>
      <c r="R16" s="42"/>
      <c r="S16" s="42"/>
      <c r="T16" s="42"/>
      <c r="U16" s="42"/>
      <c r="V16" s="42"/>
      <c r="W16" s="42"/>
      <c r="X16" s="42"/>
      <c r="Y16" s="42"/>
      <c r="Z16" s="42"/>
      <c r="AA16" s="42"/>
      <c r="AB16" s="42"/>
      <c r="AC16" s="42"/>
      <c r="AD16" s="42"/>
    </row>
    <row r="17">
      <c r="A17" s="40">
        <v>44692.0</v>
      </c>
      <c r="B17" s="41" t="s">
        <v>649</v>
      </c>
      <c r="C17" s="41" t="s">
        <v>650</v>
      </c>
      <c r="D17" s="41" t="s">
        <v>544</v>
      </c>
      <c r="E17" s="41">
        <v>1.0</v>
      </c>
      <c r="F17" s="41">
        <v>10.0</v>
      </c>
      <c r="G17" s="42"/>
      <c r="H17" s="41">
        <v>237.0</v>
      </c>
      <c r="I17" s="41">
        <v>500.0</v>
      </c>
      <c r="J17" s="41" t="s">
        <v>171</v>
      </c>
      <c r="K17" s="41" t="s">
        <v>290</v>
      </c>
      <c r="L17" s="42"/>
      <c r="M17" s="41" t="s">
        <v>651</v>
      </c>
      <c r="N17" s="41"/>
      <c r="O17" s="42"/>
      <c r="P17" s="42"/>
      <c r="Q17" s="42"/>
      <c r="R17" s="41" t="s">
        <v>652</v>
      </c>
      <c r="S17" s="42"/>
      <c r="T17" s="42"/>
      <c r="U17" s="42"/>
      <c r="V17" s="42"/>
      <c r="W17" s="42"/>
      <c r="X17" s="42"/>
      <c r="Y17" s="42"/>
      <c r="Z17" s="42"/>
      <c r="AA17" s="42"/>
      <c r="AB17" s="42"/>
      <c r="AC17" s="42"/>
      <c r="AD17" s="42"/>
    </row>
    <row r="18">
      <c r="A18" s="40">
        <v>44693.0</v>
      </c>
      <c r="B18" s="41" t="s">
        <v>653</v>
      </c>
      <c r="C18" s="41" t="s">
        <v>654</v>
      </c>
      <c r="D18" s="41" t="s">
        <v>37</v>
      </c>
      <c r="E18" s="41">
        <v>1.0</v>
      </c>
      <c r="F18" s="41">
        <v>10.0</v>
      </c>
      <c r="G18" s="41"/>
      <c r="H18" s="41">
        <v>1250.0</v>
      </c>
      <c r="I18" s="41"/>
      <c r="J18" s="41" t="s">
        <v>655</v>
      </c>
      <c r="K18" s="41" t="s">
        <v>627</v>
      </c>
      <c r="L18" s="42"/>
      <c r="M18" s="42"/>
      <c r="N18" s="42"/>
      <c r="O18" s="42"/>
      <c r="P18" s="42"/>
      <c r="Q18" s="42"/>
      <c r="R18" s="41" t="s">
        <v>656</v>
      </c>
      <c r="S18" s="42"/>
      <c r="T18" s="42"/>
      <c r="U18" s="42"/>
      <c r="V18" s="42"/>
      <c r="W18" s="42"/>
      <c r="X18" s="42"/>
      <c r="Y18" s="42"/>
      <c r="Z18" s="42"/>
      <c r="AA18" s="42"/>
      <c r="AB18" s="42"/>
      <c r="AC18" s="42"/>
      <c r="AD18" s="42"/>
    </row>
    <row r="19">
      <c r="A19" s="40">
        <v>44696.0</v>
      </c>
      <c r="B19" s="41" t="s">
        <v>657</v>
      </c>
      <c r="C19" s="41" t="s">
        <v>658</v>
      </c>
      <c r="D19" s="41" t="s">
        <v>544</v>
      </c>
      <c r="E19" s="41">
        <v>1.0</v>
      </c>
      <c r="F19" s="41">
        <v>10.0</v>
      </c>
      <c r="G19" s="41"/>
      <c r="H19" s="42"/>
      <c r="I19" s="41"/>
      <c r="J19" s="42"/>
      <c r="K19" s="41"/>
      <c r="L19" s="42"/>
      <c r="M19" s="42"/>
      <c r="N19" s="42"/>
      <c r="O19" s="42"/>
      <c r="P19" s="42"/>
      <c r="Q19" s="42"/>
      <c r="R19" s="42"/>
      <c r="S19" s="42"/>
      <c r="T19" s="42"/>
      <c r="U19" s="42"/>
      <c r="V19" s="42"/>
      <c r="W19" s="42"/>
      <c r="X19" s="42"/>
      <c r="Y19" s="42"/>
      <c r="Z19" s="42"/>
      <c r="AA19" s="42"/>
      <c r="AB19" s="42"/>
      <c r="AC19" s="42"/>
      <c r="AD19" s="42"/>
    </row>
    <row r="20">
      <c r="A20" s="40">
        <v>44703.0</v>
      </c>
      <c r="B20" s="41" t="s">
        <v>659</v>
      </c>
      <c r="C20" s="41" t="s">
        <v>660</v>
      </c>
      <c r="D20" s="41" t="s">
        <v>226</v>
      </c>
      <c r="E20" s="42"/>
      <c r="F20" s="41">
        <v>10.0</v>
      </c>
      <c r="G20" s="42"/>
      <c r="H20" s="41">
        <v>260.0</v>
      </c>
      <c r="I20" s="42"/>
      <c r="J20" s="41" t="s">
        <v>661</v>
      </c>
      <c r="K20" s="41" t="s">
        <v>629</v>
      </c>
      <c r="L20" s="42"/>
      <c r="M20" s="42"/>
      <c r="N20" s="41"/>
      <c r="O20" s="42"/>
      <c r="P20" s="42"/>
      <c r="Q20" s="42"/>
      <c r="R20" s="41" t="s">
        <v>662</v>
      </c>
      <c r="S20" s="42"/>
      <c r="T20" s="42"/>
      <c r="U20" s="42"/>
      <c r="V20" s="42"/>
      <c r="W20" s="42"/>
      <c r="X20" s="42"/>
      <c r="Y20" s="42"/>
      <c r="Z20" s="42"/>
      <c r="AA20" s="42"/>
      <c r="AB20" s="42"/>
      <c r="AC20" s="42"/>
      <c r="AD20" s="42"/>
    </row>
    <row r="21">
      <c r="A21" s="40">
        <v>44741.0</v>
      </c>
      <c r="B21" s="41" t="s">
        <v>663</v>
      </c>
      <c r="C21" s="41" t="s">
        <v>664</v>
      </c>
      <c r="D21" s="41" t="s">
        <v>438</v>
      </c>
      <c r="E21" s="42"/>
      <c r="F21" s="41">
        <v>10.0</v>
      </c>
      <c r="G21" s="42"/>
      <c r="H21" s="42"/>
      <c r="I21" s="42"/>
      <c r="J21" s="42"/>
      <c r="K21" s="42"/>
      <c r="L21" s="42"/>
      <c r="M21" s="42"/>
      <c r="N21" s="42"/>
      <c r="O21" s="42"/>
      <c r="P21" s="42"/>
      <c r="Q21" s="42"/>
      <c r="R21" s="41" t="s">
        <v>290</v>
      </c>
      <c r="S21" s="42"/>
      <c r="T21" s="42"/>
      <c r="U21" s="42"/>
      <c r="V21" s="42"/>
      <c r="W21" s="42"/>
      <c r="X21" s="42"/>
      <c r="Y21" s="42"/>
      <c r="Z21" s="42"/>
      <c r="AA21" s="42"/>
      <c r="AB21" s="42"/>
      <c r="AC21" s="42"/>
      <c r="AD21" s="42"/>
    </row>
    <row r="22">
      <c r="A22" s="40">
        <v>44752.0</v>
      </c>
      <c r="B22" s="41"/>
      <c r="C22" s="41" t="s">
        <v>40</v>
      </c>
      <c r="D22" s="41" t="s">
        <v>544</v>
      </c>
      <c r="E22" s="42"/>
      <c r="F22" s="42"/>
      <c r="G22" s="41">
        <v>5.0</v>
      </c>
      <c r="H22" s="42"/>
      <c r="I22" s="42"/>
      <c r="J22" s="41" t="s">
        <v>665</v>
      </c>
      <c r="K22" s="42"/>
      <c r="L22" s="42"/>
      <c r="M22" s="41" t="s">
        <v>666</v>
      </c>
      <c r="N22" s="42"/>
      <c r="O22" s="42"/>
      <c r="P22" s="42"/>
      <c r="Q22" s="42"/>
      <c r="R22" s="41" t="s">
        <v>667</v>
      </c>
      <c r="S22" s="42"/>
      <c r="T22" s="42"/>
      <c r="U22" s="42"/>
      <c r="V22" s="42"/>
      <c r="W22" s="42"/>
      <c r="X22" s="42"/>
      <c r="Y22" s="42"/>
      <c r="Z22" s="42"/>
      <c r="AA22" s="42"/>
      <c r="AB22" s="42"/>
      <c r="AC22" s="42"/>
      <c r="AD22" s="42"/>
    </row>
    <row r="23">
      <c r="A23" s="40">
        <v>44752.0</v>
      </c>
      <c r="B23" s="41" t="s">
        <v>668</v>
      </c>
      <c r="C23" s="41" t="s">
        <v>669</v>
      </c>
      <c r="D23" s="41" t="s">
        <v>670</v>
      </c>
      <c r="E23" s="42"/>
      <c r="F23" s="41">
        <v>10.0</v>
      </c>
      <c r="G23" s="42"/>
      <c r="H23" s="41">
        <v>480.0</v>
      </c>
      <c r="I23" s="42"/>
      <c r="J23" s="41" t="s">
        <v>671</v>
      </c>
      <c r="K23" s="41" t="s">
        <v>652</v>
      </c>
      <c r="L23" s="42"/>
      <c r="M23" s="42"/>
      <c r="N23" s="42"/>
      <c r="O23" s="42"/>
      <c r="P23" s="42"/>
      <c r="Q23" s="42"/>
      <c r="R23" s="41" t="s">
        <v>672</v>
      </c>
      <c r="S23" s="42"/>
      <c r="T23" s="42"/>
      <c r="U23" s="42"/>
      <c r="V23" s="42"/>
      <c r="W23" s="42"/>
      <c r="X23" s="42"/>
      <c r="Y23" s="42"/>
      <c r="Z23" s="42"/>
      <c r="AA23" s="42"/>
      <c r="AB23" s="42"/>
      <c r="AC23" s="42"/>
      <c r="AD23" s="42"/>
    </row>
    <row r="24">
      <c r="A24" s="40">
        <v>44798.0</v>
      </c>
      <c r="B24" s="41" t="s">
        <v>673</v>
      </c>
      <c r="C24" s="41" t="s">
        <v>674</v>
      </c>
      <c r="D24" s="41" t="s">
        <v>37</v>
      </c>
      <c r="E24" s="42"/>
      <c r="F24" s="41">
        <v>10.0</v>
      </c>
      <c r="G24" s="42"/>
      <c r="H24" s="41">
        <v>1250.0</v>
      </c>
      <c r="I24" s="41">
        <v>100.0</v>
      </c>
      <c r="J24" s="41" t="s">
        <v>675</v>
      </c>
      <c r="K24" s="41" t="s">
        <v>656</v>
      </c>
      <c r="L24" s="42"/>
      <c r="M24" s="42"/>
      <c r="N24" s="42"/>
      <c r="O24" s="42"/>
      <c r="P24" s="42"/>
      <c r="Q24" s="42"/>
      <c r="R24" s="42"/>
      <c r="S24" s="42"/>
      <c r="T24" s="42"/>
      <c r="U24" s="42"/>
      <c r="V24" s="42"/>
      <c r="W24" s="42"/>
      <c r="X24" s="42"/>
      <c r="Y24" s="42"/>
      <c r="Z24" s="42"/>
      <c r="AA24" s="42"/>
      <c r="AB24" s="42"/>
      <c r="AC24" s="42"/>
      <c r="AD24" s="42"/>
    </row>
    <row r="25">
      <c r="A25" s="40">
        <v>44818.0</v>
      </c>
      <c r="B25" s="42"/>
      <c r="C25" s="41" t="s">
        <v>40</v>
      </c>
      <c r="D25" s="42"/>
      <c r="E25" s="42"/>
      <c r="F25" s="42"/>
      <c r="G25" s="41">
        <v>5.0</v>
      </c>
      <c r="H25" s="42"/>
      <c r="I25" s="42"/>
      <c r="J25" s="41" t="s">
        <v>630</v>
      </c>
      <c r="K25" s="42"/>
      <c r="L25" s="42"/>
      <c r="M25" s="41" t="s">
        <v>676</v>
      </c>
      <c r="N25" s="42"/>
      <c r="O25" s="42"/>
      <c r="P25" s="42"/>
      <c r="Q25" s="42"/>
      <c r="R25" s="42"/>
      <c r="S25" s="42"/>
      <c r="T25" s="42"/>
      <c r="U25" s="42"/>
      <c r="V25" s="42"/>
      <c r="W25" s="42"/>
      <c r="X25" s="42"/>
      <c r="Y25" s="42"/>
      <c r="Z25" s="42"/>
      <c r="AA25" s="42"/>
      <c r="AB25" s="42"/>
      <c r="AC25" s="42"/>
      <c r="AD25" s="42"/>
    </row>
    <row r="26">
      <c r="A26" s="42"/>
      <c r="B26" s="42"/>
      <c r="C26" s="42"/>
      <c r="D26" s="41" t="s">
        <v>58</v>
      </c>
      <c r="E26" s="42"/>
      <c r="F26" s="41">
        <v>10.0</v>
      </c>
      <c r="G26" s="42"/>
      <c r="H26" s="41">
        <v>1000.0</v>
      </c>
      <c r="I26" s="42"/>
      <c r="J26" s="41" t="s">
        <v>677</v>
      </c>
      <c r="K26" s="41" t="s">
        <v>662</v>
      </c>
      <c r="L26" s="42"/>
      <c r="M26" s="42"/>
      <c r="N26" s="42"/>
      <c r="O26" s="42"/>
      <c r="P26" s="42"/>
      <c r="Q26" s="42"/>
      <c r="R26" s="42"/>
      <c r="S26" s="42"/>
      <c r="T26" s="42"/>
      <c r="U26" s="42"/>
      <c r="V26" s="42"/>
      <c r="W26" s="42"/>
      <c r="X26" s="42"/>
      <c r="Y26" s="42"/>
      <c r="Z26" s="42"/>
      <c r="AA26" s="42"/>
      <c r="AB26" s="42"/>
      <c r="AC26" s="42"/>
      <c r="AD26" s="42"/>
    </row>
    <row r="27">
      <c r="A27" s="40">
        <v>44979.0</v>
      </c>
      <c r="B27" s="41" t="s">
        <v>678</v>
      </c>
      <c r="C27" s="41" t="s">
        <v>679</v>
      </c>
      <c r="D27" s="41" t="s">
        <v>226</v>
      </c>
      <c r="E27" s="42"/>
      <c r="F27" s="41">
        <v>10.0</v>
      </c>
      <c r="G27" s="42"/>
      <c r="H27" s="41">
        <v>300.0</v>
      </c>
      <c r="I27" s="42"/>
      <c r="J27" s="41" t="s">
        <v>680</v>
      </c>
      <c r="K27" s="41" t="s">
        <v>290</v>
      </c>
      <c r="L27" s="41" t="s">
        <v>681</v>
      </c>
      <c r="M27" s="42"/>
      <c r="N27" s="42"/>
      <c r="O27" s="42"/>
      <c r="P27" s="42"/>
      <c r="Q27" s="42"/>
      <c r="R27" s="42"/>
      <c r="S27" s="42"/>
      <c r="T27" s="42"/>
      <c r="U27" s="42"/>
      <c r="V27" s="42"/>
      <c r="W27" s="42"/>
      <c r="X27" s="42"/>
      <c r="Y27" s="42"/>
      <c r="Z27" s="42"/>
      <c r="AA27" s="42"/>
      <c r="AB27" s="42"/>
      <c r="AC27" s="42"/>
      <c r="AD27" s="42"/>
    </row>
    <row r="28">
      <c r="A28" s="40">
        <v>45028.0</v>
      </c>
      <c r="B28" s="102" t="s">
        <v>682</v>
      </c>
      <c r="C28" s="41" t="s">
        <v>683</v>
      </c>
      <c r="D28" s="41" t="s">
        <v>684</v>
      </c>
      <c r="E28" s="42"/>
      <c r="F28" s="41">
        <v>10.0</v>
      </c>
      <c r="G28" s="42"/>
      <c r="H28" s="41">
        <v>500.0</v>
      </c>
      <c r="I28" s="41">
        <v>200.0</v>
      </c>
      <c r="J28" s="41" t="s">
        <v>261</v>
      </c>
      <c r="K28" s="41" t="s">
        <v>667</v>
      </c>
      <c r="L28" s="42"/>
      <c r="M28" s="42"/>
      <c r="N28" s="42"/>
      <c r="O28" s="42"/>
      <c r="P28" s="42"/>
      <c r="Q28" s="42"/>
      <c r="R28" s="42"/>
      <c r="S28" s="42"/>
      <c r="T28" s="42"/>
      <c r="U28" s="42"/>
      <c r="V28" s="42"/>
      <c r="W28" s="42"/>
      <c r="X28" s="42"/>
      <c r="Y28" s="42"/>
      <c r="Z28" s="42"/>
      <c r="AA28" s="42"/>
      <c r="AB28" s="42"/>
      <c r="AC28" s="42"/>
      <c r="AD28" s="42"/>
    </row>
    <row r="29">
      <c r="A29" s="40">
        <v>45056.0</v>
      </c>
      <c r="B29" s="102" t="s">
        <v>685</v>
      </c>
      <c r="C29" s="41" t="s">
        <v>686</v>
      </c>
      <c r="D29" s="41" t="s">
        <v>247</v>
      </c>
      <c r="E29" s="42"/>
      <c r="F29" s="41">
        <v>10.0</v>
      </c>
      <c r="G29" s="41"/>
      <c r="H29" s="41"/>
      <c r="I29" s="41"/>
      <c r="J29" s="41" t="s">
        <v>687</v>
      </c>
      <c r="K29" s="41"/>
      <c r="L29" s="41"/>
      <c r="M29" s="41"/>
      <c r="N29" s="42"/>
      <c r="O29" s="42"/>
      <c r="P29" s="42"/>
      <c r="Q29" s="42"/>
      <c r="R29" s="42"/>
      <c r="S29" s="42"/>
      <c r="T29" s="42"/>
      <c r="U29" s="42"/>
      <c r="V29" s="42"/>
      <c r="W29" s="42"/>
      <c r="X29" s="42"/>
      <c r="Y29" s="42"/>
      <c r="Z29" s="42"/>
      <c r="AA29" s="42"/>
      <c r="AB29" s="42"/>
      <c r="AC29" s="42"/>
      <c r="AD29" s="42"/>
    </row>
    <row r="30">
      <c r="A30" s="40">
        <v>45073.0</v>
      </c>
      <c r="B30" s="102" t="s">
        <v>688</v>
      </c>
      <c r="C30" s="41" t="s">
        <v>689</v>
      </c>
      <c r="D30" s="41" t="s">
        <v>111</v>
      </c>
      <c r="E30" s="42"/>
      <c r="F30" s="41">
        <v>10.0</v>
      </c>
      <c r="G30" s="41">
        <v>10.0</v>
      </c>
      <c r="H30" s="41">
        <v>1000.0</v>
      </c>
      <c r="I30" s="41">
        <v>500.0</v>
      </c>
      <c r="J30" s="41" t="s">
        <v>690</v>
      </c>
      <c r="K30" s="41" t="s">
        <v>672</v>
      </c>
      <c r="L30" s="41" t="s">
        <v>691</v>
      </c>
      <c r="M30" s="41" t="s">
        <v>692</v>
      </c>
      <c r="N30" s="42"/>
      <c r="O30" s="42"/>
      <c r="P30" s="42"/>
      <c r="Q30" s="42"/>
      <c r="R30" s="42"/>
      <c r="S30" s="42"/>
      <c r="T30" s="42"/>
      <c r="U30" s="42"/>
      <c r="V30" s="42"/>
      <c r="W30" s="42"/>
      <c r="X30" s="42"/>
      <c r="Y30" s="42"/>
      <c r="Z30" s="42"/>
      <c r="AA30" s="42"/>
      <c r="AB30" s="42"/>
      <c r="AC30" s="42"/>
      <c r="AD30" s="42"/>
    </row>
    <row r="31">
      <c r="A31" s="40">
        <v>45374.0</v>
      </c>
      <c r="B31" s="42"/>
      <c r="C31" s="41" t="s">
        <v>238</v>
      </c>
      <c r="D31" s="41"/>
      <c r="E31" s="42"/>
      <c r="F31" s="42"/>
      <c r="G31" s="41"/>
      <c r="H31" s="41">
        <v>2500.0</v>
      </c>
      <c r="I31" s="42"/>
      <c r="J31" s="41" t="s">
        <v>693</v>
      </c>
      <c r="K31" s="42"/>
      <c r="L31" s="42"/>
      <c r="M31" s="41"/>
      <c r="N31" s="42"/>
      <c r="O31" s="42"/>
      <c r="P31" s="42"/>
      <c r="Q31" s="42"/>
      <c r="R31" s="42"/>
      <c r="S31" s="42"/>
      <c r="T31" s="42"/>
      <c r="U31" s="42"/>
      <c r="V31" s="42"/>
      <c r="W31" s="42"/>
      <c r="X31" s="42"/>
      <c r="Y31" s="42"/>
      <c r="Z31" s="42"/>
      <c r="AA31" s="42"/>
      <c r="AB31" s="42"/>
      <c r="AC31" s="42"/>
      <c r="AD31" s="42"/>
    </row>
    <row r="32">
      <c r="A32" s="40">
        <v>45374.0</v>
      </c>
      <c r="B32" s="42"/>
      <c r="C32" s="41" t="s">
        <v>40</v>
      </c>
      <c r="D32" s="41" t="s">
        <v>694</v>
      </c>
      <c r="E32" s="42"/>
      <c r="F32" s="42"/>
      <c r="G32" s="41">
        <v>5.0</v>
      </c>
      <c r="H32" s="42"/>
      <c r="I32" s="42"/>
      <c r="J32" s="41" t="s">
        <v>158</v>
      </c>
      <c r="K32" s="42"/>
      <c r="L32" s="42"/>
      <c r="M32" s="41" t="s">
        <v>695</v>
      </c>
      <c r="N32" s="42"/>
      <c r="O32" s="42"/>
      <c r="P32" s="42"/>
      <c r="Q32" s="42"/>
      <c r="R32" s="42"/>
      <c r="S32" s="42"/>
      <c r="T32" s="42"/>
      <c r="U32" s="42"/>
      <c r="V32" s="42"/>
      <c r="W32" s="42"/>
      <c r="X32" s="42"/>
      <c r="Y32" s="42"/>
      <c r="Z32" s="42"/>
      <c r="AA32" s="42"/>
      <c r="AB32" s="42"/>
      <c r="AC32" s="42"/>
      <c r="AD32" s="42"/>
    </row>
    <row r="33">
      <c r="A33" s="103">
        <v>45525.0</v>
      </c>
      <c r="B33" s="41" t="s">
        <v>696</v>
      </c>
      <c r="C33" s="41" t="s">
        <v>697</v>
      </c>
      <c r="D33" s="41" t="s">
        <v>197</v>
      </c>
      <c r="E33" s="42"/>
      <c r="F33" s="41"/>
      <c r="G33" s="42"/>
      <c r="H33" s="41"/>
      <c r="I33" s="42"/>
      <c r="J33" s="41"/>
      <c r="K33" s="42"/>
      <c r="L33" s="42"/>
      <c r="M33" s="42"/>
      <c r="N33" s="42"/>
      <c r="O33" s="42"/>
      <c r="P33" s="42"/>
      <c r="Q33" s="42"/>
      <c r="R33" s="42"/>
      <c r="S33" s="42"/>
      <c r="T33" s="42"/>
      <c r="U33" s="42"/>
      <c r="V33" s="42"/>
      <c r="W33" s="42"/>
      <c r="X33" s="42"/>
      <c r="Y33" s="42"/>
      <c r="Z33" s="42"/>
      <c r="AA33" s="42"/>
      <c r="AB33" s="42"/>
      <c r="AC33" s="42"/>
      <c r="AD33" s="42"/>
    </row>
    <row r="34">
      <c r="A34" s="40">
        <v>45535.0</v>
      </c>
      <c r="B34" s="41" t="s">
        <v>698</v>
      </c>
      <c r="C34" s="41" t="s">
        <v>699</v>
      </c>
      <c r="D34" s="42"/>
      <c r="E34" s="42"/>
      <c r="F34" s="41">
        <v>10.0</v>
      </c>
      <c r="G34" s="42"/>
      <c r="H34" s="41">
        <v>1000.0</v>
      </c>
      <c r="I34" s="42"/>
      <c r="J34" s="41" t="s">
        <v>700</v>
      </c>
      <c r="K34" s="42"/>
      <c r="L34" s="42"/>
      <c r="M34" s="42"/>
      <c r="N34" s="42"/>
      <c r="O34" s="42"/>
      <c r="P34" s="42"/>
      <c r="Q34" s="42"/>
      <c r="R34" s="42"/>
      <c r="S34" s="42"/>
      <c r="T34" s="42"/>
      <c r="U34" s="42"/>
      <c r="V34" s="42"/>
      <c r="W34" s="42"/>
      <c r="X34" s="42"/>
      <c r="Y34" s="42"/>
      <c r="Z34" s="42"/>
      <c r="AA34" s="42"/>
      <c r="AB34" s="42"/>
      <c r="AC34" s="42"/>
      <c r="AD34" s="42"/>
    </row>
    <row r="35">
      <c r="A35" s="40">
        <v>45535.0</v>
      </c>
      <c r="B35" s="41" t="s">
        <v>701</v>
      </c>
      <c r="C35" s="41" t="s">
        <v>702</v>
      </c>
      <c r="D35" s="42"/>
      <c r="E35" s="42"/>
      <c r="F35" s="41">
        <v>10.0</v>
      </c>
      <c r="G35" s="42"/>
      <c r="H35" s="41">
        <v>1250.0</v>
      </c>
      <c r="I35" s="42"/>
      <c r="J35" s="41" t="s">
        <v>703</v>
      </c>
      <c r="K35" s="42"/>
      <c r="L35" s="42"/>
      <c r="M35" s="42"/>
      <c r="N35" s="42"/>
      <c r="O35" s="42"/>
      <c r="P35" s="42"/>
      <c r="Q35" s="42"/>
      <c r="R35" s="42"/>
      <c r="S35" s="42"/>
      <c r="T35" s="42"/>
      <c r="U35" s="42"/>
      <c r="V35" s="42"/>
      <c r="W35" s="42"/>
      <c r="X35" s="42"/>
      <c r="Y35" s="42"/>
      <c r="Z35" s="42"/>
      <c r="AA35" s="42"/>
      <c r="AB35" s="42"/>
      <c r="AC35" s="42"/>
      <c r="AD35" s="42"/>
    </row>
    <row r="36">
      <c r="A36" s="40">
        <v>45581.0</v>
      </c>
      <c r="B36" s="41" t="s">
        <v>704</v>
      </c>
      <c r="C36" s="41" t="s">
        <v>705</v>
      </c>
      <c r="D36" s="41" t="s">
        <v>272</v>
      </c>
      <c r="E36" s="41">
        <v>1.0</v>
      </c>
      <c r="F36" s="41">
        <v>10.0</v>
      </c>
      <c r="G36" s="41"/>
      <c r="H36" s="42"/>
      <c r="I36" s="42"/>
      <c r="J36" s="41" t="s">
        <v>706</v>
      </c>
      <c r="K36" s="42"/>
      <c r="L36" s="42"/>
      <c r="M36" s="41"/>
      <c r="N36" s="42"/>
      <c r="O36" s="42"/>
      <c r="P36" s="42"/>
      <c r="Q36" s="42"/>
      <c r="R36" s="42"/>
      <c r="S36" s="42"/>
      <c r="T36" s="42"/>
      <c r="U36" s="42"/>
      <c r="V36" s="42"/>
      <c r="W36" s="42"/>
      <c r="X36" s="42"/>
      <c r="Y36" s="42"/>
      <c r="Z36" s="42"/>
      <c r="AA36" s="42"/>
      <c r="AB36" s="42"/>
      <c r="AC36" s="42"/>
      <c r="AD36" s="42"/>
    </row>
    <row r="37">
      <c r="A37" s="40">
        <v>45616.0</v>
      </c>
      <c r="B37" s="42"/>
      <c r="C37" s="41" t="s">
        <v>40</v>
      </c>
      <c r="D37" s="42"/>
      <c r="E37" s="42"/>
      <c r="F37" s="42"/>
      <c r="G37" s="41">
        <v>5.0</v>
      </c>
      <c r="H37" s="42"/>
      <c r="I37" s="42"/>
      <c r="J37" s="41" t="s">
        <v>628</v>
      </c>
      <c r="K37" s="42"/>
      <c r="L37" s="42"/>
      <c r="M37" s="41" t="s">
        <v>707</v>
      </c>
      <c r="N37" s="42"/>
      <c r="O37" s="42"/>
      <c r="P37" s="42"/>
      <c r="Q37" s="42"/>
      <c r="R37" s="42"/>
      <c r="S37" s="42"/>
      <c r="T37" s="42"/>
      <c r="U37" s="42"/>
      <c r="V37" s="42"/>
      <c r="W37" s="42"/>
      <c r="X37" s="42"/>
      <c r="Y37" s="42"/>
      <c r="Z37" s="42"/>
      <c r="AA37" s="42"/>
      <c r="AB37" s="42"/>
      <c r="AC37" s="42"/>
      <c r="AD37" s="42"/>
    </row>
    <row r="38">
      <c r="A38" s="40"/>
      <c r="B38" s="42"/>
      <c r="C38" s="41"/>
      <c r="D38" s="42"/>
      <c r="E38" s="42"/>
      <c r="F38" s="41"/>
      <c r="G38" s="42"/>
      <c r="H38" s="41"/>
      <c r="I38" s="42"/>
      <c r="J38" s="41"/>
      <c r="K38" s="42"/>
      <c r="L38" s="42"/>
      <c r="M38" s="42"/>
      <c r="N38" s="42"/>
      <c r="O38" s="42"/>
      <c r="P38" s="42"/>
      <c r="Q38" s="42"/>
      <c r="R38" s="42"/>
      <c r="S38" s="42"/>
      <c r="T38" s="42"/>
      <c r="U38" s="42"/>
      <c r="V38" s="42"/>
      <c r="W38" s="42"/>
      <c r="X38" s="42"/>
      <c r="Y38" s="42"/>
      <c r="Z38" s="42"/>
      <c r="AA38" s="42"/>
      <c r="AB38" s="42"/>
      <c r="AC38" s="42"/>
      <c r="AD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1.5"/>
    <col customWidth="1" min="23" max="23" width="25.38"/>
    <col customWidth="1" min="24" max="24" width="25.63"/>
    <col customWidth="1" min="25" max="25" width="25.88"/>
  </cols>
  <sheetData>
    <row r="1">
      <c r="A1" s="1" t="s">
        <v>708</v>
      </c>
    </row>
    <row r="2">
      <c r="A2" s="2" t="s">
        <v>709</v>
      </c>
      <c r="B2" s="2" t="s">
        <v>710</v>
      </c>
      <c r="C2" s="3" t="s">
        <v>3</v>
      </c>
      <c r="D2" s="4" t="s">
        <v>4</v>
      </c>
      <c r="E2" s="5">
        <f>SUM(E12:E103)+1</f>
        <v>11</v>
      </c>
      <c r="F2" s="6"/>
      <c r="J2" s="7" t="s">
        <v>5</v>
      </c>
      <c r="K2" s="8" t="s">
        <v>6</v>
      </c>
      <c r="L2" s="8" t="s">
        <v>7</v>
      </c>
      <c r="M2" s="8" t="s">
        <v>8</v>
      </c>
      <c r="O2" s="9" t="s">
        <v>9</v>
      </c>
      <c r="P2" s="10"/>
      <c r="Q2" s="11"/>
      <c r="R2" s="11"/>
      <c r="S2" s="11"/>
      <c r="T2" s="12"/>
      <c r="V2" s="9" t="s">
        <v>10</v>
      </c>
      <c r="W2" s="13"/>
      <c r="X2" s="14"/>
    </row>
    <row r="3">
      <c r="A3" s="2" t="s">
        <v>711</v>
      </c>
      <c r="C3" s="15"/>
      <c r="D3" s="16" t="s">
        <v>12</v>
      </c>
      <c r="E3" s="17">
        <f>SUM(H13:H103)+15-SUM(I13:I103)</f>
        <v>19755</v>
      </c>
      <c r="F3" s="18"/>
      <c r="K3" s="68" t="s">
        <v>712</v>
      </c>
      <c r="L3" s="74"/>
      <c r="M3" s="20"/>
      <c r="O3" s="21">
        <v>2.0</v>
      </c>
      <c r="P3" s="21" t="s">
        <v>713</v>
      </c>
      <c r="Q3" s="22">
        <v>2.0</v>
      </c>
      <c r="R3" s="22" t="s">
        <v>714</v>
      </c>
      <c r="S3" s="21"/>
      <c r="T3" s="21"/>
      <c r="V3" s="34" t="s">
        <v>715</v>
      </c>
      <c r="W3" s="65" t="s">
        <v>716</v>
      </c>
      <c r="X3" s="98" t="s">
        <v>258</v>
      </c>
    </row>
    <row r="4">
      <c r="C4" s="26"/>
      <c r="D4" s="27" t="s">
        <v>15</v>
      </c>
      <c r="E4" s="28">
        <f>SUM(F13:F103)-SUM(G13:G103)</f>
        <v>80</v>
      </c>
      <c r="F4" s="29"/>
      <c r="K4" s="33" t="s">
        <v>717</v>
      </c>
      <c r="L4" s="78"/>
      <c r="M4" s="31"/>
      <c r="O4" s="32">
        <v>2.0</v>
      </c>
      <c r="P4" s="32" t="s">
        <v>290</v>
      </c>
      <c r="Q4" s="32">
        <v>1.0</v>
      </c>
      <c r="R4" s="32" t="s">
        <v>718</v>
      </c>
      <c r="S4" s="31"/>
      <c r="T4" s="31"/>
      <c r="V4" s="33" t="s">
        <v>719</v>
      </c>
      <c r="W4" s="78" t="s">
        <v>720</v>
      </c>
      <c r="X4" s="78" t="s">
        <v>721</v>
      </c>
    </row>
    <row r="5">
      <c r="K5" s="74"/>
      <c r="L5" s="74"/>
      <c r="M5" s="20"/>
      <c r="O5" s="35">
        <v>1.0</v>
      </c>
      <c r="P5" s="35" t="s">
        <v>722</v>
      </c>
      <c r="Q5" s="35">
        <v>1.0</v>
      </c>
      <c r="R5" s="35" t="s">
        <v>723</v>
      </c>
      <c r="S5" s="20"/>
      <c r="T5" s="20"/>
      <c r="V5" s="68" t="s">
        <v>107</v>
      </c>
      <c r="W5" s="34" t="s">
        <v>724</v>
      </c>
      <c r="X5" s="35" t="s">
        <v>725</v>
      </c>
    </row>
    <row r="6">
      <c r="K6" s="2" t="s">
        <v>541</v>
      </c>
      <c r="L6" s="2" t="s">
        <v>725</v>
      </c>
      <c r="M6" s="31"/>
      <c r="O6" s="32">
        <v>1.0</v>
      </c>
      <c r="P6" s="32" t="s">
        <v>629</v>
      </c>
      <c r="Q6" s="32"/>
      <c r="R6" s="32"/>
      <c r="S6" s="31"/>
      <c r="T6" s="31"/>
      <c r="V6" s="67" t="s">
        <v>726</v>
      </c>
      <c r="W6" s="33" t="s">
        <v>727</v>
      </c>
      <c r="X6" s="32" t="s">
        <v>728</v>
      </c>
    </row>
    <row r="7">
      <c r="O7" s="35">
        <v>1.0</v>
      </c>
      <c r="P7" s="35" t="s">
        <v>434</v>
      </c>
      <c r="Q7" s="36"/>
      <c r="R7" s="36"/>
      <c r="S7" s="20"/>
      <c r="T7" s="20"/>
      <c r="V7" s="68" t="s">
        <v>725</v>
      </c>
      <c r="W7" s="34" t="s">
        <v>729</v>
      </c>
      <c r="X7" s="20"/>
    </row>
    <row r="8">
      <c r="J8" s="7" t="s">
        <v>17</v>
      </c>
      <c r="K8" s="104" t="s">
        <v>712</v>
      </c>
      <c r="L8" s="74"/>
      <c r="M8" s="34" t="s">
        <v>724</v>
      </c>
      <c r="O8" s="32">
        <v>1.0</v>
      </c>
      <c r="P8" s="32" t="s">
        <v>148</v>
      </c>
      <c r="Q8" s="32"/>
      <c r="R8" s="32"/>
      <c r="S8" s="31"/>
      <c r="T8" s="31"/>
      <c r="V8" s="67" t="s">
        <v>712</v>
      </c>
      <c r="W8" s="105" t="s">
        <v>730</v>
      </c>
      <c r="X8" s="31"/>
    </row>
    <row r="9">
      <c r="K9" s="35" t="s">
        <v>731</v>
      </c>
      <c r="L9" s="35" t="s">
        <v>732</v>
      </c>
      <c r="O9" s="35">
        <v>1.0</v>
      </c>
      <c r="P9" s="35" t="s">
        <v>733</v>
      </c>
      <c r="Q9" s="35"/>
      <c r="R9" s="35"/>
      <c r="S9" s="20"/>
      <c r="T9" s="20"/>
      <c r="V9" s="68" t="s">
        <v>734</v>
      </c>
      <c r="W9" s="35" t="s">
        <v>541</v>
      </c>
      <c r="X9" s="20"/>
    </row>
    <row r="10">
      <c r="O10" s="2"/>
      <c r="P10" s="2"/>
      <c r="Q10" s="2"/>
      <c r="R10" s="2"/>
      <c r="V10" s="106"/>
    </row>
    <row r="11">
      <c r="A11" s="37" t="s">
        <v>18</v>
      </c>
      <c r="B11" s="37" t="s">
        <v>19</v>
      </c>
      <c r="C11" s="37" t="s">
        <v>20</v>
      </c>
      <c r="D11" s="37" t="s">
        <v>21</v>
      </c>
      <c r="E11" s="37" t="s">
        <v>22</v>
      </c>
      <c r="F11" s="37" t="s">
        <v>23</v>
      </c>
      <c r="G11" s="37" t="s">
        <v>24</v>
      </c>
      <c r="H11" s="37" t="s">
        <v>25</v>
      </c>
      <c r="I11" s="37" t="s">
        <v>26</v>
      </c>
      <c r="J11" s="37" t="s">
        <v>27</v>
      </c>
      <c r="K11" s="37" t="s">
        <v>28</v>
      </c>
      <c r="L11" s="37" t="s">
        <v>29</v>
      </c>
      <c r="M11" s="37" t="s">
        <v>30</v>
      </c>
      <c r="O11" s="38"/>
      <c r="V11" s="38"/>
      <c r="W11" s="38"/>
      <c r="X11" s="38"/>
      <c r="Y11" s="38"/>
      <c r="Z11" s="38"/>
      <c r="AA11" s="38"/>
      <c r="AB11" s="38"/>
      <c r="AC11" s="38"/>
      <c r="AD11" s="38"/>
    </row>
    <row r="12">
      <c r="A12" s="40"/>
      <c r="B12" s="41"/>
      <c r="C12" s="41" t="s">
        <v>735</v>
      </c>
      <c r="D12" s="41"/>
      <c r="E12" s="41">
        <v>4.0</v>
      </c>
      <c r="F12" s="41"/>
      <c r="G12" s="41"/>
      <c r="H12" s="41"/>
      <c r="I12" s="41"/>
      <c r="J12" s="41"/>
      <c r="K12" s="41"/>
      <c r="L12" s="42"/>
      <c r="M12" s="42"/>
      <c r="N12" s="41"/>
      <c r="O12" s="42"/>
      <c r="P12" s="42"/>
      <c r="Q12" s="42"/>
      <c r="R12" s="42"/>
      <c r="S12" s="42"/>
      <c r="T12" s="42"/>
      <c r="U12" s="42"/>
      <c r="V12" s="42"/>
      <c r="W12" s="42"/>
      <c r="X12" s="42"/>
      <c r="Y12" s="42"/>
      <c r="Z12" s="42"/>
      <c r="AA12" s="42"/>
      <c r="AB12" s="42"/>
      <c r="AC12" s="42"/>
      <c r="AD12" s="42"/>
    </row>
    <row r="13">
      <c r="A13" s="40">
        <v>44548.0</v>
      </c>
      <c r="B13" s="41" t="s">
        <v>736</v>
      </c>
      <c r="C13" s="41" t="s">
        <v>737</v>
      </c>
      <c r="D13" s="41" t="s">
        <v>412</v>
      </c>
      <c r="E13" s="41">
        <v>1.0</v>
      </c>
      <c r="F13" s="41">
        <v>10.0</v>
      </c>
      <c r="G13" s="41"/>
      <c r="H13" s="41">
        <v>100.0</v>
      </c>
      <c r="I13" s="41"/>
      <c r="J13" s="41" t="s">
        <v>738</v>
      </c>
      <c r="K13" s="41"/>
      <c r="L13" s="42"/>
      <c r="M13" s="42"/>
      <c r="N13" s="41"/>
      <c r="O13" s="42"/>
      <c r="P13" s="42"/>
      <c r="Q13" s="42"/>
      <c r="R13" s="42"/>
      <c r="S13" s="42"/>
      <c r="T13" s="42"/>
      <c r="U13" s="42"/>
      <c r="V13" s="42"/>
      <c r="W13" s="42"/>
      <c r="X13" s="42"/>
      <c r="Y13" s="42"/>
      <c r="Z13" s="42"/>
      <c r="AA13" s="42"/>
      <c r="AB13" s="42"/>
      <c r="AC13" s="42"/>
      <c r="AD13" s="42"/>
    </row>
    <row r="14">
      <c r="A14" s="40">
        <v>44566.0</v>
      </c>
      <c r="B14" s="63" t="s">
        <v>739</v>
      </c>
      <c r="C14" s="41" t="s">
        <v>740</v>
      </c>
      <c r="D14" s="41" t="s">
        <v>210</v>
      </c>
      <c r="E14" s="41">
        <v>1.0</v>
      </c>
      <c r="F14" s="41">
        <v>10.0</v>
      </c>
      <c r="G14" s="42"/>
      <c r="H14" s="41">
        <v>1000.0</v>
      </c>
      <c r="I14" s="42"/>
      <c r="J14" s="41" t="s">
        <v>726</v>
      </c>
      <c r="K14" s="41" t="s">
        <v>741</v>
      </c>
      <c r="L14" s="41" t="s">
        <v>742</v>
      </c>
      <c r="M14" s="42"/>
      <c r="N14" s="41"/>
      <c r="O14" s="42"/>
      <c r="P14" s="42"/>
      <c r="Q14" s="42"/>
      <c r="R14" s="42"/>
      <c r="S14" s="42"/>
      <c r="T14" s="42"/>
      <c r="U14" s="42"/>
      <c r="V14" s="42"/>
      <c r="W14" s="42"/>
      <c r="X14" s="42"/>
      <c r="Y14" s="42"/>
      <c r="Z14" s="42"/>
      <c r="AA14" s="42"/>
      <c r="AB14" s="42"/>
      <c r="AC14" s="42"/>
      <c r="AD14" s="42"/>
    </row>
    <row r="15">
      <c r="A15" s="40">
        <v>44573.0</v>
      </c>
      <c r="B15" s="43" t="s">
        <v>743</v>
      </c>
      <c r="C15" s="41" t="s">
        <v>744</v>
      </c>
      <c r="D15" s="41" t="s">
        <v>226</v>
      </c>
      <c r="E15" s="41">
        <v>1.0</v>
      </c>
      <c r="F15" s="41">
        <v>10.0</v>
      </c>
      <c r="G15" s="41"/>
      <c r="H15" s="41">
        <v>1000.0</v>
      </c>
      <c r="I15" s="41"/>
      <c r="J15" s="41" t="s">
        <v>734</v>
      </c>
      <c r="K15" s="41" t="s">
        <v>745</v>
      </c>
      <c r="L15" s="42"/>
      <c r="M15" s="42"/>
      <c r="N15" s="42"/>
      <c r="O15" s="42"/>
      <c r="P15" s="42"/>
      <c r="Q15" s="42"/>
      <c r="R15" s="42"/>
      <c r="S15" s="42"/>
      <c r="T15" s="42"/>
      <c r="U15" s="42"/>
      <c r="V15" s="42"/>
      <c r="W15" s="42"/>
      <c r="X15" s="42"/>
      <c r="Y15" s="42"/>
      <c r="Z15" s="42"/>
      <c r="AA15" s="42"/>
      <c r="AB15" s="42"/>
      <c r="AC15" s="42"/>
      <c r="AD15" s="42"/>
    </row>
    <row r="16">
      <c r="A16" s="40">
        <v>44576.0</v>
      </c>
      <c r="B16" s="41"/>
      <c r="C16" s="41" t="s">
        <v>238</v>
      </c>
      <c r="D16" s="41"/>
      <c r="E16" s="41"/>
      <c r="F16" s="41"/>
      <c r="G16" s="41"/>
      <c r="H16" s="41"/>
      <c r="I16" s="41"/>
      <c r="J16" s="41" t="s">
        <v>746</v>
      </c>
      <c r="K16" s="41"/>
      <c r="L16" s="42"/>
      <c r="M16" s="42"/>
      <c r="N16" s="42"/>
      <c r="O16" s="42"/>
      <c r="P16" s="42"/>
      <c r="Q16" s="42"/>
      <c r="R16" s="42"/>
      <c r="S16" s="42"/>
      <c r="T16" s="42"/>
      <c r="U16" s="42"/>
      <c r="V16" s="42"/>
      <c r="W16" s="42"/>
      <c r="X16" s="42"/>
      <c r="Y16" s="42"/>
      <c r="Z16" s="42"/>
      <c r="AA16" s="42"/>
      <c r="AB16" s="42"/>
      <c r="AC16" s="42"/>
      <c r="AD16" s="42"/>
    </row>
    <row r="17">
      <c r="A17" s="40">
        <v>44576.0</v>
      </c>
      <c r="B17" s="41"/>
      <c r="C17" s="41" t="s">
        <v>40</v>
      </c>
      <c r="D17" s="41" t="s">
        <v>33</v>
      </c>
      <c r="E17" s="41"/>
      <c r="F17" s="41"/>
      <c r="G17" s="41">
        <v>10.0</v>
      </c>
      <c r="H17" s="41"/>
      <c r="I17" s="41"/>
      <c r="J17" s="41" t="s">
        <v>747</v>
      </c>
      <c r="K17" s="41"/>
      <c r="L17" s="42"/>
      <c r="M17" s="41" t="s">
        <v>748</v>
      </c>
      <c r="N17" s="42"/>
      <c r="O17" s="42"/>
      <c r="P17" s="42"/>
      <c r="Q17" s="42"/>
      <c r="R17" s="42"/>
      <c r="S17" s="42"/>
      <c r="T17" s="42"/>
      <c r="U17" s="42"/>
      <c r="V17" s="42"/>
      <c r="W17" s="42"/>
      <c r="X17" s="42"/>
      <c r="Y17" s="42"/>
      <c r="Z17" s="42"/>
      <c r="AA17" s="42"/>
      <c r="AB17" s="42"/>
      <c r="AC17" s="42"/>
      <c r="AD17" s="42"/>
    </row>
    <row r="18">
      <c r="A18" s="40">
        <v>44576.0</v>
      </c>
      <c r="B18" s="41"/>
      <c r="C18" s="41" t="s">
        <v>40</v>
      </c>
      <c r="D18" s="41" t="s">
        <v>749</v>
      </c>
      <c r="E18" s="41"/>
      <c r="F18" s="41"/>
      <c r="G18" s="41">
        <v>10.0</v>
      </c>
      <c r="H18" s="41"/>
      <c r="I18" s="41"/>
      <c r="J18" s="41" t="s">
        <v>720</v>
      </c>
      <c r="K18" s="41"/>
      <c r="L18" s="42"/>
      <c r="M18" s="41" t="s">
        <v>750</v>
      </c>
      <c r="N18" s="42"/>
      <c r="O18" s="42"/>
      <c r="P18" s="42"/>
      <c r="Q18" s="42"/>
      <c r="R18" s="42"/>
      <c r="S18" s="42"/>
      <c r="T18" s="42"/>
      <c r="U18" s="42"/>
      <c r="V18" s="42"/>
      <c r="W18" s="42"/>
      <c r="X18" s="42"/>
      <c r="Y18" s="42"/>
      <c r="Z18" s="42"/>
      <c r="AA18" s="42"/>
      <c r="AB18" s="42"/>
      <c r="AC18" s="42"/>
      <c r="AD18" s="42"/>
    </row>
    <row r="19">
      <c r="A19" s="40">
        <v>44577.0</v>
      </c>
      <c r="B19" s="41" t="s">
        <v>751</v>
      </c>
      <c r="C19" s="41" t="s">
        <v>752</v>
      </c>
      <c r="D19" s="41" t="s">
        <v>753</v>
      </c>
      <c r="E19" s="41">
        <v>1.0</v>
      </c>
      <c r="F19" s="41">
        <v>10.0</v>
      </c>
      <c r="G19" s="41"/>
      <c r="H19" s="41">
        <v>12500.0</v>
      </c>
      <c r="I19" s="41"/>
      <c r="J19" s="41" t="s">
        <v>754</v>
      </c>
      <c r="K19" s="41"/>
      <c r="L19" s="42"/>
      <c r="M19" s="42"/>
      <c r="N19" s="42"/>
      <c r="O19" s="42"/>
      <c r="P19" s="42"/>
      <c r="Q19" s="42"/>
      <c r="R19" s="42"/>
      <c r="S19" s="42"/>
      <c r="T19" s="42"/>
      <c r="U19" s="42"/>
      <c r="V19" s="42"/>
      <c r="W19" s="42"/>
      <c r="X19" s="42"/>
      <c r="Y19" s="42"/>
      <c r="Z19" s="42"/>
      <c r="AA19" s="42"/>
      <c r="AB19" s="42"/>
      <c r="AC19" s="42"/>
      <c r="AD19" s="42"/>
    </row>
    <row r="20">
      <c r="A20" s="40">
        <v>44580.0</v>
      </c>
      <c r="B20" s="41" t="s">
        <v>755</v>
      </c>
      <c r="C20" s="41" t="s">
        <v>756</v>
      </c>
      <c r="D20" s="41" t="s">
        <v>544</v>
      </c>
      <c r="E20" s="41"/>
      <c r="F20" s="41">
        <v>10.0</v>
      </c>
      <c r="G20" s="41"/>
      <c r="H20" s="41">
        <v>1000.0</v>
      </c>
      <c r="I20" s="41"/>
      <c r="J20" s="41" t="s">
        <v>725</v>
      </c>
      <c r="K20" s="41" t="s">
        <v>757</v>
      </c>
      <c r="L20" s="42"/>
      <c r="M20" s="42"/>
      <c r="N20" s="42"/>
      <c r="O20" s="42"/>
      <c r="P20" s="42"/>
      <c r="Q20" s="42"/>
      <c r="R20" s="42"/>
      <c r="S20" s="42"/>
      <c r="T20" s="42"/>
      <c r="U20" s="42"/>
      <c r="V20" s="42"/>
      <c r="W20" s="42"/>
      <c r="X20" s="42"/>
      <c r="Y20" s="42"/>
      <c r="Z20" s="42"/>
      <c r="AA20" s="42"/>
      <c r="AB20" s="42"/>
      <c r="AC20" s="42"/>
      <c r="AD20" s="42"/>
    </row>
    <row r="21">
      <c r="A21" s="40">
        <v>44590.0</v>
      </c>
      <c r="B21" s="41" t="s">
        <v>758</v>
      </c>
      <c r="C21" s="41" t="s">
        <v>759</v>
      </c>
      <c r="D21" s="41" t="s">
        <v>760</v>
      </c>
      <c r="E21" s="41">
        <v>1.0</v>
      </c>
      <c r="F21" s="41">
        <v>10.0</v>
      </c>
      <c r="G21" s="42"/>
      <c r="H21" s="41">
        <v>600.0</v>
      </c>
      <c r="I21" s="42"/>
      <c r="J21" s="41" t="s">
        <v>716</v>
      </c>
      <c r="K21" s="41"/>
      <c r="L21" s="42"/>
      <c r="M21" s="42"/>
      <c r="N21" s="41"/>
      <c r="O21" s="42"/>
      <c r="P21" s="42"/>
      <c r="Q21" s="42"/>
      <c r="R21" s="42"/>
      <c r="S21" s="42"/>
      <c r="T21" s="42"/>
      <c r="U21" s="42"/>
      <c r="V21" s="42"/>
      <c r="W21" s="42"/>
      <c r="X21" s="42"/>
      <c r="Y21" s="42"/>
      <c r="Z21" s="42"/>
      <c r="AA21" s="42"/>
      <c r="AB21" s="42"/>
      <c r="AC21" s="42"/>
      <c r="AD21" s="42"/>
    </row>
    <row r="22">
      <c r="A22" s="40">
        <v>44594.0</v>
      </c>
      <c r="B22" s="41" t="s">
        <v>761</v>
      </c>
      <c r="C22" s="41" t="s">
        <v>762</v>
      </c>
      <c r="D22" s="41" t="s">
        <v>192</v>
      </c>
      <c r="E22" s="42"/>
      <c r="F22" s="41">
        <v>10.0</v>
      </c>
      <c r="G22" s="42"/>
      <c r="H22" s="41">
        <v>1500.0</v>
      </c>
      <c r="I22" s="41">
        <v>450.0</v>
      </c>
      <c r="J22" s="41" t="s">
        <v>763</v>
      </c>
      <c r="K22" s="41" t="s">
        <v>764</v>
      </c>
      <c r="L22" s="41" t="s">
        <v>765</v>
      </c>
      <c r="M22" s="41" t="s">
        <v>766</v>
      </c>
      <c r="N22" s="42"/>
      <c r="O22" s="42"/>
      <c r="P22" s="42"/>
      <c r="Q22" s="42"/>
      <c r="R22" s="42"/>
      <c r="S22" s="42"/>
      <c r="T22" s="42"/>
      <c r="U22" s="42"/>
      <c r="V22" s="42"/>
      <c r="W22" s="42"/>
      <c r="X22" s="42"/>
      <c r="Y22" s="42"/>
      <c r="Z22" s="42"/>
      <c r="AA22" s="42"/>
      <c r="AB22" s="42"/>
      <c r="AC22" s="42"/>
      <c r="AD22" s="42"/>
    </row>
    <row r="23">
      <c r="A23" s="40">
        <v>44610.0</v>
      </c>
      <c r="B23" s="41" t="s">
        <v>767</v>
      </c>
      <c r="C23" s="41" t="s">
        <v>768</v>
      </c>
      <c r="D23" s="41" t="s">
        <v>769</v>
      </c>
      <c r="E23" s="42"/>
      <c r="F23" s="41">
        <v>10.0</v>
      </c>
      <c r="G23" s="42"/>
      <c r="H23" s="41">
        <v>1000.0</v>
      </c>
      <c r="I23" s="42"/>
      <c r="J23" s="41" t="s">
        <v>770</v>
      </c>
      <c r="K23" s="41" t="s">
        <v>714</v>
      </c>
      <c r="L23" s="42"/>
      <c r="M23" s="42"/>
      <c r="N23" s="42"/>
      <c r="O23" s="42"/>
      <c r="P23" s="42"/>
      <c r="Q23" s="42"/>
      <c r="R23" s="42"/>
      <c r="S23" s="42"/>
      <c r="T23" s="42"/>
      <c r="U23" s="42"/>
      <c r="V23" s="42"/>
      <c r="W23" s="42"/>
      <c r="X23" s="42"/>
      <c r="Y23" s="42"/>
      <c r="Z23" s="42"/>
      <c r="AA23" s="42"/>
      <c r="AB23" s="42"/>
      <c r="AC23" s="42"/>
      <c r="AD23" s="42"/>
    </row>
    <row r="24">
      <c r="A24" s="40">
        <v>44615.0</v>
      </c>
      <c r="B24" s="41" t="s">
        <v>771</v>
      </c>
      <c r="C24" s="41" t="s">
        <v>772</v>
      </c>
      <c r="D24" s="41" t="s">
        <v>58</v>
      </c>
      <c r="E24" s="42"/>
      <c r="F24" s="41">
        <v>10.0</v>
      </c>
      <c r="G24" s="42"/>
      <c r="H24" s="41">
        <v>240.0</v>
      </c>
      <c r="I24" s="42"/>
      <c r="J24" s="41" t="s">
        <v>729</v>
      </c>
      <c r="K24" s="41" t="s">
        <v>773</v>
      </c>
      <c r="L24" s="42"/>
      <c r="M24" s="42"/>
      <c r="N24" s="42"/>
      <c r="O24" s="42"/>
      <c r="P24" s="42"/>
      <c r="Q24" s="42"/>
      <c r="R24" s="42"/>
      <c r="S24" s="42"/>
      <c r="T24" s="42"/>
      <c r="U24" s="42"/>
      <c r="V24" s="42"/>
      <c r="W24" s="42"/>
      <c r="X24" s="42"/>
      <c r="Y24" s="42"/>
      <c r="Z24" s="42"/>
      <c r="AA24" s="42"/>
      <c r="AB24" s="42"/>
      <c r="AC24" s="42"/>
      <c r="AD24" s="42"/>
    </row>
    <row r="25">
      <c r="A25" s="40">
        <v>44650.0</v>
      </c>
      <c r="B25" s="41" t="s">
        <v>774</v>
      </c>
      <c r="C25" s="41" t="s">
        <v>775</v>
      </c>
      <c r="D25" s="41" t="s">
        <v>776</v>
      </c>
      <c r="E25" s="41">
        <v>1.0</v>
      </c>
      <c r="F25" s="41">
        <v>10.0</v>
      </c>
      <c r="G25" s="42"/>
      <c r="H25" s="41">
        <v>1250.0</v>
      </c>
      <c r="I25" s="42"/>
      <c r="J25" s="41" t="s">
        <v>777</v>
      </c>
      <c r="K25" s="41" t="s">
        <v>778</v>
      </c>
      <c r="L25" s="41" t="s">
        <v>779</v>
      </c>
      <c r="M25" s="42"/>
      <c r="N25" s="42"/>
      <c r="O25" s="42"/>
      <c r="P25" s="42"/>
      <c r="Q25" s="42"/>
      <c r="R25" s="42"/>
      <c r="S25" s="42"/>
      <c r="T25" s="42"/>
      <c r="U25" s="42"/>
      <c r="V25" s="42"/>
      <c r="W25" s="42"/>
      <c r="X25" s="42"/>
      <c r="Y25" s="42"/>
      <c r="Z25" s="42"/>
      <c r="AA25" s="42"/>
      <c r="AB25" s="42"/>
      <c r="AC25" s="42"/>
      <c r="AD25" s="4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6.13"/>
    <col customWidth="1" min="5" max="6" width="7.5"/>
    <col customWidth="1" min="7" max="7" width="7.38"/>
    <col customWidth="1" min="8" max="8" width="7.63"/>
    <col customWidth="1" min="9" max="9" width="7.5"/>
    <col customWidth="1" min="10" max="10" width="24.13"/>
    <col customWidth="1" min="11" max="11" width="21.63"/>
    <col customWidth="1" min="12" max="12" width="23.5"/>
    <col customWidth="1" min="13" max="13" width="28.63"/>
    <col customWidth="1" min="14" max="14" width="6.63"/>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27.5"/>
    <col customWidth="1" min="23" max="23" width="25.38"/>
    <col customWidth="1" min="24" max="24" width="25.63"/>
    <col customWidth="1" min="25" max="25" width="25.88"/>
  </cols>
  <sheetData>
    <row r="1">
      <c r="A1" s="1" t="s">
        <v>780</v>
      </c>
    </row>
    <row r="2">
      <c r="A2" s="2" t="s">
        <v>781</v>
      </c>
      <c r="B2" s="2" t="s">
        <v>782</v>
      </c>
      <c r="C2" s="3" t="s">
        <v>3</v>
      </c>
      <c r="D2" s="4" t="s">
        <v>4</v>
      </c>
      <c r="E2" s="5">
        <f>SUM(E11:E100)+5</f>
        <v>16</v>
      </c>
      <c r="F2" s="6"/>
      <c r="J2" s="7" t="s">
        <v>5</v>
      </c>
      <c r="K2" s="8" t="s">
        <v>6</v>
      </c>
      <c r="L2" s="8" t="s">
        <v>7</v>
      </c>
      <c r="M2" s="8" t="s">
        <v>8</v>
      </c>
      <c r="O2" s="9" t="s">
        <v>9</v>
      </c>
      <c r="P2" s="10"/>
      <c r="Q2" s="11"/>
      <c r="R2" s="11"/>
      <c r="S2" s="11"/>
      <c r="T2" s="12"/>
      <c r="V2" s="9" t="s">
        <v>10</v>
      </c>
      <c r="W2" s="13"/>
      <c r="X2" s="14"/>
    </row>
    <row r="3">
      <c r="A3" s="2" t="s">
        <v>783</v>
      </c>
      <c r="C3" s="15"/>
      <c r="D3" s="16" t="s">
        <v>12</v>
      </c>
      <c r="E3" s="17">
        <f>SUM(H14:H100)+15-SUM(I14:I100)</f>
        <v>9848</v>
      </c>
      <c r="F3" s="18"/>
      <c r="K3" s="34" t="s">
        <v>784</v>
      </c>
      <c r="L3" s="74" t="s">
        <v>785</v>
      </c>
      <c r="M3" s="20"/>
      <c r="O3" s="21">
        <v>1.0</v>
      </c>
      <c r="P3" s="21" t="s">
        <v>290</v>
      </c>
      <c r="Q3" s="22"/>
      <c r="R3" s="22"/>
      <c r="S3" s="21"/>
      <c r="T3" s="21"/>
      <c r="V3" s="74" t="s">
        <v>259</v>
      </c>
      <c r="W3" s="24"/>
      <c r="X3" s="25"/>
    </row>
    <row r="4">
      <c r="C4" s="26"/>
      <c r="D4" s="27" t="s">
        <v>15</v>
      </c>
      <c r="E4" s="28">
        <f>SUM(F14:F100)-SUM(G14:G100)</f>
        <v>65</v>
      </c>
      <c r="F4" s="29"/>
      <c r="K4" s="33" t="s">
        <v>786</v>
      </c>
      <c r="L4" s="78" t="s">
        <v>787</v>
      </c>
      <c r="M4" s="31"/>
      <c r="O4" s="32">
        <v>1.0</v>
      </c>
      <c r="P4" s="32" t="s">
        <v>788</v>
      </c>
      <c r="Q4" s="32"/>
      <c r="R4" s="32"/>
      <c r="S4" s="31"/>
      <c r="T4" s="31"/>
      <c r="V4" s="33"/>
      <c r="W4" s="30"/>
      <c r="X4" s="31"/>
    </row>
    <row r="5">
      <c r="K5" s="68" t="s">
        <v>789</v>
      </c>
      <c r="L5" s="34" t="s">
        <v>511</v>
      </c>
      <c r="M5" s="20"/>
      <c r="O5" s="35">
        <v>1.0</v>
      </c>
      <c r="P5" s="35" t="s">
        <v>790</v>
      </c>
      <c r="Q5" s="35"/>
      <c r="R5" s="35"/>
      <c r="S5" s="20"/>
      <c r="T5" s="20"/>
      <c r="V5" s="34"/>
      <c r="W5" s="20"/>
      <c r="X5" s="20"/>
    </row>
    <row r="6">
      <c r="M6" s="31"/>
      <c r="O6" s="32"/>
      <c r="P6" s="32"/>
      <c r="Q6" s="32"/>
      <c r="R6" s="32"/>
      <c r="S6" s="31"/>
      <c r="T6" s="31"/>
      <c r="V6" s="33"/>
      <c r="W6" s="31"/>
      <c r="X6" s="31"/>
    </row>
    <row r="7">
      <c r="O7" s="35"/>
      <c r="P7" s="35"/>
      <c r="Q7" s="36"/>
      <c r="R7" s="36"/>
      <c r="S7" s="20"/>
      <c r="T7" s="20"/>
      <c r="V7" s="34"/>
      <c r="W7" s="20"/>
      <c r="X7" s="20"/>
    </row>
    <row r="8">
      <c r="J8" s="7" t="s">
        <v>17</v>
      </c>
      <c r="K8" s="68" t="s">
        <v>789</v>
      </c>
      <c r="L8" s="34" t="s">
        <v>511</v>
      </c>
      <c r="M8" s="20"/>
      <c r="O8" s="32"/>
      <c r="P8" s="32"/>
      <c r="Q8" s="32"/>
      <c r="R8" s="32"/>
      <c r="S8" s="31"/>
      <c r="T8" s="31"/>
      <c r="V8" s="33"/>
      <c r="W8" s="31"/>
      <c r="X8" s="31"/>
    </row>
    <row r="9">
      <c r="O9" s="35"/>
      <c r="P9" s="35"/>
      <c r="Q9" s="35"/>
      <c r="R9" s="35"/>
      <c r="S9" s="20"/>
      <c r="T9" s="20"/>
      <c r="V9" s="19"/>
      <c r="W9" s="20"/>
      <c r="X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O10" s="38"/>
      <c r="V10" s="38"/>
      <c r="W10" s="38"/>
      <c r="X10" s="38"/>
      <c r="Y10" s="38"/>
      <c r="Z10" s="38"/>
      <c r="AA10" s="38"/>
      <c r="AB10" s="38"/>
      <c r="AC10" s="38"/>
      <c r="AD10" s="38"/>
    </row>
    <row r="11">
      <c r="A11" s="40">
        <v>45616.0</v>
      </c>
      <c r="B11" s="41"/>
      <c r="C11" s="41" t="s">
        <v>238</v>
      </c>
      <c r="D11" s="41"/>
      <c r="E11" s="41">
        <v>8.0</v>
      </c>
      <c r="F11" s="41"/>
      <c r="G11" s="41"/>
      <c r="H11" s="42"/>
      <c r="I11" s="41"/>
      <c r="J11" s="41"/>
      <c r="K11" s="41"/>
      <c r="L11" s="42"/>
      <c r="M11" s="41"/>
      <c r="N11" s="42"/>
      <c r="O11" s="42"/>
      <c r="P11" s="42"/>
      <c r="Q11" s="42"/>
      <c r="R11" s="42"/>
      <c r="S11" s="42"/>
      <c r="T11" s="42"/>
      <c r="U11" s="42"/>
      <c r="V11" s="42"/>
      <c r="W11" s="42"/>
      <c r="X11" s="42"/>
      <c r="Y11" s="42"/>
      <c r="Z11" s="42"/>
      <c r="AA11" s="42"/>
      <c r="AB11" s="42"/>
      <c r="AC11" s="42"/>
      <c r="AD11" s="42"/>
    </row>
    <row r="12">
      <c r="A12" s="40">
        <v>45616.0</v>
      </c>
      <c r="B12" s="41"/>
      <c r="C12" s="41" t="s">
        <v>238</v>
      </c>
      <c r="D12" s="41"/>
      <c r="E12" s="41"/>
      <c r="F12" s="41"/>
      <c r="G12" s="41"/>
      <c r="H12" s="41"/>
      <c r="I12" s="41"/>
      <c r="J12" s="41" t="s">
        <v>787</v>
      </c>
      <c r="K12" s="42"/>
      <c r="L12" s="42"/>
      <c r="M12" s="42"/>
      <c r="N12" s="42"/>
      <c r="O12" s="42"/>
      <c r="P12" s="42"/>
      <c r="Q12" s="42"/>
      <c r="R12" s="42"/>
      <c r="S12" s="42"/>
      <c r="T12" s="42"/>
      <c r="U12" s="42"/>
      <c r="V12" s="42"/>
      <c r="W12" s="42"/>
      <c r="X12" s="42"/>
      <c r="Y12" s="42"/>
      <c r="Z12" s="42"/>
      <c r="AA12" s="42"/>
      <c r="AB12" s="42"/>
      <c r="AC12" s="42"/>
      <c r="AD12" s="42"/>
    </row>
    <row r="13">
      <c r="A13" s="40">
        <v>45616.0</v>
      </c>
      <c r="B13" s="41"/>
      <c r="C13" s="41" t="s">
        <v>238</v>
      </c>
      <c r="D13" s="41"/>
      <c r="E13" s="41"/>
      <c r="F13" s="41"/>
      <c r="G13" s="41"/>
      <c r="H13" s="42"/>
      <c r="I13" s="41"/>
      <c r="J13" s="41" t="s">
        <v>791</v>
      </c>
      <c r="K13" s="41"/>
      <c r="L13" s="42"/>
      <c r="M13" s="42"/>
      <c r="N13" s="42"/>
      <c r="O13" s="42"/>
      <c r="P13" s="42"/>
      <c r="Q13" s="42"/>
      <c r="R13" s="42"/>
      <c r="S13" s="42"/>
      <c r="T13" s="42"/>
      <c r="U13" s="42"/>
      <c r="V13" s="42"/>
      <c r="W13" s="42"/>
      <c r="X13" s="42"/>
      <c r="Y13" s="42"/>
      <c r="Z13" s="42"/>
      <c r="AA13" s="42"/>
      <c r="AB13" s="42"/>
      <c r="AC13" s="42"/>
      <c r="AD13" s="42"/>
    </row>
    <row r="14">
      <c r="A14" s="40">
        <v>45616.0</v>
      </c>
      <c r="B14" s="41" t="s">
        <v>792</v>
      </c>
      <c r="C14" s="41" t="s">
        <v>238</v>
      </c>
      <c r="D14" s="41"/>
      <c r="E14" s="41">
        <v>1.0</v>
      </c>
      <c r="F14" s="41">
        <v>10.0</v>
      </c>
      <c r="G14" s="42"/>
      <c r="H14" s="41">
        <v>1000.0</v>
      </c>
      <c r="I14" s="42"/>
      <c r="J14" s="41" t="s">
        <v>793</v>
      </c>
      <c r="K14" s="41"/>
      <c r="L14" s="42"/>
      <c r="M14" s="42"/>
      <c r="N14" s="41"/>
      <c r="O14" s="42"/>
      <c r="P14" s="42"/>
      <c r="Q14" s="42"/>
      <c r="R14" s="42"/>
      <c r="S14" s="42"/>
      <c r="T14" s="42"/>
      <c r="U14" s="42"/>
      <c r="V14" s="42"/>
      <c r="W14" s="42"/>
      <c r="X14" s="42"/>
      <c r="Y14" s="42"/>
      <c r="Z14" s="42"/>
      <c r="AA14" s="42"/>
      <c r="AB14" s="42"/>
      <c r="AC14" s="42"/>
      <c r="AD14" s="42"/>
    </row>
    <row r="15">
      <c r="A15" s="40">
        <v>45616.0</v>
      </c>
      <c r="B15" s="41"/>
      <c r="C15" s="41" t="s">
        <v>238</v>
      </c>
      <c r="D15" s="41"/>
      <c r="E15" s="41">
        <v>1.0</v>
      </c>
      <c r="F15" s="41">
        <v>20.0</v>
      </c>
      <c r="G15" s="41"/>
      <c r="H15" s="42"/>
      <c r="I15" s="41"/>
      <c r="J15" s="41" t="s">
        <v>628</v>
      </c>
      <c r="K15" s="41"/>
      <c r="L15" s="42"/>
      <c r="M15" s="42"/>
      <c r="N15" s="42"/>
      <c r="O15" s="42"/>
      <c r="P15" s="42"/>
      <c r="Q15" s="42"/>
      <c r="R15" s="42"/>
      <c r="S15" s="42"/>
      <c r="T15" s="42"/>
      <c r="U15" s="42"/>
      <c r="V15" s="42"/>
      <c r="W15" s="42"/>
      <c r="X15" s="42"/>
      <c r="Y15" s="42"/>
      <c r="Z15" s="42"/>
      <c r="AA15" s="42"/>
      <c r="AB15" s="42"/>
      <c r="AC15" s="42"/>
      <c r="AD15" s="42"/>
    </row>
    <row r="16">
      <c r="A16" s="40">
        <v>45616.0</v>
      </c>
      <c r="B16" s="41"/>
      <c r="C16" s="41" t="s">
        <v>238</v>
      </c>
      <c r="D16" s="41"/>
      <c r="E16" s="41">
        <v>1.0</v>
      </c>
      <c r="F16" s="41">
        <v>20.0</v>
      </c>
      <c r="G16" s="41"/>
      <c r="H16" s="42"/>
      <c r="I16" s="41"/>
      <c r="J16" s="41" t="s">
        <v>363</v>
      </c>
      <c r="K16" s="41"/>
      <c r="L16" s="42"/>
      <c r="M16" s="41"/>
      <c r="N16" s="42"/>
      <c r="O16" s="42"/>
      <c r="P16" s="42"/>
      <c r="Q16" s="42"/>
      <c r="R16" s="42"/>
      <c r="S16" s="42"/>
      <c r="T16" s="42"/>
      <c r="U16" s="42"/>
      <c r="V16" s="42"/>
      <c r="W16" s="42"/>
      <c r="X16" s="42"/>
      <c r="Y16" s="42"/>
      <c r="Z16" s="42"/>
      <c r="AA16" s="42"/>
      <c r="AB16" s="42"/>
      <c r="AC16" s="42"/>
      <c r="AD16" s="42"/>
    </row>
    <row r="17">
      <c r="A17" s="40">
        <v>45616.0</v>
      </c>
      <c r="B17" s="41"/>
      <c r="C17" s="41" t="s">
        <v>40</v>
      </c>
      <c r="D17" s="41"/>
      <c r="E17" s="41"/>
      <c r="F17" s="41"/>
      <c r="G17" s="41">
        <v>5.0</v>
      </c>
      <c r="H17" s="42"/>
      <c r="I17" s="41"/>
      <c r="J17" s="41" t="s">
        <v>380</v>
      </c>
      <c r="K17" s="41"/>
      <c r="L17" s="42"/>
      <c r="M17" s="41" t="s">
        <v>794</v>
      </c>
      <c r="N17" s="42"/>
      <c r="O17" s="42"/>
      <c r="P17" s="42"/>
      <c r="Q17" s="42"/>
      <c r="R17" s="42"/>
      <c r="S17" s="42"/>
      <c r="T17" s="42"/>
      <c r="U17" s="42"/>
      <c r="V17" s="42"/>
      <c r="W17" s="42"/>
      <c r="X17" s="42"/>
      <c r="Y17" s="42"/>
      <c r="Z17" s="42"/>
      <c r="AA17" s="42"/>
      <c r="AB17" s="42"/>
      <c r="AC17" s="42"/>
      <c r="AD17" s="42"/>
    </row>
    <row r="18">
      <c r="A18" s="40">
        <v>45616.0</v>
      </c>
      <c r="B18" s="42"/>
      <c r="C18" s="41" t="s">
        <v>40</v>
      </c>
      <c r="D18" s="41"/>
      <c r="E18" s="42"/>
      <c r="F18" s="42"/>
      <c r="G18" s="41">
        <v>5.0</v>
      </c>
      <c r="H18" s="41"/>
      <c r="I18" s="42"/>
      <c r="J18" s="41" t="s">
        <v>795</v>
      </c>
      <c r="K18" s="41"/>
      <c r="L18" s="42"/>
      <c r="M18" s="41" t="s">
        <v>796</v>
      </c>
      <c r="N18" s="41"/>
      <c r="O18" s="42"/>
      <c r="P18" s="42"/>
      <c r="Q18" s="42"/>
      <c r="R18" s="42"/>
      <c r="S18" s="42"/>
      <c r="T18" s="42"/>
      <c r="U18" s="42"/>
      <c r="V18" s="42"/>
      <c r="W18" s="42"/>
      <c r="X18" s="42"/>
      <c r="Y18" s="42"/>
      <c r="Z18" s="42"/>
      <c r="AA18" s="42"/>
      <c r="AB18" s="42"/>
      <c r="AC18" s="42"/>
      <c r="AD18" s="42"/>
    </row>
    <row r="19">
      <c r="A19" s="40">
        <v>45616.0</v>
      </c>
      <c r="B19" s="42"/>
      <c r="C19" s="41" t="s">
        <v>40</v>
      </c>
      <c r="D19" s="41"/>
      <c r="E19" s="41"/>
      <c r="F19" s="41"/>
      <c r="G19" s="41">
        <v>5.0</v>
      </c>
      <c r="H19" s="42"/>
      <c r="I19" s="41"/>
      <c r="J19" s="41" t="s">
        <v>785</v>
      </c>
      <c r="K19" s="42"/>
      <c r="L19" s="42"/>
      <c r="M19" s="41" t="s">
        <v>797</v>
      </c>
      <c r="N19" s="42"/>
      <c r="O19" s="42"/>
      <c r="P19" s="42"/>
      <c r="Q19" s="42"/>
      <c r="R19" s="42"/>
      <c r="S19" s="42"/>
      <c r="T19" s="42"/>
      <c r="U19" s="42"/>
      <c r="V19" s="42"/>
      <c r="W19" s="42"/>
      <c r="X19" s="42"/>
      <c r="Y19" s="42"/>
      <c r="Z19" s="42"/>
      <c r="AA19" s="42"/>
      <c r="AB19" s="42"/>
      <c r="AC19" s="42"/>
      <c r="AD19" s="42"/>
    </row>
    <row r="20">
      <c r="A20" s="39">
        <v>45616.0</v>
      </c>
      <c r="B20" s="2" t="s">
        <v>798</v>
      </c>
      <c r="C20" s="2" t="s">
        <v>799</v>
      </c>
      <c r="D20" s="2" t="s">
        <v>226</v>
      </c>
      <c r="F20" s="2">
        <v>10.0</v>
      </c>
      <c r="H20" s="2">
        <v>8833.0</v>
      </c>
      <c r="J20" s="2" t="s">
        <v>259</v>
      </c>
      <c r="K20" s="2" t="s">
        <v>800</v>
      </c>
    </row>
    <row r="21">
      <c r="A21" s="39">
        <v>45668.0</v>
      </c>
      <c r="B21" s="107" t="s">
        <v>801</v>
      </c>
      <c r="C21" s="2" t="s">
        <v>802</v>
      </c>
      <c r="D21" s="2" t="s">
        <v>803</v>
      </c>
      <c r="F21" s="2">
        <v>10.0</v>
      </c>
      <c r="J21" s="108" t="s">
        <v>804</v>
      </c>
      <c r="K21" s="109"/>
    </row>
    <row r="22">
      <c r="A22" s="103">
        <v>45742.0</v>
      </c>
      <c r="B22" s="2" t="s">
        <v>805</v>
      </c>
      <c r="C22" s="2" t="s">
        <v>806</v>
      </c>
      <c r="D22" s="2" t="s">
        <v>226</v>
      </c>
      <c r="F22" s="2">
        <v>10.0</v>
      </c>
      <c r="J22" s="110" t="s">
        <v>807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20.13"/>
    <col customWidth="1" min="3" max="3" width="25.5"/>
    <col customWidth="1" min="4" max="4" width="13.0"/>
    <col customWidth="1" min="5" max="6" width="7.5"/>
    <col customWidth="1" min="7" max="7" width="7.38"/>
    <col customWidth="1" min="8" max="8" width="6.38"/>
    <col customWidth="1" min="9" max="9" width="7.5"/>
    <col customWidth="1" min="10" max="10" width="6.75"/>
    <col customWidth="1" min="11" max="11" width="21.63"/>
    <col customWidth="1" min="12" max="12" width="23.5"/>
    <col customWidth="1" min="13" max="13" width="21.88"/>
    <col customWidth="1" min="14" max="14" width="24.63"/>
    <col customWidth="1" min="15" max="15" width="5.88"/>
    <col customWidth="1" min="16" max="16" width="24.5"/>
    <col customWidth="1" min="17" max="17" width="5.25"/>
    <col customWidth="1" min="18" max="18" width="25.38"/>
    <col customWidth="1" min="19" max="19" width="5.88"/>
    <col customWidth="1" min="20" max="20" width="20.5"/>
    <col customWidth="1" min="21" max="21" width="6.25"/>
  </cols>
  <sheetData>
    <row r="1">
      <c r="A1" s="1" t="s">
        <v>808</v>
      </c>
    </row>
    <row r="2">
      <c r="A2" s="2" t="s">
        <v>809</v>
      </c>
      <c r="B2" s="2" t="s">
        <v>810</v>
      </c>
      <c r="C2" s="3" t="s">
        <v>3</v>
      </c>
      <c r="D2" s="4" t="s">
        <v>4</v>
      </c>
      <c r="E2" s="5">
        <f>SUM(F11:F104)+1</f>
        <v>16</v>
      </c>
      <c r="F2" s="6"/>
      <c r="K2" s="7" t="s">
        <v>5</v>
      </c>
      <c r="L2" s="8" t="s">
        <v>6</v>
      </c>
      <c r="M2" s="8" t="s">
        <v>7</v>
      </c>
      <c r="N2" s="8" t="s">
        <v>8</v>
      </c>
      <c r="P2" s="9" t="s">
        <v>9</v>
      </c>
      <c r="Q2" s="10"/>
      <c r="R2" s="11"/>
      <c r="S2" s="11"/>
      <c r="T2" s="11"/>
      <c r="U2" s="12"/>
    </row>
    <row r="3">
      <c r="A3" s="2" t="s">
        <v>811</v>
      </c>
      <c r="C3" s="15"/>
      <c r="D3" s="16" t="s">
        <v>12</v>
      </c>
      <c r="E3" s="17">
        <f>SUM(I11:I104)+15-SUM(J11:J104)</f>
        <v>8869</v>
      </c>
      <c r="F3" s="18"/>
      <c r="L3" s="74" t="s">
        <v>716</v>
      </c>
      <c r="M3" s="74" t="s">
        <v>812</v>
      </c>
      <c r="N3" s="20"/>
      <c r="P3" s="21" t="s">
        <v>813</v>
      </c>
      <c r="Q3" s="21">
        <v>1.0</v>
      </c>
      <c r="R3" s="22"/>
      <c r="S3" s="22"/>
      <c r="T3" s="21"/>
      <c r="U3" s="21"/>
    </row>
    <row r="4">
      <c r="A4" s="2" t="s">
        <v>814</v>
      </c>
      <c r="C4" s="26"/>
      <c r="D4" s="27" t="s">
        <v>15</v>
      </c>
      <c r="E4" s="28">
        <f>SUM(G11:G104)-SUM(H11:H104)</f>
        <v>207</v>
      </c>
      <c r="F4" s="29"/>
      <c r="L4" s="78" t="s">
        <v>815</v>
      </c>
      <c r="M4" s="111"/>
      <c r="N4" s="31"/>
      <c r="P4" s="32"/>
      <c r="Q4" s="32"/>
      <c r="R4" s="32"/>
      <c r="S4" s="32"/>
      <c r="T4" s="31"/>
      <c r="U4" s="31"/>
    </row>
    <row r="5">
      <c r="L5" s="74" t="s">
        <v>816</v>
      </c>
      <c r="M5" s="68" t="s">
        <v>479</v>
      </c>
      <c r="N5" s="20"/>
      <c r="P5" s="35"/>
      <c r="Q5" s="35"/>
      <c r="R5" s="35"/>
      <c r="S5" s="35"/>
      <c r="T5" s="20"/>
      <c r="U5" s="20"/>
    </row>
    <row r="6">
      <c r="N6" s="31"/>
      <c r="P6" s="32"/>
      <c r="Q6" s="32"/>
      <c r="R6" s="32"/>
      <c r="S6" s="32"/>
      <c r="T6" s="31"/>
      <c r="U6" s="31"/>
    </row>
    <row r="7">
      <c r="P7" s="35"/>
      <c r="Q7" s="35"/>
      <c r="R7" s="36"/>
      <c r="S7" s="36"/>
      <c r="T7" s="20"/>
      <c r="U7" s="20"/>
    </row>
    <row r="8">
      <c r="K8" s="7" t="s">
        <v>17</v>
      </c>
      <c r="L8" s="74" t="s">
        <v>816</v>
      </c>
      <c r="M8" s="74" t="s">
        <v>716</v>
      </c>
      <c r="N8" s="19"/>
      <c r="P8" s="32"/>
      <c r="Q8" s="32"/>
      <c r="R8" s="32"/>
      <c r="S8" s="32"/>
      <c r="T8" s="31"/>
      <c r="U8" s="31"/>
    </row>
    <row r="9">
      <c r="P9" s="35"/>
      <c r="Q9" s="35"/>
      <c r="R9" s="35"/>
      <c r="S9" s="35"/>
      <c r="T9" s="20"/>
      <c r="U9" s="20"/>
    </row>
    <row r="10">
      <c r="A10" s="37" t="s">
        <v>18</v>
      </c>
      <c r="B10" s="37" t="s">
        <v>19</v>
      </c>
      <c r="C10" s="37" t="s">
        <v>20</v>
      </c>
      <c r="D10" s="37" t="s">
        <v>21</v>
      </c>
      <c r="E10" s="37" t="s">
        <v>399</v>
      </c>
      <c r="F10" s="37" t="s">
        <v>22</v>
      </c>
      <c r="G10" s="37" t="s">
        <v>23</v>
      </c>
      <c r="H10" s="37" t="s">
        <v>24</v>
      </c>
      <c r="I10" s="37" t="s">
        <v>25</v>
      </c>
      <c r="J10" s="37" t="s">
        <v>26</v>
      </c>
      <c r="K10" s="37" t="s">
        <v>27</v>
      </c>
      <c r="L10" s="37" t="s">
        <v>28</v>
      </c>
      <c r="M10" s="37" t="s">
        <v>29</v>
      </c>
      <c r="N10" s="37" t="s">
        <v>30</v>
      </c>
      <c r="O10" s="38"/>
      <c r="V10" s="38"/>
      <c r="W10" s="38"/>
      <c r="X10" s="38"/>
      <c r="Y10" s="38"/>
      <c r="Z10" s="38"/>
      <c r="AA10" s="38"/>
      <c r="AB10" s="38"/>
      <c r="AC10" s="38"/>
      <c r="AD10" s="38"/>
    </row>
    <row r="11">
      <c r="A11" s="39">
        <v>44281.0</v>
      </c>
      <c r="C11" s="2" t="s">
        <v>283</v>
      </c>
      <c r="F11" s="2">
        <v>2.0</v>
      </c>
      <c r="G11" s="2">
        <v>20.0</v>
      </c>
      <c r="I11" s="2">
        <v>160.0</v>
      </c>
    </row>
    <row r="12">
      <c r="A12" s="39">
        <v>44281.0</v>
      </c>
      <c r="B12" s="2" t="s">
        <v>817</v>
      </c>
      <c r="C12" s="2" t="s">
        <v>818</v>
      </c>
      <c r="D12" s="2" t="s">
        <v>37</v>
      </c>
      <c r="E12" s="2">
        <v>4.0</v>
      </c>
      <c r="F12" s="2">
        <v>1.0</v>
      </c>
      <c r="G12" s="2">
        <v>10.0</v>
      </c>
      <c r="I12" s="2">
        <v>80.0</v>
      </c>
      <c r="K12" s="2" t="s">
        <v>819</v>
      </c>
    </row>
    <row r="13">
      <c r="A13" s="39">
        <v>44288.0</v>
      </c>
      <c r="B13" s="2"/>
      <c r="C13" s="2" t="s">
        <v>238</v>
      </c>
      <c r="D13" s="2"/>
      <c r="K13" s="2" t="s">
        <v>820</v>
      </c>
    </row>
    <row r="14">
      <c r="A14" s="39">
        <v>44288.0</v>
      </c>
      <c r="B14" s="2" t="s">
        <v>821</v>
      </c>
      <c r="C14" s="2" t="s">
        <v>822</v>
      </c>
      <c r="D14" s="2" t="s">
        <v>37</v>
      </c>
      <c r="E14" s="2">
        <v>4.0</v>
      </c>
      <c r="F14" s="2">
        <v>1.0</v>
      </c>
      <c r="G14" s="2">
        <v>20.0</v>
      </c>
      <c r="I14" s="2">
        <v>60.0</v>
      </c>
      <c r="J14" s="2">
        <v>34.0</v>
      </c>
      <c r="K14" s="2" t="s">
        <v>823</v>
      </c>
    </row>
    <row r="15" hidden="1">
      <c r="A15" s="39"/>
      <c r="B15" s="2"/>
      <c r="C15" s="2"/>
      <c r="D15" s="2"/>
      <c r="E15" s="2"/>
      <c r="F15" s="2"/>
      <c r="I15" s="2"/>
      <c r="J15" s="2"/>
      <c r="K15" s="2"/>
    </row>
    <row r="16">
      <c r="A16" s="40">
        <v>44323.0</v>
      </c>
      <c r="B16" s="41"/>
      <c r="C16" s="41" t="s">
        <v>238</v>
      </c>
      <c r="D16" s="41"/>
      <c r="E16" s="41"/>
      <c r="F16" s="41">
        <v>1.0</v>
      </c>
      <c r="G16" s="41">
        <v>20.0</v>
      </c>
      <c r="H16" s="41"/>
      <c r="I16" s="41">
        <v>240.0</v>
      </c>
      <c r="J16" s="41"/>
      <c r="K16" s="41"/>
      <c r="L16" s="42"/>
      <c r="M16" s="42"/>
      <c r="N16" s="41"/>
      <c r="O16" s="42"/>
      <c r="P16" s="42"/>
      <c r="Q16" s="42"/>
      <c r="R16" s="42"/>
      <c r="S16" s="42"/>
      <c r="T16" s="42"/>
      <c r="U16" s="42"/>
      <c r="V16" s="42"/>
      <c r="W16" s="42"/>
      <c r="X16" s="42"/>
      <c r="Y16" s="42"/>
      <c r="Z16" s="42"/>
      <c r="AA16" s="42"/>
      <c r="AB16" s="42"/>
      <c r="AC16" s="42"/>
      <c r="AD16" s="42"/>
    </row>
    <row r="17">
      <c r="A17" s="40">
        <v>44323.0</v>
      </c>
      <c r="B17" s="41" t="s">
        <v>824</v>
      </c>
      <c r="C17" s="41" t="s">
        <v>825</v>
      </c>
      <c r="D17" s="41" t="s">
        <v>37</v>
      </c>
      <c r="E17" s="41">
        <v>4.0</v>
      </c>
      <c r="F17" s="41">
        <v>0.0</v>
      </c>
      <c r="G17" s="42"/>
      <c r="H17" s="41"/>
      <c r="I17" s="41">
        <v>120.0</v>
      </c>
      <c r="J17" s="42"/>
      <c r="K17" s="41" t="s">
        <v>826</v>
      </c>
      <c r="L17" s="42"/>
      <c r="M17" s="41"/>
      <c r="N17" s="41"/>
      <c r="O17" s="42"/>
      <c r="P17" s="42"/>
      <c r="Q17" s="42"/>
      <c r="R17" s="42"/>
      <c r="S17" s="42"/>
      <c r="T17" s="42"/>
      <c r="U17" s="42"/>
      <c r="V17" s="42"/>
      <c r="W17" s="42"/>
      <c r="X17" s="42"/>
      <c r="Y17" s="42"/>
      <c r="Z17" s="42"/>
      <c r="AA17" s="42"/>
      <c r="AB17" s="42"/>
      <c r="AC17" s="42"/>
      <c r="AD17" s="42"/>
    </row>
    <row r="18">
      <c r="A18" s="40">
        <v>44330.0</v>
      </c>
      <c r="B18" s="43" t="s">
        <v>827</v>
      </c>
      <c r="C18" s="41" t="s">
        <v>828</v>
      </c>
      <c r="D18" s="41" t="s">
        <v>37</v>
      </c>
      <c r="E18" s="41">
        <v>5.0</v>
      </c>
      <c r="F18" s="41">
        <v>0.0</v>
      </c>
      <c r="G18" s="41"/>
      <c r="H18" s="42"/>
      <c r="I18" s="41">
        <v>120.0</v>
      </c>
      <c r="J18" s="42"/>
      <c r="K18" s="42"/>
      <c r="L18" s="42"/>
      <c r="M18" s="42"/>
      <c r="N18" s="42"/>
      <c r="O18" s="42"/>
      <c r="P18" s="42"/>
      <c r="Q18" s="42"/>
      <c r="R18" s="42"/>
      <c r="S18" s="42"/>
      <c r="T18" s="42"/>
      <c r="U18" s="42"/>
      <c r="V18" s="42"/>
      <c r="W18" s="42"/>
      <c r="X18" s="42"/>
      <c r="Y18" s="42"/>
      <c r="Z18" s="42"/>
      <c r="AA18" s="42"/>
      <c r="AB18" s="42"/>
      <c r="AC18" s="42"/>
      <c r="AD18" s="42"/>
    </row>
    <row r="19">
      <c r="A19" s="40">
        <v>44337.0</v>
      </c>
      <c r="B19" s="43" t="s">
        <v>829</v>
      </c>
      <c r="C19" s="41" t="s">
        <v>828</v>
      </c>
      <c r="D19" s="41" t="s">
        <v>37</v>
      </c>
      <c r="E19" s="41">
        <v>2.0</v>
      </c>
      <c r="F19" s="41">
        <v>1.0</v>
      </c>
      <c r="G19" s="41">
        <v>20.0</v>
      </c>
      <c r="H19" s="42"/>
      <c r="I19" s="41"/>
      <c r="J19" s="42"/>
      <c r="K19" s="41" t="s">
        <v>830</v>
      </c>
      <c r="L19" s="42"/>
      <c r="M19" s="42"/>
      <c r="N19" s="41" t="s">
        <v>831</v>
      </c>
      <c r="O19" s="42"/>
      <c r="P19" s="42"/>
      <c r="Q19" s="42"/>
      <c r="R19" s="42"/>
      <c r="S19" s="42"/>
      <c r="T19" s="42"/>
      <c r="U19" s="42"/>
      <c r="V19" s="42"/>
      <c r="W19" s="42"/>
      <c r="X19" s="42"/>
      <c r="Y19" s="42"/>
      <c r="Z19" s="42"/>
      <c r="AA19" s="42"/>
      <c r="AB19" s="42"/>
      <c r="AC19" s="42"/>
      <c r="AD19" s="42"/>
    </row>
    <row r="20">
      <c r="A20" s="40">
        <v>44337.0</v>
      </c>
      <c r="B20" s="41" t="s">
        <v>832</v>
      </c>
      <c r="C20" s="41" t="s">
        <v>641</v>
      </c>
      <c r="D20" s="41" t="s">
        <v>37</v>
      </c>
      <c r="E20" s="41">
        <v>4.0</v>
      </c>
      <c r="F20" s="41">
        <v>0.0</v>
      </c>
      <c r="G20" s="42"/>
      <c r="H20" s="41"/>
      <c r="I20" s="41">
        <v>120.0</v>
      </c>
      <c r="J20" s="42"/>
      <c r="K20" s="41" t="s">
        <v>833</v>
      </c>
      <c r="L20" s="42"/>
      <c r="M20" s="41" t="s">
        <v>834</v>
      </c>
      <c r="N20" s="41"/>
      <c r="O20" s="42"/>
      <c r="P20" s="42"/>
      <c r="Q20" s="42"/>
      <c r="R20" s="42"/>
      <c r="S20" s="42"/>
      <c r="T20" s="42"/>
      <c r="U20" s="42"/>
      <c r="V20" s="42"/>
      <c r="W20" s="42"/>
      <c r="X20" s="42"/>
      <c r="Y20" s="42"/>
      <c r="Z20" s="42"/>
      <c r="AA20" s="42"/>
      <c r="AB20" s="42"/>
      <c r="AC20" s="42"/>
      <c r="AD20" s="42"/>
    </row>
    <row r="21">
      <c r="A21" s="40">
        <v>44351.0</v>
      </c>
      <c r="B21" s="41" t="s">
        <v>835</v>
      </c>
      <c r="C21" s="41" t="s">
        <v>759</v>
      </c>
      <c r="D21" s="41" t="s">
        <v>37</v>
      </c>
      <c r="E21" s="41">
        <v>4.0</v>
      </c>
      <c r="F21" s="41">
        <v>1.0</v>
      </c>
      <c r="G21" s="42"/>
      <c r="H21" s="42"/>
      <c r="I21" s="41">
        <v>120.0</v>
      </c>
      <c r="J21" s="42"/>
      <c r="K21" s="41" t="s">
        <v>716</v>
      </c>
      <c r="L21" s="42"/>
      <c r="M21" s="42"/>
      <c r="N21" s="42"/>
      <c r="O21" s="42"/>
      <c r="P21" s="42"/>
      <c r="Q21" s="42"/>
      <c r="R21" s="42"/>
      <c r="S21" s="42"/>
      <c r="T21" s="42"/>
      <c r="U21" s="42"/>
      <c r="V21" s="42"/>
      <c r="W21" s="42"/>
      <c r="X21" s="42"/>
      <c r="Y21" s="42"/>
      <c r="Z21" s="42"/>
      <c r="AA21" s="42"/>
      <c r="AB21" s="42"/>
      <c r="AC21" s="42"/>
      <c r="AD21" s="42"/>
    </row>
    <row r="22">
      <c r="A22" s="40">
        <v>44358.0</v>
      </c>
      <c r="B22" s="42"/>
      <c r="C22" s="41" t="s">
        <v>836</v>
      </c>
      <c r="D22" s="42"/>
      <c r="E22" s="42"/>
      <c r="F22" s="41">
        <v>2.0</v>
      </c>
      <c r="G22" s="41">
        <v>40.0</v>
      </c>
      <c r="H22" s="42"/>
      <c r="I22" s="41">
        <v>480.0</v>
      </c>
      <c r="J22" s="42"/>
      <c r="K22" s="42"/>
      <c r="L22" s="42"/>
      <c r="M22" s="42"/>
      <c r="N22" s="42"/>
      <c r="O22" s="42"/>
      <c r="P22" s="42"/>
      <c r="Q22" s="42"/>
      <c r="R22" s="42"/>
      <c r="S22" s="42"/>
      <c r="T22" s="42"/>
      <c r="U22" s="42"/>
      <c r="V22" s="42"/>
      <c r="W22" s="42"/>
      <c r="X22" s="42"/>
      <c r="Y22" s="42"/>
      <c r="Z22" s="42"/>
      <c r="AA22" s="42"/>
      <c r="AB22" s="42"/>
      <c r="AC22" s="42"/>
      <c r="AD22" s="42"/>
    </row>
    <row r="23">
      <c r="A23" s="40">
        <v>44358.0</v>
      </c>
      <c r="B23" s="41" t="s">
        <v>837</v>
      </c>
      <c r="C23" s="41" t="s">
        <v>838</v>
      </c>
      <c r="D23" s="41" t="s">
        <v>111</v>
      </c>
      <c r="E23" s="41">
        <v>5.0</v>
      </c>
      <c r="F23" s="41">
        <v>1.0</v>
      </c>
      <c r="G23" s="41">
        <v>20.0</v>
      </c>
      <c r="H23" s="41">
        <v>2.0</v>
      </c>
      <c r="I23" s="41">
        <v>150.0</v>
      </c>
      <c r="J23" s="41">
        <v>1362.0</v>
      </c>
      <c r="K23" s="41" t="s">
        <v>839</v>
      </c>
      <c r="L23" s="42"/>
      <c r="M23" s="42"/>
      <c r="N23" s="42"/>
      <c r="O23" s="42"/>
      <c r="P23" s="42"/>
      <c r="Q23" s="42"/>
      <c r="R23" s="42"/>
      <c r="S23" s="42"/>
      <c r="T23" s="42"/>
      <c r="U23" s="42"/>
      <c r="V23" s="42"/>
      <c r="W23" s="42"/>
      <c r="X23" s="42"/>
      <c r="Y23" s="42"/>
      <c r="Z23" s="42"/>
      <c r="AA23" s="42"/>
      <c r="AB23" s="42"/>
      <c r="AC23" s="42"/>
      <c r="AD23" s="42"/>
    </row>
    <row r="24">
      <c r="A24" s="39">
        <v>44365.0</v>
      </c>
      <c r="B24" s="2" t="s">
        <v>840</v>
      </c>
      <c r="C24" s="2" t="s">
        <v>841</v>
      </c>
      <c r="D24" s="2" t="s">
        <v>111</v>
      </c>
      <c r="E24" s="2">
        <v>4.0</v>
      </c>
      <c r="F24" s="2">
        <v>0.0</v>
      </c>
      <c r="H24" s="2">
        <v>1.0</v>
      </c>
      <c r="I24" s="2">
        <v>800.0</v>
      </c>
      <c r="J24" s="2">
        <v>200.0</v>
      </c>
      <c r="K24" s="2" t="s">
        <v>842</v>
      </c>
    </row>
    <row r="25">
      <c r="A25" s="39">
        <v>44372.0</v>
      </c>
      <c r="B25" s="2" t="s">
        <v>843</v>
      </c>
      <c r="C25" s="2" t="s">
        <v>844</v>
      </c>
      <c r="D25" s="2" t="s">
        <v>111</v>
      </c>
      <c r="E25" s="2">
        <v>5.0</v>
      </c>
      <c r="F25" s="2">
        <v>1.0</v>
      </c>
      <c r="I25" s="2">
        <v>800.0</v>
      </c>
      <c r="K25" s="2" t="s">
        <v>845</v>
      </c>
    </row>
    <row r="26">
      <c r="A26" s="39">
        <v>44393.0</v>
      </c>
      <c r="C26" s="2" t="s">
        <v>238</v>
      </c>
      <c r="K26" s="2" t="s">
        <v>846</v>
      </c>
    </row>
    <row r="27">
      <c r="A27" s="39">
        <v>44393.0</v>
      </c>
      <c r="C27" s="2" t="s">
        <v>40</v>
      </c>
      <c r="H27" s="2">
        <v>15.0</v>
      </c>
      <c r="K27" s="2" t="s">
        <v>716</v>
      </c>
      <c r="N27" s="2" t="s">
        <v>847</v>
      </c>
    </row>
    <row r="28">
      <c r="A28" s="39">
        <v>44435.0</v>
      </c>
      <c r="C28" s="2" t="s">
        <v>848</v>
      </c>
      <c r="F28" s="2">
        <v>4.0</v>
      </c>
      <c r="G28" s="2">
        <v>80.0</v>
      </c>
      <c r="I28" s="2">
        <v>6400.0</v>
      </c>
    </row>
    <row r="29">
      <c r="A29" s="39">
        <v>44435.0</v>
      </c>
      <c r="C29" s="2" t="s">
        <v>238</v>
      </c>
      <c r="K29" s="2" t="s">
        <v>687</v>
      </c>
    </row>
    <row r="30">
      <c r="A30" s="39">
        <v>44435.0</v>
      </c>
      <c r="B30" s="2" t="s">
        <v>849</v>
      </c>
      <c r="C30" s="2" t="s">
        <v>850</v>
      </c>
      <c r="D30" s="2" t="s">
        <v>37</v>
      </c>
      <c r="E30" s="2">
        <v>5.0</v>
      </c>
      <c r="F30" s="2">
        <v>0.0</v>
      </c>
      <c r="I30" s="2">
        <v>800.0</v>
      </c>
      <c r="K30" s="2" t="s">
        <v>851</v>
      </c>
      <c r="L30" s="2" t="s">
        <v>852</v>
      </c>
      <c r="M30" s="2" t="s">
        <v>853</v>
      </c>
      <c r="N30" s="2" t="s">
        <v>854</v>
      </c>
    </row>
    <row r="31">
      <c r="A31" s="39">
        <v>44472.0</v>
      </c>
      <c r="C31" s="2" t="s">
        <v>40</v>
      </c>
      <c r="H31" s="2">
        <v>5.0</v>
      </c>
      <c r="K31" s="2" t="s">
        <v>479</v>
      </c>
      <c r="N31" s="2" t="s">
        <v>855</v>
      </c>
    </row>
    <row r="33">
      <c r="K33" s="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6" width="7.5"/>
    <col customWidth="1" min="7" max="7" width="7.38"/>
    <col customWidth="1" min="8" max="8" width="6.38"/>
    <col customWidth="1" min="9" max="9" width="7.5"/>
    <col customWidth="1" min="10" max="10" width="6.75"/>
    <col customWidth="1" min="11" max="11" width="21.63"/>
    <col customWidth="1" min="12" max="14" width="23.5"/>
    <col customWidth="1" min="15" max="15" width="21.88"/>
    <col customWidth="1" min="16" max="16" width="24.63"/>
    <col customWidth="1" min="17" max="17" width="5.88"/>
    <col customWidth="1" min="18" max="18" width="24.5"/>
    <col customWidth="1" min="19" max="19" width="5.25"/>
    <col customWidth="1" min="20" max="20" width="25.38"/>
    <col customWidth="1" min="21" max="21" width="5.88"/>
    <col customWidth="1" min="22" max="22" width="20.5"/>
    <col customWidth="1" min="23" max="23" width="6.25"/>
    <col customWidth="1" min="24" max="24" width="6.63"/>
    <col customWidth="1" min="25" max="25" width="25.75"/>
    <col customWidth="1" min="26" max="26" width="25.5"/>
    <col customWidth="1" min="27" max="27" width="23.25"/>
    <col customWidth="1" min="29" max="29" width="22.0"/>
    <col customWidth="1" min="30" max="30" width="29.0"/>
  </cols>
  <sheetData>
    <row r="1">
      <c r="A1" s="1" t="s">
        <v>856</v>
      </c>
    </row>
    <row r="2">
      <c r="A2" s="2" t="s">
        <v>857</v>
      </c>
      <c r="B2" s="2" t="s">
        <v>858</v>
      </c>
      <c r="C2" s="3" t="s">
        <v>3</v>
      </c>
      <c r="D2" s="4" t="s">
        <v>4</v>
      </c>
      <c r="E2" s="5">
        <f>SUM(F11:F103)+1</f>
        <v>16</v>
      </c>
      <c r="F2" s="6"/>
      <c r="K2" s="7" t="s">
        <v>5</v>
      </c>
      <c r="L2" s="8" t="s">
        <v>6</v>
      </c>
      <c r="M2" s="8"/>
      <c r="N2" s="8"/>
      <c r="O2" s="8" t="s">
        <v>7</v>
      </c>
      <c r="P2" s="8" t="s">
        <v>8</v>
      </c>
      <c r="R2" s="9" t="s">
        <v>9</v>
      </c>
      <c r="S2" s="10"/>
      <c r="T2" s="11"/>
      <c r="U2" s="11"/>
      <c r="V2" s="11"/>
      <c r="W2" s="12"/>
      <c r="Y2" s="9" t="s">
        <v>10</v>
      </c>
      <c r="Z2" s="13"/>
      <c r="AA2" s="14"/>
      <c r="AC2" s="8" t="s">
        <v>859</v>
      </c>
      <c r="AD2" s="8" t="s">
        <v>860</v>
      </c>
      <c r="AE2" s="8" t="s">
        <v>861</v>
      </c>
    </row>
    <row r="3">
      <c r="A3" s="2" t="s">
        <v>862</v>
      </c>
      <c r="C3" s="15"/>
      <c r="D3" s="16" t="s">
        <v>12</v>
      </c>
      <c r="E3" s="17">
        <f>SUM(I11:I103)+15-SUM(J11:J103)</f>
        <v>33428</v>
      </c>
      <c r="F3" s="18"/>
      <c r="L3" s="68" t="s">
        <v>731</v>
      </c>
      <c r="M3" s="68"/>
      <c r="N3" s="68"/>
      <c r="O3" s="20"/>
      <c r="P3" s="20"/>
      <c r="R3" s="21" t="s">
        <v>290</v>
      </c>
      <c r="S3" s="21">
        <v>2.0</v>
      </c>
      <c r="T3" s="22" t="s">
        <v>863</v>
      </c>
      <c r="U3" s="22">
        <v>1.0</v>
      </c>
      <c r="V3" s="21" t="s">
        <v>864</v>
      </c>
      <c r="W3" s="21">
        <v>1.0</v>
      </c>
      <c r="Y3" s="44" t="s">
        <v>865</v>
      </c>
      <c r="Z3" s="68" t="s">
        <v>866</v>
      </c>
      <c r="AA3" s="25"/>
      <c r="AC3" s="35" t="s">
        <v>867</v>
      </c>
      <c r="AD3" s="35" t="s">
        <v>868</v>
      </c>
      <c r="AE3" s="112">
        <v>44464.0</v>
      </c>
    </row>
    <row r="4">
      <c r="A4" s="2" t="s">
        <v>814</v>
      </c>
      <c r="C4" s="26"/>
      <c r="D4" s="27" t="s">
        <v>15</v>
      </c>
      <c r="E4" s="28">
        <f>SUM(G11:G103)-SUM(H11:H103)</f>
        <v>215</v>
      </c>
      <c r="F4" s="29"/>
      <c r="L4" s="33" t="s">
        <v>511</v>
      </c>
      <c r="M4" s="33"/>
      <c r="N4" s="33"/>
      <c r="O4" s="31"/>
      <c r="P4" s="31"/>
      <c r="R4" s="32" t="s">
        <v>869</v>
      </c>
      <c r="S4" s="32">
        <v>1.0</v>
      </c>
      <c r="T4" s="32" t="s">
        <v>870</v>
      </c>
      <c r="U4" s="32">
        <v>1.0</v>
      </c>
      <c r="V4" s="32" t="s">
        <v>871</v>
      </c>
      <c r="W4" s="32">
        <v>1.0</v>
      </c>
      <c r="Y4" s="34" t="s">
        <v>872</v>
      </c>
      <c r="Z4" s="68" t="s">
        <v>873</v>
      </c>
      <c r="AA4" s="20"/>
      <c r="AC4" s="32" t="s">
        <v>874</v>
      </c>
      <c r="AD4" s="32" t="s">
        <v>875</v>
      </c>
      <c r="AE4" s="113">
        <v>44488.0</v>
      </c>
    </row>
    <row r="5">
      <c r="L5" s="74" t="s">
        <v>846</v>
      </c>
      <c r="M5" s="74"/>
      <c r="N5" s="74"/>
      <c r="O5" s="20"/>
      <c r="P5" s="20"/>
      <c r="R5" s="35" t="s">
        <v>876</v>
      </c>
      <c r="S5" s="35">
        <v>1.0</v>
      </c>
      <c r="T5" s="35" t="s">
        <v>877</v>
      </c>
      <c r="U5" s="35">
        <v>3.0</v>
      </c>
      <c r="V5" s="35" t="s">
        <v>733</v>
      </c>
      <c r="W5" s="35">
        <v>1.0</v>
      </c>
      <c r="Y5" s="34" t="s">
        <v>732</v>
      </c>
      <c r="Z5" s="34" t="s">
        <v>878</v>
      </c>
      <c r="AA5" s="20"/>
      <c r="AC5" s="20"/>
      <c r="AD5" s="20"/>
      <c r="AE5" s="20"/>
    </row>
    <row r="6">
      <c r="L6" s="2" t="s">
        <v>879</v>
      </c>
      <c r="M6" s="2"/>
      <c r="N6" s="2"/>
      <c r="P6" s="31"/>
      <c r="R6" s="32" t="s">
        <v>880</v>
      </c>
      <c r="S6" s="32">
        <v>1.0</v>
      </c>
      <c r="T6" s="32" t="s">
        <v>714</v>
      </c>
      <c r="U6" s="32">
        <v>3.0</v>
      </c>
      <c r="V6" s="31"/>
      <c r="W6" s="31"/>
      <c r="Y6" s="34" t="s">
        <v>511</v>
      </c>
      <c r="Z6" s="68" t="s">
        <v>587</v>
      </c>
      <c r="AA6" s="20"/>
      <c r="AC6" s="31"/>
      <c r="AD6" s="31"/>
      <c r="AE6" s="31"/>
    </row>
    <row r="7">
      <c r="R7" s="35" t="s">
        <v>881</v>
      </c>
      <c r="S7" s="35">
        <v>1.0</v>
      </c>
      <c r="T7" s="36" t="s">
        <v>882</v>
      </c>
      <c r="U7" s="36">
        <v>3.0</v>
      </c>
      <c r="V7" s="20"/>
      <c r="W7" s="20"/>
      <c r="Y7" s="34" t="s">
        <v>883</v>
      </c>
      <c r="Z7" s="114" t="s">
        <v>884</v>
      </c>
      <c r="AA7" s="20"/>
      <c r="AC7" s="20"/>
      <c r="AD7" s="20"/>
      <c r="AE7" s="20"/>
    </row>
    <row r="8">
      <c r="K8" s="7" t="s">
        <v>17</v>
      </c>
      <c r="L8" s="74" t="s">
        <v>846</v>
      </c>
      <c r="M8" s="74"/>
      <c r="N8" s="74"/>
      <c r="O8" s="34" t="s">
        <v>511</v>
      </c>
      <c r="P8" s="68" t="s">
        <v>731</v>
      </c>
      <c r="R8" s="32" t="s">
        <v>885</v>
      </c>
      <c r="S8" s="32">
        <v>1.0</v>
      </c>
      <c r="T8" s="32" t="s">
        <v>886</v>
      </c>
      <c r="U8" s="32">
        <v>1.0</v>
      </c>
      <c r="V8" s="31"/>
      <c r="W8" s="31"/>
      <c r="Y8" s="34" t="s">
        <v>887</v>
      </c>
      <c r="Z8" s="20"/>
      <c r="AA8" s="20"/>
      <c r="AC8" s="31"/>
      <c r="AD8" s="31"/>
      <c r="AE8" s="31"/>
    </row>
    <row r="9">
      <c r="R9" s="35" t="s">
        <v>79</v>
      </c>
      <c r="S9" s="35">
        <v>1.0</v>
      </c>
      <c r="T9" s="35"/>
      <c r="U9" s="35"/>
      <c r="V9" s="20"/>
      <c r="W9" s="20"/>
      <c r="Y9" s="68" t="s">
        <v>888</v>
      </c>
      <c r="Z9" s="20"/>
      <c r="AA9" s="20"/>
      <c r="AC9" s="20"/>
      <c r="AD9" s="20"/>
      <c r="AE9" s="20"/>
    </row>
    <row r="10">
      <c r="A10" s="37" t="s">
        <v>18</v>
      </c>
      <c r="B10" s="37" t="s">
        <v>19</v>
      </c>
      <c r="C10" s="37" t="s">
        <v>20</v>
      </c>
      <c r="D10" s="37" t="s">
        <v>21</v>
      </c>
      <c r="E10" s="37" t="s">
        <v>399</v>
      </c>
      <c r="F10" s="37" t="s">
        <v>22</v>
      </c>
      <c r="G10" s="37" t="s">
        <v>23</v>
      </c>
      <c r="H10" s="37" t="s">
        <v>24</v>
      </c>
      <c r="I10" s="37" t="s">
        <v>25</v>
      </c>
      <c r="J10" s="37" t="s">
        <v>26</v>
      </c>
      <c r="K10" s="37" t="s">
        <v>27</v>
      </c>
      <c r="L10" s="37" t="s">
        <v>28</v>
      </c>
      <c r="M10" s="37"/>
      <c r="N10" s="37"/>
      <c r="O10" s="37" t="s">
        <v>29</v>
      </c>
      <c r="P10" s="37" t="s">
        <v>30</v>
      </c>
      <c r="Q10" s="38"/>
      <c r="X10" s="38"/>
      <c r="Y10" s="38"/>
      <c r="Z10" s="38"/>
      <c r="AA10" s="38"/>
      <c r="AB10" s="38"/>
      <c r="AC10" s="38"/>
      <c r="AD10" s="38"/>
      <c r="AE10" s="38"/>
      <c r="AF10" s="38"/>
    </row>
    <row r="11">
      <c r="A11" s="39">
        <v>44383.0</v>
      </c>
      <c r="C11" s="2" t="s">
        <v>54</v>
      </c>
      <c r="F11" s="2">
        <v>3.0</v>
      </c>
      <c r="G11" s="2">
        <v>30.0</v>
      </c>
      <c r="I11" s="2">
        <v>240.0</v>
      </c>
      <c r="J11" s="2">
        <v>200.0</v>
      </c>
      <c r="P11" s="2" t="s">
        <v>889</v>
      </c>
    </row>
    <row r="12">
      <c r="A12" s="39">
        <v>44383.0</v>
      </c>
      <c r="C12" s="2" t="s">
        <v>238</v>
      </c>
      <c r="K12" s="2" t="s">
        <v>890</v>
      </c>
    </row>
    <row r="13">
      <c r="A13" s="39">
        <v>44383.0</v>
      </c>
      <c r="C13" s="2" t="s">
        <v>40</v>
      </c>
      <c r="D13" s="2"/>
      <c r="H13" s="2">
        <v>15.0</v>
      </c>
      <c r="K13" s="2" t="s">
        <v>891</v>
      </c>
      <c r="P13" s="2" t="s">
        <v>892</v>
      </c>
    </row>
    <row r="14">
      <c r="A14" s="39">
        <v>44383.0</v>
      </c>
      <c r="B14" s="2" t="s">
        <v>893</v>
      </c>
      <c r="C14" s="2" t="s">
        <v>894</v>
      </c>
      <c r="D14" s="2" t="s">
        <v>37</v>
      </c>
      <c r="E14" s="2">
        <v>4.0</v>
      </c>
      <c r="I14" s="2">
        <v>80.0</v>
      </c>
      <c r="K14" s="2" t="s">
        <v>895</v>
      </c>
    </row>
    <row r="15">
      <c r="A15" s="39">
        <v>44391.0</v>
      </c>
      <c r="B15" s="2" t="s">
        <v>896</v>
      </c>
      <c r="C15" s="2" t="s">
        <v>897</v>
      </c>
      <c r="D15" s="2" t="s">
        <v>58</v>
      </c>
      <c r="E15" s="2">
        <v>4.0</v>
      </c>
      <c r="J15" s="2">
        <v>5.0</v>
      </c>
      <c r="P15" s="2" t="s">
        <v>898</v>
      </c>
    </row>
    <row r="16">
      <c r="A16" s="39">
        <v>44391.0</v>
      </c>
      <c r="B16" s="2" t="s">
        <v>899</v>
      </c>
      <c r="C16" s="2" t="s">
        <v>900</v>
      </c>
      <c r="D16" s="2" t="s">
        <v>901</v>
      </c>
      <c r="E16" s="2">
        <v>4.0</v>
      </c>
      <c r="F16" s="2" t="s">
        <v>902</v>
      </c>
      <c r="G16" s="2"/>
      <c r="H16" s="2"/>
      <c r="I16" s="2"/>
      <c r="J16" s="2"/>
      <c r="K16" s="2"/>
      <c r="P16" s="2"/>
    </row>
    <row r="17">
      <c r="A17" s="39">
        <v>44392.0</v>
      </c>
      <c r="B17" s="2"/>
      <c r="C17" s="2" t="s">
        <v>238</v>
      </c>
      <c r="D17" s="2"/>
      <c r="E17" s="2"/>
      <c r="F17" s="2">
        <v>1.0</v>
      </c>
      <c r="G17" s="2">
        <v>20.0</v>
      </c>
      <c r="H17" s="2"/>
      <c r="I17" s="2">
        <v>80.0</v>
      </c>
      <c r="J17" s="2"/>
      <c r="K17" s="2"/>
      <c r="P17" s="2"/>
    </row>
    <row r="18">
      <c r="A18" s="40">
        <v>44392.0</v>
      </c>
      <c r="B18" s="42"/>
      <c r="C18" s="41" t="s">
        <v>238</v>
      </c>
      <c r="D18" s="41"/>
      <c r="E18" s="42"/>
      <c r="F18" s="41">
        <v>1.0</v>
      </c>
      <c r="G18" s="41">
        <v>20.0</v>
      </c>
      <c r="H18" s="41"/>
      <c r="I18" s="41">
        <v>240.0</v>
      </c>
      <c r="J18" s="42"/>
      <c r="K18" s="41"/>
      <c r="L18" s="42"/>
      <c r="M18" s="42"/>
      <c r="N18" s="42"/>
      <c r="O18" s="42"/>
      <c r="P18" s="41"/>
      <c r="Q18" s="42"/>
      <c r="R18" s="42"/>
      <c r="S18" s="42"/>
      <c r="T18" s="42"/>
      <c r="U18" s="42"/>
      <c r="V18" s="42"/>
      <c r="W18" s="42"/>
      <c r="X18" s="42"/>
      <c r="Y18" s="42"/>
      <c r="Z18" s="42"/>
      <c r="AA18" s="42"/>
      <c r="AB18" s="42"/>
      <c r="AC18" s="42"/>
      <c r="AD18" s="42"/>
      <c r="AE18" s="42"/>
      <c r="AF18" s="42"/>
    </row>
    <row r="19">
      <c r="A19" s="40">
        <v>44392.0</v>
      </c>
      <c r="B19" s="43"/>
      <c r="C19" s="41" t="s">
        <v>238</v>
      </c>
      <c r="D19" s="41"/>
      <c r="E19" s="41"/>
      <c r="F19" s="41"/>
      <c r="G19" s="41"/>
      <c r="H19" s="42"/>
      <c r="I19" s="41"/>
      <c r="J19" s="42"/>
      <c r="K19" s="41" t="s">
        <v>903</v>
      </c>
      <c r="L19" s="42"/>
      <c r="M19" s="42"/>
      <c r="N19" s="42"/>
      <c r="O19" s="42"/>
      <c r="P19" s="42"/>
      <c r="Q19" s="42"/>
      <c r="R19" s="42"/>
      <c r="S19" s="42"/>
      <c r="T19" s="42"/>
      <c r="U19" s="42"/>
      <c r="V19" s="42"/>
      <c r="W19" s="42"/>
      <c r="X19" s="42"/>
      <c r="Y19" s="42"/>
      <c r="Z19" s="42"/>
      <c r="AA19" s="42"/>
      <c r="AB19" s="42"/>
      <c r="AC19" s="42"/>
      <c r="AD19" s="42"/>
      <c r="AE19" s="42"/>
      <c r="AF19" s="42"/>
    </row>
    <row r="20">
      <c r="A20" s="40">
        <v>44392.0</v>
      </c>
      <c r="B20" s="41" t="s">
        <v>904</v>
      </c>
      <c r="C20" s="41" t="s">
        <v>759</v>
      </c>
      <c r="D20" s="41" t="s">
        <v>412</v>
      </c>
      <c r="E20" s="41">
        <v>4.0</v>
      </c>
      <c r="F20" s="41"/>
      <c r="G20" s="41"/>
      <c r="H20" s="42"/>
      <c r="I20" s="41">
        <v>120.0</v>
      </c>
      <c r="J20" s="41">
        <v>50.0</v>
      </c>
      <c r="K20" s="41" t="s">
        <v>716</v>
      </c>
      <c r="L20" s="41" t="s">
        <v>905</v>
      </c>
      <c r="M20" s="41"/>
      <c r="N20" s="41"/>
      <c r="O20" s="42"/>
      <c r="P20" s="41" t="s">
        <v>906</v>
      </c>
      <c r="Q20" s="42"/>
      <c r="R20" s="42"/>
      <c r="S20" s="42"/>
      <c r="T20" s="42"/>
      <c r="U20" s="42"/>
      <c r="V20" s="42"/>
      <c r="W20" s="42"/>
      <c r="X20" s="42"/>
      <c r="Y20" s="42"/>
      <c r="Z20" s="42"/>
      <c r="AA20" s="42"/>
      <c r="AB20" s="42"/>
      <c r="AC20" s="42"/>
      <c r="AD20" s="42"/>
      <c r="AE20" s="42"/>
      <c r="AF20" s="42"/>
    </row>
    <row r="21">
      <c r="A21" s="40">
        <v>44393.0</v>
      </c>
      <c r="B21" s="42"/>
      <c r="C21" s="41" t="s">
        <v>40</v>
      </c>
      <c r="D21" s="42"/>
      <c r="E21" s="42"/>
      <c r="F21" s="42"/>
      <c r="G21" s="42"/>
      <c r="H21" s="41">
        <v>15.0</v>
      </c>
      <c r="I21" s="42"/>
      <c r="J21" s="42"/>
      <c r="K21" s="41" t="s">
        <v>846</v>
      </c>
      <c r="L21" s="42"/>
      <c r="M21" s="42"/>
      <c r="N21" s="42"/>
      <c r="O21" s="42"/>
      <c r="P21" s="41" t="s">
        <v>907</v>
      </c>
      <c r="Q21" s="42"/>
      <c r="R21" s="42"/>
      <c r="S21" s="42"/>
      <c r="T21" s="42"/>
      <c r="U21" s="42"/>
      <c r="V21" s="42"/>
      <c r="W21" s="42"/>
      <c r="X21" s="42"/>
      <c r="Y21" s="42"/>
      <c r="Z21" s="42"/>
      <c r="AA21" s="42"/>
      <c r="AB21" s="42"/>
      <c r="AC21" s="42"/>
      <c r="AD21" s="42"/>
      <c r="AE21" s="42"/>
      <c r="AF21" s="42"/>
    </row>
    <row r="22">
      <c r="A22" s="40">
        <v>44393.0</v>
      </c>
      <c r="B22" s="42"/>
      <c r="C22" s="41" t="s">
        <v>40</v>
      </c>
      <c r="D22" s="41" t="s">
        <v>908</v>
      </c>
      <c r="E22" s="42"/>
      <c r="F22" s="42"/>
      <c r="G22" s="42"/>
      <c r="H22" s="41">
        <v>15.0</v>
      </c>
      <c r="I22" s="42"/>
      <c r="J22" s="42"/>
      <c r="K22" s="41" t="s">
        <v>511</v>
      </c>
      <c r="L22" s="42"/>
      <c r="M22" s="42"/>
      <c r="N22" s="42"/>
      <c r="O22" s="42"/>
      <c r="P22" s="41" t="s">
        <v>909</v>
      </c>
      <c r="Q22" s="42"/>
      <c r="R22" s="42"/>
      <c r="S22" s="42"/>
      <c r="T22" s="42"/>
      <c r="U22" s="42"/>
      <c r="V22" s="42"/>
      <c r="W22" s="42"/>
      <c r="X22" s="42"/>
      <c r="Y22" s="42"/>
      <c r="Z22" s="42"/>
      <c r="AA22" s="42"/>
      <c r="AB22" s="42"/>
      <c r="AC22" s="42"/>
      <c r="AD22" s="42"/>
      <c r="AE22" s="42"/>
      <c r="AF22" s="42"/>
    </row>
    <row r="23">
      <c r="A23" s="40">
        <v>44411.0</v>
      </c>
      <c r="B23" s="41" t="s">
        <v>910</v>
      </c>
      <c r="C23" s="41" t="s">
        <v>911</v>
      </c>
      <c r="D23" s="41" t="s">
        <v>58</v>
      </c>
      <c r="E23" s="41">
        <v>2.0</v>
      </c>
      <c r="F23" s="41" t="s">
        <v>902</v>
      </c>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row>
    <row r="24">
      <c r="A24" s="40">
        <v>44412.0</v>
      </c>
      <c r="B24" s="41" t="s">
        <v>640</v>
      </c>
      <c r="C24" s="41" t="s">
        <v>641</v>
      </c>
      <c r="D24" s="41" t="s">
        <v>528</v>
      </c>
      <c r="E24" s="41">
        <v>4.0</v>
      </c>
      <c r="F24" s="41">
        <v>1.0</v>
      </c>
      <c r="G24" s="41">
        <v>20.0</v>
      </c>
      <c r="H24" s="42"/>
      <c r="I24" s="41">
        <v>120.0</v>
      </c>
      <c r="J24" s="42"/>
      <c r="K24" s="41" t="s">
        <v>833</v>
      </c>
      <c r="L24" s="42"/>
      <c r="M24" s="42"/>
      <c r="N24" s="42"/>
      <c r="O24" s="42"/>
      <c r="P24" s="42"/>
      <c r="Q24" s="42"/>
      <c r="R24" s="42"/>
      <c r="S24" s="42"/>
      <c r="T24" s="42"/>
      <c r="U24" s="42"/>
      <c r="V24" s="42"/>
      <c r="W24" s="42"/>
      <c r="X24" s="42"/>
      <c r="Y24" s="42"/>
      <c r="Z24" s="42"/>
      <c r="AA24" s="42"/>
      <c r="AB24" s="42"/>
      <c r="AC24" s="42"/>
      <c r="AD24" s="42"/>
      <c r="AE24" s="42"/>
      <c r="AF24" s="42"/>
    </row>
    <row r="25">
      <c r="A25" s="40">
        <v>44414.0</v>
      </c>
      <c r="B25" s="41" t="s">
        <v>912</v>
      </c>
      <c r="C25" s="41" t="s">
        <v>913</v>
      </c>
      <c r="D25" s="41" t="s">
        <v>412</v>
      </c>
      <c r="E25" s="41">
        <v>4.0</v>
      </c>
      <c r="F25" s="41" t="s">
        <v>902</v>
      </c>
      <c r="G25" s="42"/>
      <c r="H25" s="42"/>
      <c r="I25" s="42"/>
      <c r="J25" s="41">
        <v>150.0</v>
      </c>
      <c r="K25" s="42"/>
      <c r="L25" s="42"/>
      <c r="M25" s="42"/>
      <c r="N25" s="42"/>
      <c r="O25" s="42"/>
      <c r="P25" s="42"/>
      <c r="Q25" s="42"/>
      <c r="R25" s="42"/>
      <c r="S25" s="42"/>
      <c r="T25" s="42"/>
      <c r="U25" s="42"/>
      <c r="V25" s="42"/>
      <c r="W25" s="42"/>
      <c r="X25" s="42"/>
      <c r="Y25" s="42"/>
      <c r="Z25" s="42"/>
      <c r="AA25" s="42"/>
      <c r="AB25" s="42"/>
      <c r="AC25" s="42"/>
      <c r="AD25" s="42"/>
      <c r="AE25" s="42"/>
      <c r="AF25" s="42"/>
    </row>
    <row r="26">
      <c r="A26" s="40">
        <v>44433.0</v>
      </c>
      <c r="B26" s="41" t="s">
        <v>914</v>
      </c>
      <c r="C26" s="41" t="s">
        <v>915</v>
      </c>
      <c r="D26" s="41" t="s">
        <v>916</v>
      </c>
      <c r="E26" s="41">
        <v>4.0</v>
      </c>
      <c r="F26" s="41" t="s">
        <v>902</v>
      </c>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row>
    <row r="27">
      <c r="A27" s="40">
        <v>44435.0</v>
      </c>
      <c r="B27" s="42"/>
      <c r="C27" s="41" t="s">
        <v>238</v>
      </c>
      <c r="D27" s="42"/>
      <c r="E27" s="42"/>
      <c r="F27" s="41">
        <v>1.0</v>
      </c>
      <c r="G27" s="41">
        <v>20.0</v>
      </c>
      <c r="H27" s="42"/>
      <c r="I27" s="41">
        <v>240.0</v>
      </c>
      <c r="J27" s="42"/>
      <c r="K27" s="42"/>
      <c r="L27" s="42"/>
      <c r="M27" s="42"/>
      <c r="N27" s="42"/>
      <c r="O27" s="42"/>
      <c r="P27" s="42"/>
      <c r="Q27" s="42"/>
      <c r="R27" s="42"/>
      <c r="S27" s="42"/>
      <c r="T27" s="42"/>
      <c r="U27" s="42"/>
      <c r="V27" s="42"/>
      <c r="W27" s="42"/>
      <c r="X27" s="42"/>
      <c r="Y27" s="42"/>
      <c r="Z27" s="42"/>
      <c r="AA27" s="42"/>
      <c r="AB27" s="42"/>
      <c r="AC27" s="42"/>
      <c r="AD27" s="42"/>
      <c r="AE27" s="42"/>
      <c r="AF27" s="42"/>
    </row>
    <row r="28">
      <c r="A28" s="40">
        <v>44443.0</v>
      </c>
      <c r="B28" s="42"/>
      <c r="C28" s="41" t="s">
        <v>178</v>
      </c>
      <c r="D28" s="42"/>
      <c r="E28" s="42"/>
      <c r="F28" s="41">
        <v>2.0</v>
      </c>
      <c r="G28" s="41">
        <v>40.0</v>
      </c>
      <c r="H28" s="42"/>
      <c r="I28" s="41">
        <v>480.0</v>
      </c>
      <c r="J28" s="42"/>
      <c r="K28" s="42"/>
      <c r="L28" s="42"/>
      <c r="M28" s="42"/>
      <c r="N28" s="42"/>
      <c r="O28" s="42"/>
      <c r="P28" s="42"/>
      <c r="Q28" s="42"/>
      <c r="R28" s="42"/>
      <c r="S28" s="42"/>
      <c r="T28" s="42"/>
      <c r="U28" s="42"/>
      <c r="V28" s="42"/>
      <c r="W28" s="42"/>
      <c r="X28" s="42"/>
      <c r="Y28" s="42"/>
      <c r="Z28" s="42"/>
      <c r="AA28" s="42"/>
      <c r="AB28" s="42"/>
      <c r="AC28" s="42"/>
      <c r="AD28" s="42"/>
      <c r="AE28" s="42"/>
      <c r="AF28" s="42"/>
    </row>
    <row r="29">
      <c r="A29" s="40">
        <v>44443.0</v>
      </c>
      <c r="B29" s="41" t="s">
        <v>657</v>
      </c>
      <c r="C29" s="41" t="s">
        <v>658</v>
      </c>
      <c r="D29" s="41" t="s">
        <v>37</v>
      </c>
      <c r="E29" s="41">
        <v>4.0</v>
      </c>
      <c r="F29" s="41"/>
      <c r="G29" s="42"/>
      <c r="H29" s="42"/>
      <c r="I29" s="41">
        <v>120.0</v>
      </c>
      <c r="J29" s="42"/>
      <c r="K29" s="42"/>
      <c r="L29" s="42"/>
      <c r="M29" s="42"/>
      <c r="N29" s="42"/>
      <c r="O29" s="42"/>
      <c r="P29" s="42"/>
      <c r="Q29" s="42"/>
      <c r="R29" s="42"/>
      <c r="S29" s="42"/>
      <c r="T29" s="42"/>
      <c r="U29" s="42"/>
      <c r="V29" s="42"/>
      <c r="W29" s="42"/>
      <c r="X29" s="42"/>
      <c r="Y29" s="42"/>
      <c r="Z29" s="42"/>
      <c r="AA29" s="42"/>
      <c r="AB29" s="42"/>
      <c r="AC29" s="42"/>
      <c r="AD29" s="42"/>
      <c r="AE29" s="42"/>
      <c r="AF29" s="42"/>
    </row>
    <row r="30">
      <c r="A30" s="40">
        <v>44446.0</v>
      </c>
      <c r="B30" s="41" t="s">
        <v>917</v>
      </c>
      <c r="C30" s="41" t="s">
        <v>918</v>
      </c>
      <c r="D30" s="41" t="s">
        <v>528</v>
      </c>
      <c r="E30" s="41">
        <v>2.0</v>
      </c>
      <c r="F30" s="41" t="s">
        <v>902</v>
      </c>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row>
    <row r="31">
      <c r="A31" s="40">
        <v>44464.0</v>
      </c>
      <c r="B31" s="41" t="s">
        <v>919</v>
      </c>
      <c r="C31" s="41" t="s">
        <v>920</v>
      </c>
      <c r="D31" s="41" t="s">
        <v>760</v>
      </c>
      <c r="E31" s="42"/>
      <c r="F31" s="42"/>
      <c r="G31" s="41">
        <v>10.0</v>
      </c>
      <c r="H31" s="42"/>
      <c r="I31" s="41">
        <v>10889.0</v>
      </c>
      <c r="J31" s="41"/>
      <c r="K31" s="41" t="s">
        <v>921</v>
      </c>
      <c r="L31" s="41" t="s">
        <v>922</v>
      </c>
      <c r="M31" s="41"/>
      <c r="N31" s="41"/>
      <c r="O31" s="41" t="s">
        <v>867</v>
      </c>
      <c r="P31" s="42"/>
      <c r="Q31" s="42"/>
      <c r="R31" s="42"/>
      <c r="S31" s="42"/>
      <c r="T31" s="42"/>
      <c r="U31" s="42"/>
      <c r="V31" s="42"/>
      <c r="W31" s="42"/>
      <c r="X31" s="42"/>
      <c r="Y31" s="42"/>
      <c r="Z31" s="42"/>
      <c r="AA31" s="42"/>
      <c r="AB31" s="42"/>
      <c r="AC31" s="42"/>
      <c r="AD31" s="42"/>
      <c r="AE31" s="42"/>
      <c r="AF31" s="42"/>
    </row>
    <row r="32">
      <c r="A32" s="40">
        <v>44488.0</v>
      </c>
      <c r="B32" s="41" t="s">
        <v>923</v>
      </c>
      <c r="C32" s="41" t="s">
        <v>924</v>
      </c>
      <c r="D32" s="41" t="s">
        <v>544</v>
      </c>
      <c r="E32" s="42"/>
      <c r="F32" s="42"/>
      <c r="G32" s="41">
        <v>10.0</v>
      </c>
      <c r="H32" s="41"/>
      <c r="I32" s="41">
        <v>1619.0</v>
      </c>
      <c r="J32" s="41">
        <v>3655.0</v>
      </c>
      <c r="K32" s="41" t="s">
        <v>878</v>
      </c>
      <c r="L32" s="41" t="s">
        <v>886</v>
      </c>
      <c r="M32" s="41"/>
      <c r="N32" s="41"/>
      <c r="O32" s="41" t="s">
        <v>874</v>
      </c>
      <c r="P32" s="41" t="s">
        <v>925</v>
      </c>
      <c r="Q32" s="42"/>
      <c r="R32" s="42"/>
      <c r="S32" s="42"/>
      <c r="T32" s="42"/>
      <c r="U32" s="42"/>
      <c r="V32" s="42"/>
      <c r="W32" s="42"/>
      <c r="X32" s="42"/>
      <c r="Y32" s="42"/>
      <c r="Z32" s="42"/>
      <c r="AA32" s="42"/>
      <c r="AB32" s="42"/>
      <c r="AC32" s="42"/>
      <c r="AD32" s="42"/>
      <c r="AE32" s="42"/>
      <c r="AF32" s="42"/>
    </row>
    <row r="33">
      <c r="A33" s="40">
        <v>44494.0</v>
      </c>
      <c r="B33" s="41" t="s">
        <v>926</v>
      </c>
      <c r="C33" s="41" t="s">
        <v>927</v>
      </c>
      <c r="D33" s="41" t="s">
        <v>58</v>
      </c>
      <c r="E33" s="42"/>
      <c r="F33" s="42"/>
      <c r="G33" s="41">
        <v>10.0</v>
      </c>
      <c r="H33" s="42"/>
      <c r="I33" s="41">
        <v>5000.0</v>
      </c>
      <c r="J33" s="42"/>
      <c r="K33" s="41" t="s">
        <v>928</v>
      </c>
      <c r="L33" s="41" t="s">
        <v>929</v>
      </c>
      <c r="M33" s="41"/>
      <c r="N33" s="41"/>
      <c r="O33" s="42"/>
      <c r="P33" s="41" t="s">
        <v>930</v>
      </c>
      <c r="Q33" s="42"/>
      <c r="R33" s="42"/>
      <c r="S33" s="42"/>
      <c r="T33" s="42"/>
      <c r="U33" s="42"/>
      <c r="V33" s="42"/>
      <c r="W33" s="42"/>
      <c r="X33" s="42"/>
      <c r="Y33" s="42"/>
      <c r="Z33" s="42"/>
      <c r="AA33" s="42"/>
      <c r="AB33" s="42"/>
      <c r="AC33" s="42"/>
      <c r="AD33" s="42"/>
      <c r="AE33" s="42"/>
      <c r="AF33" s="42"/>
    </row>
    <row r="34">
      <c r="A34" s="40">
        <v>44496.0</v>
      </c>
      <c r="B34" s="41" t="s">
        <v>931</v>
      </c>
      <c r="C34" s="41" t="s">
        <v>932</v>
      </c>
      <c r="D34" s="41" t="s">
        <v>247</v>
      </c>
      <c r="E34" s="42"/>
      <c r="F34" s="42"/>
      <c r="G34" s="41">
        <v>10.0</v>
      </c>
      <c r="H34" s="42"/>
      <c r="I34" s="41">
        <v>1000.0</v>
      </c>
      <c r="J34" s="42"/>
      <c r="K34" s="41" t="s">
        <v>933</v>
      </c>
      <c r="L34" s="41" t="s">
        <v>871</v>
      </c>
      <c r="M34" s="41"/>
      <c r="N34" s="41"/>
      <c r="O34" s="42"/>
      <c r="P34" s="42"/>
      <c r="Q34" s="42"/>
      <c r="R34" s="42"/>
      <c r="S34" s="42"/>
      <c r="T34" s="42"/>
      <c r="U34" s="42"/>
      <c r="V34" s="42"/>
      <c r="W34" s="42"/>
      <c r="X34" s="42"/>
      <c r="Y34" s="42"/>
      <c r="Z34" s="42"/>
      <c r="AA34" s="42"/>
      <c r="AB34" s="42"/>
      <c r="AC34" s="42"/>
      <c r="AD34" s="42"/>
      <c r="AE34" s="42"/>
      <c r="AF34" s="42"/>
    </row>
    <row r="35">
      <c r="A35" s="40">
        <v>44517.0</v>
      </c>
      <c r="B35" s="41" t="s">
        <v>934</v>
      </c>
      <c r="C35" s="41" t="s">
        <v>935</v>
      </c>
      <c r="D35" s="41" t="s">
        <v>272</v>
      </c>
      <c r="E35" s="42"/>
      <c r="F35" s="42"/>
      <c r="G35" s="41">
        <v>10.0</v>
      </c>
      <c r="H35" s="42"/>
      <c r="I35" s="41">
        <v>1000.0</v>
      </c>
      <c r="J35" s="42"/>
      <c r="K35" s="41" t="s">
        <v>936</v>
      </c>
      <c r="L35" s="41" t="s">
        <v>937</v>
      </c>
      <c r="M35" s="41"/>
      <c r="N35" s="41"/>
      <c r="O35" s="42"/>
      <c r="P35" s="42"/>
      <c r="Q35" s="42"/>
      <c r="R35" s="42"/>
      <c r="S35" s="42"/>
      <c r="T35" s="42"/>
      <c r="U35" s="42"/>
      <c r="V35" s="42"/>
      <c r="W35" s="42"/>
      <c r="X35" s="42"/>
      <c r="Y35" s="42"/>
      <c r="Z35" s="42"/>
      <c r="AA35" s="42"/>
      <c r="AB35" s="42"/>
      <c r="AC35" s="42"/>
      <c r="AD35" s="42"/>
      <c r="AE35" s="42"/>
      <c r="AF35" s="42"/>
    </row>
    <row r="36">
      <c r="A36" s="40">
        <v>44523.0</v>
      </c>
      <c r="B36" s="41" t="s">
        <v>938</v>
      </c>
      <c r="C36" s="41" t="s">
        <v>939</v>
      </c>
      <c r="D36" s="41" t="s">
        <v>544</v>
      </c>
      <c r="E36" s="42"/>
      <c r="F36" s="42"/>
      <c r="G36" s="41">
        <v>10.0</v>
      </c>
      <c r="H36" s="42"/>
      <c r="I36" s="41">
        <v>2500.0</v>
      </c>
      <c r="J36" s="41">
        <v>2050.0</v>
      </c>
      <c r="K36" s="41" t="s">
        <v>940</v>
      </c>
      <c r="L36" s="42"/>
      <c r="M36" s="42"/>
      <c r="N36" s="42"/>
      <c r="O36" s="42"/>
      <c r="P36" s="41" t="s">
        <v>941</v>
      </c>
      <c r="Q36" s="42"/>
      <c r="R36" s="42"/>
      <c r="S36" s="42"/>
      <c r="T36" s="42"/>
      <c r="U36" s="42"/>
      <c r="V36" s="42"/>
      <c r="W36" s="42"/>
      <c r="X36" s="42"/>
      <c r="Y36" s="42"/>
      <c r="Z36" s="42"/>
      <c r="AA36" s="42"/>
      <c r="AB36" s="42"/>
      <c r="AC36" s="42"/>
      <c r="AD36" s="42"/>
      <c r="AE36" s="42"/>
      <c r="AF36" s="42"/>
    </row>
    <row r="37">
      <c r="A37" s="40">
        <v>44545.0</v>
      </c>
      <c r="B37" s="41" t="s">
        <v>942</v>
      </c>
      <c r="C37" s="41" t="s">
        <v>943</v>
      </c>
      <c r="D37" s="41" t="s">
        <v>247</v>
      </c>
      <c r="E37" s="42"/>
      <c r="F37" s="42"/>
      <c r="G37" s="41">
        <v>10.0</v>
      </c>
      <c r="H37" s="42"/>
      <c r="I37" s="41">
        <v>1000.0</v>
      </c>
      <c r="J37" s="42"/>
      <c r="K37" s="41" t="s">
        <v>944</v>
      </c>
      <c r="L37" s="41" t="s">
        <v>945</v>
      </c>
      <c r="M37" s="41"/>
      <c r="N37" s="41"/>
      <c r="O37" s="42"/>
      <c r="P37" s="42"/>
      <c r="Q37" s="42"/>
      <c r="R37" s="42"/>
      <c r="S37" s="42"/>
      <c r="T37" s="42"/>
      <c r="U37" s="42"/>
      <c r="V37" s="42"/>
      <c r="W37" s="42"/>
      <c r="X37" s="42"/>
      <c r="Y37" s="42"/>
      <c r="Z37" s="42"/>
      <c r="AA37" s="42"/>
      <c r="AB37" s="42"/>
      <c r="AC37" s="42"/>
      <c r="AD37" s="42"/>
      <c r="AE37" s="42"/>
      <c r="AF37" s="42"/>
    </row>
    <row r="38">
      <c r="A38" s="40">
        <v>44590.0</v>
      </c>
      <c r="B38" s="41" t="s">
        <v>946</v>
      </c>
      <c r="C38" s="41" t="s">
        <v>947</v>
      </c>
      <c r="D38" s="41" t="s">
        <v>760</v>
      </c>
      <c r="E38" s="42"/>
      <c r="F38" s="42"/>
      <c r="G38" s="41">
        <v>10.0</v>
      </c>
      <c r="H38" s="42"/>
      <c r="I38" s="41">
        <v>1000.0</v>
      </c>
      <c r="J38" s="41">
        <v>2000.0</v>
      </c>
      <c r="K38" s="41" t="s">
        <v>884</v>
      </c>
      <c r="L38" s="42"/>
      <c r="M38" s="42"/>
      <c r="N38" s="42"/>
      <c r="O38" s="41" t="s">
        <v>948</v>
      </c>
      <c r="P38" s="41" t="s">
        <v>949</v>
      </c>
      <c r="Q38" s="42"/>
      <c r="R38" s="42"/>
      <c r="S38" s="42"/>
      <c r="T38" s="42"/>
      <c r="U38" s="42"/>
      <c r="V38" s="42"/>
      <c r="W38" s="42"/>
      <c r="X38" s="42"/>
      <c r="Y38" s="42"/>
      <c r="Z38" s="42"/>
      <c r="AA38" s="42"/>
      <c r="AB38" s="42"/>
      <c r="AC38" s="42"/>
      <c r="AD38" s="42"/>
      <c r="AE38" s="42"/>
      <c r="AF38" s="42"/>
    </row>
    <row r="39">
      <c r="A39" s="40">
        <v>44635.0</v>
      </c>
      <c r="B39" s="41" t="s">
        <v>950</v>
      </c>
      <c r="C39" s="41" t="s">
        <v>951</v>
      </c>
      <c r="D39" s="41" t="s">
        <v>37</v>
      </c>
      <c r="E39" s="42"/>
      <c r="F39" s="42"/>
      <c r="G39" s="41">
        <v>10.0</v>
      </c>
      <c r="H39" s="42"/>
      <c r="I39" s="41">
        <v>833.0</v>
      </c>
      <c r="J39" s="42"/>
      <c r="K39" s="42"/>
      <c r="L39" s="42"/>
      <c r="M39" s="42"/>
      <c r="N39" s="42"/>
      <c r="O39" s="42"/>
      <c r="P39" s="42"/>
      <c r="Q39" s="42"/>
      <c r="R39" s="42"/>
      <c r="S39" s="42"/>
      <c r="T39" s="42"/>
      <c r="U39" s="42"/>
      <c r="V39" s="42"/>
      <c r="W39" s="42"/>
      <c r="X39" s="42"/>
      <c r="Y39" s="42"/>
      <c r="Z39" s="42"/>
      <c r="AA39" s="42"/>
      <c r="AB39" s="42"/>
      <c r="AC39" s="42"/>
      <c r="AD39" s="42"/>
      <c r="AE39" s="42"/>
      <c r="AF39" s="42"/>
    </row>
    <row r="40">
      <c r="A40" s="40">
        <v>44640.0</v>
      </c>
      <c r="B40" s="41" t="s">
        <v>952</v>
      </c>
      <c r="C40" s="41" t="s">
        <v>551</v>
      </c>
      <c r="D40" s="41" t="s">
        <v>438</v>
      </c>
      <c r="E40" s="42"/>
      <c r="F40" s="42"/>
      <c r="G40" s="41">
        <v>10.0</v>
      </c>
      <c r="H40" s="41">
        <v>25.0</v>
      </c>
      <c r="I40" s="41">
        <v>520.0</v>
      </c>
      <c r="J40" s="42"/>
      <c r="K40" s="41" t="s">
        <v>552</v>
      </c>
      <c r="L40" s="42"/>
      <c r="M40" s="42"/>
      <c r="N40" s="42"/>
      <c r="O40" s="41" t="s">
        <v>953</v>
      </c>
      <c r="P40" s="42"/>
      <c r="Q40" s="42"/>
      <c r="R40" s="42"/>
      <c r="S40" s="42"/>
      <c r="T40" s="42"/>
      <c r="U40" s="42"/>
      <c r="V40" s="42"/>
      <c r="W40" s="42"/>
      <c r="X40" s="42"/>
      <c r="Y40" s="42"/>
      <c r="Z40" s="42"/>
      <c r="AA40" s="42"/>
      <c r="AB40" s="42"/>
      <c r="AC40" s="42"/>
      <c r="AD40" s="42"/>
      <c r="AE40" s="42"/>
      <c r="AF40" s="42"/>
    </row>
    <row r="41">
      <c r="A41" s="115">
        <v>44650.0</v>
      </c>
      <c r="B41" s="83"/>
      <c r="C41" s="83" t="s">
        <v>40</v>
      </c>
      <c r="D41" s="83" t="s">
        <v>438</v>
      </c>
      <c r="E41" s="83"/>
      <c r="F41" s="83"/>
      <c r="G41" s="83"/>
      <c r="H41" s="116">
        <v>5.0</v>
      </c>
      <c r="I41" s="83"/>
      <c r="J41" s="83"/>
      <c r="K41" s="116" t="s">
        <v>884</v>
      </c>
      <c r="L41" s="83"/>
      <c r="M41" s="83"/>
      <c r="N41" s="83"/>
      <c r="O41" s="83"/>
      <c r="P41" s="116" t="s">
        <v>954</v>
      </c>
      <c r="Q41" s="83"/>
      <c r="R41" s="83"/>
      <c r="S41" s="83"/>
      <c r="T41" s="83"/>
      <c r="U41" s="83"/>
      <c r="V41" s="83"/>
      <c r="W41" s="83"/>
      <c r="X41" s="83"/>
      <c r="Y41" s="83"/>
      <c r="Z41" s="83"/>
      <c r="AA41" s="83"/>
      <c r="AB41" s="83"/>
      <c r="AC41" s="83"/>
      <c r="AD41" s="83"/>
      <c r="AE41" s="83"/>
      <c r="AF41" s="83"/>
    </row>
    <row r="42">
      <c r="A42" s="40">
        <v>44659.0</v>
      </c>
      <c r="B42" s="41" t="s">
        <v>955</v>
      </c>
      <c r="C42" s="41" t="s">
        <v>650</v>
      </c>
      <c r="D42" s="41" t="s">
        <v>58</v>
      </c>
      <c r="E42" s="42"/>
      <c r="F42" s="41"/>
      <c r="G42" s="41">
        <v>10.0</v>
      </c>
      <c r="H42" s="42"/>
      <c r="I42" s="41">
        <v>442.0</v>
      </c>
      <c r="J42" s="41">
        <v>1700.0</v>
      </c>
      <c r="K42" s="41" t="s">
        <v>956</v>
      </c>
      <c r="L42" s="42"/>
      <c r="M42" s="42"/>
      <c r="N42" s="42"/>
      <c r="O42" s="42"/>
      <c r="P42" s="41" t="s">
        <v>957</v>
      </c>
      <c r="Q42" s="42"/>
      <c r="R42" s="42"/>
      <c r="S42" s="42"/>
      <c r="T42" s="42"/>
      <c r="U42" s="42"/>
      <c r="V42" s="42"/>
      <c r="W42" s="42"/>
      <c r="X42" s="42"/>
      <c r="Y42" s="42"/>
      <c r="Z42" s="42"/>
      <c r="AA42" s="42"/>
      <c r="AB42" s="42"/>
      <c r="AC42" s="42"/>
      <c r="AD42" s="42"/>
      <c r="AE42" s="42"/>
      <c r="AF42" s="42"/>
    </row>
    <row r="43">
      <c r="A43" s="69">
        <v>44746.0</v>
      </c>
      <c r="B43" s="70"/>
      <c r="C43" s="70" t="s">
        <v>238</v>
      </c>
      <c r="D43" s="70" t="s">
        <v>179</v>
      </c>
      <c r="E43" s="71"/>
      <c r="F43" s="70">
        <v>6.0</v>
      </c>
      <c r="G43" s="70"/>
      <c r="H43" s="71"/>
      <c r="I43" s="70"/>
      <c r="J43" s="71"/>
      <c r="K43" s="70"/>
      <c r="L43" s="70"/>
      <c r="M43" s="70"/>
      <c r="N43" s="70"/>
      <c r="O43" s="71"/>
      <c r="P43" s="71"/>
      <c r="Q43" s="71"/>
      <c r="R43" s="71"/>
      <c r="S43" s="71"/>
      <c r="T43" s="71"/>
      <c r="U43" s="71"/>
      <c r="V43" s="71"/>
      <c r="W43" s="71"/>
      <c r="X43" s="71"/>
      <c r="Y43" s="71"/>
      <c r="Z43" s="71"/>
      <c r="AA43" s="71"/>
      <c r="AB43" s="71"/>
      <c r="AC43" s="71"/>
      <c r="AD43" s="71"/>
      <c r="AE43" s="71"/>
      <c r="AF43" s="71"/>
    </row>
    <row r="44">
      <c r="A44" s="69">
        <v>44746.0</v>
      </c>
      <c r="B44" s="70" t="s">
        <v>958</v>
      </c>
      <c r="C44" s="70" t="s">
        <v>959</v>
      </c>
      <c r="D44" s="70" t="s">
        <v>33</v>
      </c>
      <c r="E44" s="71"/>
      <c r="F44" s="71"/>
      <c r="G44" s="70">
        <v>10.0</v>
      </c>
      <c r="H44" s="71"/>
      <c r="I44" s="70">
        <v>12500.0</v>
      </c>
      <c r="J44" s="71"/>
      <c r="K44" s="70" t="s">
        <v>960</v>
      </c>
      <c r="L44" s="70" t="s">
        <v>961</v>
      </c>
      <c r="M44" s="70"/>
      <c r="N44" s="70"/>
      <c r="O44" s="71"/>
      <c r="P44" s="71"/>
      <c r="Q44" s="71"/>
      <c r="R44" s="71"/>
      <c r="S44" s="71"/>
      <c r="T44" s="71"/>
      <c r="U44" s="71"/>
      <c r="V44" s="71"/>
      <c r="W44" s="71"/>
      <c r="X44" s="71"/>
      <c r="Y44" s="71"/>
      <c r="Z44" s="71"/>
      <c r="AA44" s="71"/>
      <c r="AB44" s="71"/>
      <c r="AC44" s="71"/>
      <c r="AD44" s="71"/>
      <c r="AE44" s="71"/>
      <c r="AF44" s="71"/>
    </row>
    <row r="45">
      <c r="A45" s="69">
        <v>44776.0</v>
      </c>
      <c r="B45" s="70" t="s">
        <v>962</v>
      </c>
      <c r="C45" s="70" t="s">
        <v>963</v>
      </c>
      <c r="D45" s="70" t="s">
        <v>544</v>
      </c>
      <c r="E45" s="71"/>
      <c r="F45" s="71"/>
      <c r="G45" s="70">
        <v>10.0</v>
      </c>
      <c r="H45" s="71"/>
      <c r="I45" s="71"/>
      <c r="J45" s="71"/>
      <c r="K45" s="70" t="s">
        <v>964</v>
      </c>
      <c r="L45" s="71"/>
      <c r="M45" s="71"/>
      <c r="N45" s="71"/>
      <c r="O45" s="71"/>
      <c r="P45" s="71"/>
      <c r="Q45" s="71"/>
      <c r="R45" s="71"/>
      <c r="S45" s="71"/>
      <c r="T45" s="71"/>
      <c r="U45" s="71"/>
      <c r="V45" s="71"/>
      <c r="W45" s="71"/>
      <c r="X45" s="71"/>
      <c r="Y45" s="71"/>
      <c r="Z45" s="71"/>
      <c r="AA45" s="71"/>
      <c r="AB45" s="71"/>
      <c r="AC45" s="71"/>
      <c r="AD45" s="71"/>
      <c r="AE45" s="71"/>
      <c r="AF45" s="71"/>
    </row>
    <row r="46">
      <c r="A46" s="69">
        <v>44944.0</v>
      </c>
      <c r="B46" s="70" t="s">
        <v>965</v>
      </c>
      <c r="C46" s="70" t="s">
        <v>966</v>
      </c>
      <c r="D46" s="70" t="s">
        <v>247</v>
      </c>
      <c r="E46" s="71"/>
      <c r="F46" s="71"/>
      <c r="G46" s="70">
        <v>10.0</v>
      </c>
      <c r="H46" s="71"/>
      <c r="I46" s="70">
        <v>1200.0</v>
      </c>
      <c r="J46" s="71"/>
      <c r="K46" s="70" t="s">
        <v>355</v>
      </c>
      <c r="L46" s="70" t="s">
        <v>967</v>
      </c>
      <c r="M46" s="71"/>
      <c r="N46" s="71"/>
      <c r="O46" s="71"/>
      <c r="P46" s="71"/>
      <c r="Q46" s="71"/>
      <c r="R46" s="71"/>
      <c r="S46" s="71"/>
      <c r="T46" s="71"/>
      <c r="U46" s="71"/>
      <c r="V46" s="71"/>
      <c r="W46" s="71"/>
      <c r="X46" s="71"/>
      <c r="Y46" s="71"/>
      <c r="Z46" s="71"/>
      <c r="AA46" s="71"/>
      <c r="AB46" s="71"/>
      <c r="AC46" s="71"/>
      <c r="AD46" s="71"/>
      <c r="AE46" s="71"/>
      <c r="AF46" s="71"/>
    </row>
    <row r="47">
      <c r="A47" s="39">
        <v>45605.0</v>
      </c>
      <c r="B47" s="2" t="s">
        <v>968</v>
      </c>
      <c r="C47" s="2" t="s">
        <v>969</v>
      </c>
      <c r="I47" s="2">
        <v>5000.0</v>
      </c>
      <c r="J47" s="2">
        <v>3000.0</v>
      </c>
      <c r="K47" s="2" t="s">
        <v>970</v>
      </c>
      <c r="P47" s="2" t="s">
        <v>971</v>
      </c>
    </row>
    <row r="48">
      <c r="A48" s="39">
        <v>45826.0</v>
      </c>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21.0"/>
    <col customWidth="1" min="3" max="3" width="25.5"/>
    <col customWidth="1" min="4" max="4" width="13.0"/>
    <col customWidth="1" min="5" max="6" width="7.5"/>
    <col customWidth="1" min="7" max="7" width="7.38"/>
    <col customWidth="1" min="8" max="8" width="6.38"/>
    <col customWidth="1" min="9" max="9" width="7.5"/>
    <col customWidth="1" min="10" max="10" width="6.75"/>
    <col customWidth="1" min="11" max="11" width="21.63"/>
    <col customWidth="1" min="12" max="12" width="23.5"/>
    <col customWidth="1" min="13" max="13" width="21.88"/>
    <col customWidth="1" min="14" max="14" width="24.63"/>
    <col customWidth="1" min="15" max="15" width="5.88"/>
    <col customWidth="1" min="16" max="16" width="25.5"/>
    <col customWidth="1" min="17" max="17" width="4.38"/>
    <col customWidth="1" min="18" max="18" width="25.75"/>
    <col customWidth="1" min="19" max="19" width="4.75"/>
    <col customWidth="1" min="20" max="20" width="25.5"/>
    <col customWidth="1" min="21" max="21" width="3.75"/>
  </cols>
  <sheetData>
    <row r="1">
      <c r="A1" s="1" t="s">
        <v>972</v>
      </c>
      <c r="O1" s="86"/>
      <c r="P1" s="87"/>
      <c r="Q1" s="87"/>
      <c r="R1" s="87"/>
      <c r="S1" s="87"/>
      <c r="T1" s="87"/>
      <c r="U1" s="87"/>
    </row>
    <row r="2">
      <c r="A2" s="2" t="s">
        <v>442</v>
      </c>
      <c r="B2" s="2" t="s">
        <v>973</v>
      </c>
      <c r="C2" s="3" t="s">
        <v>3</v>
      </c>
      <c r="D2" s="4" t="s">
        <v>4</v>
      </c>
      <c r="E2" s="117"/>
      <c r="F2" s="5">
        <f>SUM(F11:F110)+1</f>
        <v>16</v>
      </c>
      <c r="K2" s="7" t="s">
        <v>5</v>
      </c>
      <c r="L2" s="8" t="s">
        <v>6</v>
      </c>
      <c r="M2" s="8" t="s">
        <v>7</v>
      </c>
      <c r="N2" s="8" t="s">
        <v>8</v>
      </c>
      <c r="O2" s="88"/>
      <c r="P2" s="9" t="s">
        <v>9</v>
      </c>
      <c r="Q2" s="89"/>
      <c r="R2" s="90"/>
      <c r="S2" s="90"/>
      <c r="T2" s="90"/>
      <c r="U2" s="91"/>
      <c r="V2" s="2" t="s">
        <v>974</v>
      </c>
    </row>
    <row r="3">
      <c r="A3" s="2" t="s">
        <v>279</v>
      </c>
      <c r="C3" s="15"/>
      <c r="D3" s="16" t="s">
        <v>12</v>
      </c>
      <c r="E3" s="16"/>
      <c r="F3" s="17">
        <f>SUM(I11:I110)+15-SUM(J11:J110)</f>
        <v>45332</v>
      </c>
      <c r="L3" s="34" t="s">
        <v>511</v>
      </c>
      <c r="M3" s="74" t="s">
        <v>791</v>
      </c>
      <c r="N3" s="20"/>
      <c r="O3" s="88"/>
      <c r="P3" s="118" t="s">
        <v>975</v>
      </c>
      <c r="Q3" s="118">
        <v>1.0</v>
      </c>
      <c r="R3" s="118" t="s">
        <v>905</v>
      </c>
      <c r="S3" s="118">
        <v>0.0</v>
      </c>
      <c r="T3" s="118" t="s">
        <v>976</v>
      </c>
      <c r="U3" s="118">
        <v>1.0</v>
      </c>
      <c r="V3" s="2" t="s">
        <v>977</v>
      </c>
      <c r="X3" s="2" t="s">
        <v>727</v>
      </c>
    </row>
    <row r="4">
      <c r="A4" s="2" t="s">
        <v>978</v>
      </c>
      <c r="C4" s="26"/>
      <c r="D4" s="27" t="s">
        <v>15</v>
      </c>
      <c r="E4" s="119"/>
      <c r="F4" s="28">
        <f>SUM(G11:G110)-SUM(H11:H110)</f>
        <v>257</v>
      </c>
      <c r="L4" s="67" t="s">
        <v>353</v>
      </c>
      <c r="M4" s="67" t="s">
        <v>979</v>
      </c>
      <c r="N4" s="31"/>
      <c r="O4" s="88"/>
      <c r="P4" s="120" t="s">
        <v>714</v>
      </c>
      <c r="Q4" s="120">
        <v>2.0</v>
      </c>
      <c r="R4" s="120" t="s">
        <v>637</v>
      </c>
      <c r="S4" s="120">
        <v>1.0</v>
      </c>
      <c r="T4" s="120" t="s">
        <v>980</v>
      </c>
      <c r="U4" s="120">
        <v>1.0</v>
      </c>
      <c r="V4" s="2" t="s">
        <v>981</v>
      </c>
      <c r="X4" s="2" t="s">
        <v>289</v>
      </c>
    </row>
    <row r="5">
      <c r="L5" s="34" t="s">
        <v>158</v>
      </c>
      <c r="M5" s="74" t="s">
        <v>785</v>
      </c>
      <c r="N5" s="20"/>
      <c r="O5" s="88"/>
      <c r="P5" s="118" t="s">
        <v>982</v>
      </c>
      <c r="Q5" s="118">
        <v>8.0</v>
      </c>
      <c r="R5" s="118" t="s">
        <v>983</v>
      </c>
      <c r="S5" s="118">
        <v>1.0</v>
      </c>
      <c r="T5" s="118" t="s">
        <v>984</v>
      </c>
      <c r="U5" s="118">
        <v>2.0</v>
      </c>
      <c r="V5" s="2" t="s">
        <v>985</v>
      </c>
      <c r="X5" s="2" t="s">
        <v>986</v>
      </c>
    </row>
    <row r="6">
      <c r="N6" s="31"/>
      <c r="O6" s="88"/>
      <c r="P6" s="120" t="s">
        <v>987</v>
      </c>
      <c r="Q6" s="120">
        <v>2.0</v>
      </c>
      <c r="R6" s="120" t="s">
        <v>988</v>
      </c>
      <c r="S6" s="120">
        <v>4.0</v>
      </c>
      <c r="T6" s="120" t="s">
        <v>989</v>
      </c>
      <c r="U6" s="120">
        <v>1.0</v>
      </c>
      <c r="V6" s="2" t="s">
        <v>990</v>
      </c>
      <c r="X6" s="2" t="s">
        <v>991</v>
      </c>
    </row>
    <row r="7">
      <c r="O7" s="96"/>
      <c r="P7" s="118" t="s">
        <v>992</v>
      </c>
      <c r="Q7" s="118">
        <v>4.0</v>
      </c>
      <c r="R7" s="118" t="s">
        <v>72</v>
      </c>
      <c r="S7" s="118">
        <v>1.0</v>
      </c>
      <c r="T7" s="118" t="s">
        <v>13</v>
      </c>
      <c r="U7" s="118">
        <v>2.0</v>
      </c>
      <c r="V7" s="2" t="s">
        <v>993</v>
      </c>
      <c r="X7" s="2" t="s">
        <v>994</v>
      </c>
    </row>
    <row r="8">
      <c r="K8" s="7" t="s">
        <v>17</v>
      </c>
      <c r="L8" s="68" t="s">
        <v>353</v>
      </c>
      <c r="M8" s="74" t="s">
        <v>791</v>
      </c>
      <c r="N8" s="34" t="s">
        <v>511</v>
      </c>
      <c r="O8" s="88"/>
      <c r="P8" s="120" t="s">
        <v>155</v>
      </c>
      <c r="Q8" s="120">
        <v>2.0</v>
      </c>
      <c r="R8" s="120" t="s">
        <v>46</v>
      </c>
      <c r="S8" s="120">
        <v>1.0</v>
      </c>
      <c r="T8" s="120" t="s">
        <v>265</v>
      </c>
      <c r="U8" s="120">
        <v>3.0</v>
      </c>
      <c r="V8" s="2" t="s">
        <v>995</v>
      </c>
      <c r="X8" s="2" t="s">
        <v>996</v>
      </c>
    </row>
    <row r="9">
      <c r="O9" s="96"/>
      <c r="P9" s="118" t="s">
        <v>997</v>
      </c>
      <c r="Q9" s="118">
        <v>2.0</v>
      </c>
      <c r="R9" s="118"/>
      <c r="S9" s="118"/>
      <c r="T9" s="118" t="s">
        <v>733</v>
      </c>
      <c r="U9" s="118">
        <v>1.0</v>
      </c>
      <c r="V9" s="2" t="s">
        <v>998</v>
      </c>
    </row>
    <row r="10">
      <c r="A10" s="37" t="s">
        <v>18</v>
      </c>
      <c r="B10" s="37" t="s">
        <v>19</v>
      </c>
      <c r="C10" s="37" t="s">
        <v>20</v>
      </c>
      <c r="D10" s="37" t="s">
        <v>21</v>
      </c>
      <c r="E10" s="37" t="s">
        <v>399</v>
      </c>
      <c r="F10" s="37" t="s">
        <v>22</v>
      </c>
      <c r="G10" s="37" t="s">
        <v>23</v>
      </c>
      <c r="H10" s="37" t="s">
        <v>24</v>
      </c>
      <c r="I10" s="37" t="s">
        <v>25</v>
      </c>
      <c r="J10" s="37" t="s">
        <v>26</v>
      </c>
      <c r="K10" s="37" t="s">
        <v>27</v>
      </c>
      <c r="L10" s="37" t="s">
        <v>28</v>
      </c>
      <c r="M10" s="37" t="s">
        <v>29</v>
      </c>
      <c r="N10" s="37" t="s">
        <v>30</v>
      </c>
      <c r="O10" s="97"/>
      <c r="P10" s="121" t="s">
        <v>149</v>
      </c>
      <c r="Q10" s="121">
        <v>2.0</v>
      </c>
      <c r="R10" s="121" t="s">
        <v>999</v>
      </c>
      <c r="S10" s="121">
        <v>1.0</v>
      </c>
      <c r="T10" s="121" t="s">
        <v>1000</v>
      </c>
      <c r="U10" s="121">
        <v>1.0</v>
      </c>
      <c r="V10" s="122" t="s">
        <v>1001</v>
      </c>
      <c r="W10" s="38"/>
      <c r="X10" s="38"/>
      <c r="Y10" s="38"/>
      <c r="Z10" s="38"/>
      <c r="AA10" s="38"/>
      <c r="AB10" s="38"/>
      <c r="AC10" s="38"/>
      <c r="AD10" s="38"/>
    </row>
    <row r="11">
      <c r="A11" s="39"/>
      <c r="B11" s="2" t="s">
        <v>1002</v>
      </c>
      <c r="C11" s="81" t="s">
        <v>1003</v>
      </c>
      <c r="D11" s="2" t="s">
        <v>408</v>
      </c>
      <c r="E11" s="2"/>
      <c r="F11" s="2">
        <v>1.0</v>
      </c>
      <c r="G11" s="2">
        <v>10.0</v>
      </c>
      <c r="I11" s="2">
        <v>80.0</v>
      </c>
      <c r="K11" s="2" t="s">
        <v>1004</v>
      </c>
      <c r="L11" s="2" t="s">
        <v>975</v>
      </c>
      <c r="O11" s="86"/>
      <c r="P11" s="86"/>
      <c r="Q11" s="86"/>
      <c r="R11" s="86"/>
      <c r="S11" s="86"/>
      <c r="T11" s="86"/>
      <c r="U11" s="86"/>
    </row>
    <row r="12">
      <c r="A12" s="39"/>
      <c r="D12" s="2" t="s">
        <v>600</v>
      </c>
      <c r="E12" s="2"/>
      <c r="F12" s="2">
        <v>1.0</v>
      </c>
      <c r="G12" s="2">
        <v>10.0</v>
      </c>
      <c r="I12" s="2">
        <v>80.0</v>
      </c>
      <c r="O12" s="86"/>
      <c r="P12" s="86"/>
      <c r="Q12" s="86"/>
      <c r="R12" s="86"/>
      <c r="S12" s="86"/>
      <c r="T12" s="86"/>
      <c r="U12" s="86"/>
    </row>
    <row r="13">
      <c r="A13" s="39"/>
      <c r="C13" s="2" t="s">
        <v>40</v>
      </c>
      <c r="D13" s="2" t="s">
        <v>58</v>
      </c>
      <c r="H13" s="2">
        <v>15.0</v>
      </c>
      <c r="K13" s="2" t="s">
        <v>1005</v>
      </c>
      <c r="N13" s="2" t="s">
        <v>1006</v>
      </c>
      <c r="O13" s="86"/>
      <c r="P13" s="86"/>
      <c r="Q13" s="86"/>
      <c r="R13" s="86"/>
      <c r="S13" s="86"/>
      <c r="T13" s="86"/>
      <c r="U13" s="86"/>
    </row>
    <row r="14">
      <c r="A14" s="39">
        <v>44251.0</v>
      </c>
      <c r="C14" s="2" t="s">
        <v>283</v>
      </c>
      <c r="E14" s="2"/>
      <c r="F14" s="2">
        <v>2.0</v>
      </c>
      <c r="G14" s="2">
        <v>30.0</v>
      </c>
      <c r="I14" s="2">
        <v>160.0</v>
      </c>
      <c r="O14" s="86"/>
      <c r="P14" s="86"/>
      <c r="Q14" s="86"/>
      <c r="R14" s="86"/>
      <c r="S14" s="86"/>
      <c r="T14" s="86"/>
      <c r="U14" s="86"/>
    </row>
    <row r="15">
      <c r="A15" s="40">
        <v>44251.0</v>
      </c>
      <c r="B15" s="41"/>
      <c r="C15" s="41" t="s">
        <v>1007</v>
      </c>
      <c r="D15" s="41"/>
      <c r="E15" s="41"/>
      <c r="F15" s="41">
        <v>6.0</v>
      </c>
      <c r="G15" s="41">
        <v>120.0</v>
      </c>
      <c r="H15" s="41"/>
      <c r="I15" s="41">
        <v>1440.0</v>
      </c>
      <c r="J15" s="41"/>
      <c r="K15" s="41"/>
      <c r="L15" s="42"/>
      <c r="M15" s="42"/>
      <c r="N15" s="41"/>
      <c r="O15" s="83"/>
      <c r="P15" s="83"/>
      <c r="Q15" s="83"/>
      <c r="R15" s="83"/>
      <c r="S15" s="83"/>
      <c r="T15" s="83"/>
      <c r="U15" s="83"/>
      <c r="V15" s="42"/>
      <c r="W15" s="42"/>
      <c r="X15" s="42"/>
      <c r="Y15" s="42"/>
      <c r="Z15" s="42"/>
      <c r="AA15" s="42"/>
      <c r="AB15" s="42"/>
      <c r="AC15" s="42"/>
      <c r="AD15" s="42"/>
    </row>
    <row r="16">
      <c r="A16" s="39">
        <v>44251.0</v>
      </c>
      <c r="C16" s="2" t="s">
        <v>283</v>
      </c>
      <c r="D16" s="2"/>
      <c r="E16" s="2"/>
      <c r="F16" s="2">
        <v>2.0</v>
      </c>
      <c r="G16" s="2">
        <v>40.0</v>
      </c>
      <c r="H16" s="2"/>
      <c r="I16" s="2">
        <v>3200.0</v>
      </c>
      <c r="K16" s="2"/>
      <c r="N16" s="2"/>
      <c r="O16" s="86"/>
      <c r="P16" s="86"/>
      <c r="Q16" s="86"/>
      <c r="R16" s="86"/>
      <c r="S16" s="86"/>
      <c r="T16" s="86"/>
      <c r="U16" s="86"/>
    </row>
    <row r="17">
      <c r="A17" s="39">
        <v>44251.0</v>
      </c>
      <c r="B17" s="123"/>
      <c r="C17" s="2" t="s">
        <v>238</v>
      </c>
      <c r="D17" s="2"/>
      <c r="E17" s="2"/>
      <c r="F17" s="2"/>
      <c r="G17" s="2"/>
      <c r="I17" s="2"/>
      <c r="K17" s="2" t="s">
        <v>1008</v>
      </c>
      <c r="O17" s="86"/>
      <c r="P17" s="86"/>
      <c r="Q17" s="86"/>
      <c r="R17" s="86"/>
      <c r="S17" s="86"/>
      <c r="T17" s="86"/>
      <c r="U17" s="86"/>
    </row>
    <row r="18">
      <c r="A18" s="39">
        <v>44251.0</v>
      </c>
      <c r="B18" s="123"/>
      <c r="C18" s="2" t="s">
        <v>238</v>
      </c>
      <c r="D18" s="2"/>
      <c r="E18" s="2"/>
      <c r="F18" s="2"/>
      <c r="G18" s="2"/>
      <c r="I18" s="2"/>
      <c r="K18" s="2" t="s">
        <v>1009</v>
      </c>
      <c r="O18" s="86"/>
      <c r="P18" s="86"/>
      <c r="Q18" s="86"/>
      <c r="R18" s="86"/>
      <c r="S18" s="86"/>
      <c r="T18" s="86"/>
      <c r="U18" s="86"/>
    </row>
    <row r="19">
      <c r="A19" s="39">
        <v>44251.0</v>
      </c>
      <c r="B19" s="123"/>
      <c r="C19" s="2" t="s">
        <v>238</v>
      </c>
      <c r="H19" s="2"/>
      <c r="K19" s="2" t="s">
        <v>597</v>
      </c>
      <c r="N19" s="2"/>
      <c r="O19" s="86"/>
      <c r="P19" s="86"/>
      <c r="Q19" s="86"/>
      <c r="R19" s="86"/>
      <c r="S19" s="86"/>
      <c r="T19" s="86"/>
      <c r="U19" s="86"/>
    </row>
    <row r="20">
      <c r="A20" s="39">
        <v>44251.0</v>
      </c>
      <c r="C20" s="2" t="s">
        <v>238</v>
      </c>
      <c r="H20" s="2"/>
      <c r="K20" s="2" t="s">
        <v>264</v>
      </c>
      <c r="N20" s="2"/>
      <c r="O20" s="86"/>
      <c r="P20" s="86"/>
      <c r="Q20" s="86"/>
      <c r="R20" s="86"/>
      <c r="S20" s="86"/>
      <c r="T20" s="86"/>
      <c r="U20" s="86"/>
    </row>
    <row r="21">
      <c r="A21" s="39">
        <v>44251.0</v>
      </c>
      <c r="C21" s="2" t="s">
        <v>40</v>
      </c>
      <c r="H21" s="2">
        <v>15.0</v>
      </c>
      <c r="K21" s="2" t="s">
        <v>156</v>
      </c>
      <c r="N21" s="2" t="s">
        <v>1010</v>
      </c>
      <c r="O21" s="86"/>
      <c r="P21" s="86"/>
      <c r="Q21" s="86"/>
      <c r="R21" s="86"/>
      <c r="S21" s="86"/>
      <c r="T21" s="86"/>
      <c r="U21" s="86"/>
    </row>
    <row r="22">
      <c r="A22" s="39">
        <v>44251.0</v>
      </c>
      <c r="C22" s="2" t="s">
        <v>40</v>
      </c>
      <c r="H22" s="2">
        <v>15.0</v>
      </c>
      <c r="K22" s="2" t="s">
        <v>1011</v>
      </c>
      <c r="N22" s="2" t="s">
        <v>1012</v>
      </c>
      <c r="O22" s="86"/>
      <c r="P22" s="86"/>
      <c r="Q22" s="86"/>
      <c r="R22" s="86"/>
      <c r="S22" s="86"/>
      <c r="T22" s="86"/>
      <c r="U22" s="86"/>
    </row>
    <row r="23">
      <c r="A23" s="39">
        <v>44251.0</v>
      </c>
      <c r="B23" s="2" t="s">
        <v>1013</v>
      </c>
      <c r="C23" s="2" t="s">
        <v>1014</v>
      </c>
      <c r="D23" s="2" t="s">
        <v>247</v>
      </c>
      <c r="E23" s="2"/>
      <c r="F23" s="2">
        <v>1.0</v>
      </c>
      <c r="H23" s="2">
        <v>1.0</v>
      </c>
      <c r="I23" s="2">
        <v>800.0</v>
      </c>
      <c r="J23" s="2">
        <v>4100.0</v>
      </c>
      <c r="K23" s="2" t="s">
        <v>1015</v>
      </c>
      <c r="L23" s="2" t="s">
        <v>1016</v>
      </c>
      <c r="M23" s="2" t="s">
        <v>1017</v>
      </c>
      <c r="N23" s="2" t="s">
        <v>1018</v>
      </c>
      <c r="O23" s="86"/>
      <c r="P23" s="86"/>
      <c r="Q23" s="86"/>
      <c r="R23" s="86"/>
      <c r="S23" s="86"/>
      <c r="T23" s="86"/>
      <c r="U23" s="86"/>
    </row>
    <row r="24">
      <c r="A24" s="39">
        <v>44279.0</v>
      </c>
      <c r="B24" s="2" t="s">
        <v>1019</v>
      </c>
      <c r="C24" s="2" t="s">
        <v>1020</v>
      </c>
      <c r="D24" s="2" t="s">
        <v>58</v>
      </c>
      <c r="E24" s="2">
        <v>4.0</v>
      </c>
      <c r="I24" s="2">
        <v>800.0</v>
      </c>
      <c r="K24" s="2" t="s">
        <v>1021</v>
      </c>
      <c r="L24" s="2" t="s">
        <v>1022</v>
      </c>
      <c r="N24" s="2" t="s">
        <v>1023</v>
      </c>
      <c r="O24" s="86"/>
      <c r="P24" s="86"/>
      <c r="Q24" s="86"/>
      <c r="R24" s="86"/>
      <c r="S24" s="86"/>
      <c r="T24" s="86"/>
      <c r="U24" s="86"/>
    </row>
    <row r="25">
      <c r="A25" s="39">
        <v>44282.0</v>
      </c>
      <c r="C25" s="2" t="s">
        <v>238</v>
      </c>
      <c r="K25" s="2" t="s">
        <v>687</v>
      </c>
      <c r="O25" s="86"/>
      <c r="P25" s="86"/>
      <c r="Q25" s="86"/>
      <c r="R25" s="86"/>
      <c r="S25" s="86"/>
      <c r="T25" s="86"/>
      <c r="U25" s="86"/>
    </row>
    <row r="26">
      <c r="A26" s="39">
        <v>44282.0</v>
      </c>
      <c r="C26" s="2" t="s">
        <v>40</v>
      </c>
      <c r="D26" s="2" t="s">
        <v>670</v>
      </c>
      <c r="H26" s="2">
        <v>15.0</v>
      </c>
      <c r="K26" s="2" t="s">
        <v>353</v>
      </c>
      <c r="N26" s="2" t="s">
        <v>1024</v>
      </c>
      <c r="O26" s="86"/>
      <c r="P26" s="86"/>
      <c r="Q26" s="86"/>
      <c r="R26" s="86"/>
      <c r="S26" s="86"/>
      <c r="T26" s="86"/>
      <c r="U26" s="86"/>
    </row>
    <row r="27">
      <c r="A27" s="39">
        <v>44282.0</v>
      </c>
      <c r="B27" s="2" t="s">
        <v>1025</v>
      </c>
      <c r="C27" s="2" t="s">
        <v>1026</v>
      </c>
      <c r="D27" s="2" t="s">
        <v>670</v>
      </c>
      <c r="E27" s="2">
        <v>6.0</v>
      </c>
      <c r="H27" s="2">
        <v>1.0</v>
      </c>
      <c r="I27" s="2">
        <v>800.0</v>
      </c>
      <c r="J27" s="2">
        <v>300.0</v>
      </c>
      <c r="K27" s="2" t="s">
        <v>994</v>
      </c>
      <c r="M27" s="2" t="s">
        <v>1027</v>
      </c>
      <c r="N27" s="2" t="s">
        <v>1028</v>
      </c>
      <c r="O27" s="86"/>
      <c r="P27" s="86"/>
      <c r="Q27" s="86"/>
      <c r="R27" s="86"/>
      <c r="S27" s="86"/>
      <c r="T27" s="86"/>
      <c r="U27" s="86"/>
    </row>
    <row r="28">
      <c r="A28" s="39">
        <v>44289.0</v>
      </c>
      <c r="B28" s="2" t="s">
        <v>1029</v>
      </c>
      <c r="C28" s="2" t="s">
        <v>1030</v>
      </c>
      <c r="D28" s="2" t="s">
        <v>1031</v>
      </c>
      <c r="E28" s="2">
        <v>8.0</v>
      </c>
      <c r="F28" s="2">
        <v>1.0</v>
      </c>
      <c r="G28" s="2">
        <v>20.0</v>
      </c>
      <c r="J28" s="2">
        <v>85.0</v>
      </c>
      <c r="K28" s="2" t="s">
        <v>1032</v>
      </c>
      <c r="N28" s="2" t="s">
        <v>1033</v>
      </c>
      <c r="O28" s="86"/>
      <c r="P28" s="86"/>
      <c r="Q28" s="86"/>
      <c r="R28" s="86"/>
      <c r="S28" s="86"/>
      <c r="T28" s="86"/>
      <c r="U28" s="86"/>
    </row>
    <row r="29">
      <c r="A29" s="39">
        <v>44293.0</v>
      </c>
      <c r="B29" s="2" t="s">
        <v>1034</v>
      </c>
      <c r="C29" s="2" t="s">
        <v>1035</v>
      </c>
      <c r="D29" s="2" t="s">
        <v>510</v>
      </c>
      <c r="E29" s="2">
        <v>3.0</v>
      </c>
      <c r="H29" s="2">
        <v>1.0</v>
      </c>
      <c r="I29" s="2">
        <v>600.0</v>
      </c>
      <c r="J29" s="2">
        <v>500.0</v>
      </c>
      <c r="K29" s="2" t="s">
        <v>158</v>
      </c>
      <c r="L29" s="2" t="s">
        <v>905</v>
      </c>
      <c r="M29" s="2" t="s">
        <v>1036</v>
      </c>
      <c r="N29" s="2" t="s">
        <v>1037</v>
      </c>
      <c r="O29" s="86"/>
      <c r="P29" s="86"/>
      <c r="Q29" s="86"/>
      <c r="R29" s="86"/>
      <c r="S29" s="86"/>
      <c r="T29" s="86"/>
      <c r="U29" s="86"/>
    </row>
    <row r="30">
      <c r="A30" s="39">
        <v>44299.0</v>
      </c>
      <c r="B30" s="2" t="s">
        <v>1038</v>
      </c>
      <c r="C30" s="2" t="s">
        <v>1039</v>
      </c>
      <c r="D30" s="2" t="s">
        <v>58</v>
      </c>
      <c r="E30" s="2">
        <v>2.0</v>
      </c>
      <c r="H30" s="2">
        <v>1.0</v>
      </c>
      <c r="I30" s="2">
        <v>400.0</v>
      </c>
      <c r="K30" s="2" t="s">
        <v>1040</v>
      </c>
      <c r="L30" s="2" t="s">
        <v>637</v>
      </c>
      <c r="O30" s="86"/>
      <c r="P30" s="86"/>
      <c r="Q30" s="86"/>
      <c r="R30" s="86"/>
      <c r="S30" s="86"/>
      <c r="T30" s="86"/>
      <c r="U30" s="86"/>
    </row>
    <row r="31">
      <c r="A31" s="39">
        <v>44301.0</v>
      </c>
      <c r="B31" s="2" t="s">
        <v>1041</v>
      </c>
      <c r="C31" s="2" t="s">
        <v>1042</v>
      </c>
      <c r="D31" s="2" t="s">
        <v>37</v>
      </c>
      <c r="E31" s="2">
        <v>4.0</v>
      </c>
      <c r="H31" s="2">
        <v>1.0</v>
      </c>
      <c r="I31" s="2">
        <v>600.0</v>
      </c>
      <c r="J31" s="2">
        <v>1000.0</v>
      </c>
      <c r="K31" s="2" t="s">
        <v>1043</v>
      </c>
      <c r="L31" s="2" t="s">
        <v>1044</v>
      </c>
      <c r="N31" s="2" t="s">
        <v>1045</v>
      </c>
      <c r="O31" s="86"/>
      <c r="P31" s="86"/>
      <c r="Q31" s="86"/>
      <c r="R31" s="86"/>
      <c r="S31" s="86"/>
      <c r="T31" s="86"/>
      <c r="U31" s="86"/>
    </row>
    <row r="32">
      <c r="A32" s="39">
        <v>44314.0</v>
      </c>
      <c r="B32" s="2" t="s">
        <v>1046</v>
      </c>
      <c r="C32" s="2" t="s">
        <v>1047</v>
      </c>
      <c r="D32" s="2" t="s">
        <v>247</v>
      </c>
      <c r="E32" s="2">
        <v>5.0</v>
      </c>
      <c r="F32" s="2">
        <v>1.0</v>
      </c>
      <c r="G32" s="2">
        <v>20.0</v>
      </c>
      <c r="H32" s="2">
        <v>1.0</v>
      </c>
      <c r="K32" s="2" t="s">
        <v>1048</v>
      </c>
      <c r="O32" s="86"/>
      <c r="P32" s="86"/>
      <c r="Q32" s="86"/>
      <c r="R32" s="86"/>
      <c r="S32" s="86"/>
      <c r="T32" s="86"/>
      <c r="U32" s="86"/>
    </row>
    <row r="33">
      <c r="A33" s="39">
        <v>44328.0</v>
      </c>
      <c r="B33" s="2" t="s">
        <v>1049</v>
      </c>
      <c r="C33" s="2" t="s">
        <v>1050</v>
      </c>
      <c r="D33" s="2" t="s">
        <v>58</v>
      </c>
      <c r="E33" s="2">
        <v>4.0</v>
      </c>
      <c r="I33" s="2">
        <v>800.0</v>
      </c>
      <c r="J33" s="2">
        <v>600.0</v>
      </c>
      <c r="K33" s="2" t="s">
        <v>259</v>
      </c>
      <c r="L33" s="2" t="s">
        <v>1051</v>
      </c>
      <c r="N33" s="2" t="s">
        <v>1052</v>
      </c>
      <c r="O33" s="86"/>
      <c r="P33" s="86"/>
      <c r="Q33" s="86"/>
      <c r="R33" s="86"/>
      <c r="S33" s="86"/>
      <c r="T33" s="86"/>
      <c r="U33" s="86"/>
    </row>
    <row r="34">
      <c r="A34" s="39">
        <v>44330.0</v>
      </c>
      <c r="B34" s="2"/>
      <c r="C34" s="2" t="s">
        <v>40</v>
      </c>
      <c r="D34" s="2"/>
      <c r="H34" s="2">
        <v>15.0</v>
      </c>
      <c r="K34" s="2" t="s">
        <v>1053</v>
      </c>
      <c r="N34" s="2" t="s">
        <v>1054</v>
      </c>
      <c r="O34" s="86"/>
      <c r="P34" s="86"/>
      <c r="Q34" s="86"/>
      <c r="R34" s="86"/>
      <c r="S34" s="86"/>
      <c r="T34" s="86"/>
      <c r="U34" s="86"/>
    </row>
    <row r="35">
      <c r="A35" s="39">
        <v>44330.0</v>
      </c>
      <c r="B35" s="2" t="s">
        <v>1055</v>
      </c>
      <c r="C35" s="2" t="s">
        <v>1056</v>
      </c>
      <c r="D35" s="2" t="s">
        <v>58</v>
      </c>
      <c r="E35" s="2">
        <v>3.0</v>
      </c>
      <c r="I35" s="2">
        <v>600.0</v>
      </c>
      <c r="J35" s="2">
        <v>567.0</v>
      </c>
      <c r="N35" s="2" t="s">
        <v>1057</v>
      </c>
      <c r="O35" s="86"/>
      <c r="P35" s="86"/>
      <c r="Q35" s="86"/>
      <c r="R35" s="86"/>
      <c r="S35" s="86"/>
      <c r="T35" s="86"/>
      <c r="U35" s="86"/>
    </row>
    <row r="36">
      <c r="A36" s="39">
        <v>44344.0</v>
      </c>
      <c r="B36" s="2" t="s">
        <v>1058</v>
      </c>
      <c r="C36" s="2" t="s">
        <v>1059</v>
      </c>
      <c r="D36" s="2" t="s">
        <v>1060</v>
      </c>
      <c r="E36" s="2">
        <v>4.0</v>
      </c>
      <c r="I36" s="2">
        <v>200.0</v>
      </c>
      <c r="K36" s="2" t="s">
        <v>1061</v>
      </c>
      <c r="L36" s="2" t="s">
        <v>714</v>
      </c>
      <c r="M36" s="2" t="s">
        <v>1062</v>
      </c>
      <c r="O36" s="86"/>
      <c r="P36" s="86"/>
      <c r="Q36" s="86"/>
      <c r="R36" s="86"/>
      <c r="S36" s="86"/>
      <c r="T36" s="86"/>
      <c r="U36" s="86"/>
    </row>
    <row r="37">
      <c r="A37" s="39">
        <v>44345.0</v>
      </c>
      <c r="B37" s="2" t="s">
        <v>1063</v>
      </c>
      <c r="C37" s="2" t="s">
        <v>1064</v>
      </c>
      <c r="D37" s="2" t="s">
        <v>429</v>
      </c>
      <c r="E37" s="2">
        <v>4.0</v>
      </c>
      <c r="K37" s="2" t="s">
        <v>1065</v>
      </c>
      <c r="M37" s="2" t="s">
        <v>1066</v>
      </c>
      <c r="O37" s="86"/>
      <c r="P37" s="86"/>
      <c r="Q37" s="86"/>
      <c r="R37" s="86"/>
      <c r="S37" s="86"/>
      <c r="T37" s="86"/>
      <c r="U37" s="86"/>
    </row>
    <row r="38">
      <c r="A38" s="39">
        <v>44346.0</v>
      </c>
      <c r="B38" s="2" t="s">
        <v>1067</v>
      </c>
      <c r="C38" s="2" t="s">
        <v>1068</v>
      </c>
      <c r="D38" s="2" t="s">
        <v>412</v>
      </c>
      <c r="E38" s="2" t="s">
        <v>430</v>
      </c>
      <c r="J38" s="2">
        <v>200.0</v>
      </c>
      <c r="O38" s="86"/>
      <c r="P38" s="86"/>
      <c r="Q38" s="86"/>
      <c r="R38" s="86"/>
      <c r="S38" s="86"/>
      <c r="T38" s="86"/>
      <c r="U38" s="86"/>
    </row>
    <row r="39">
      <c r="A39" s="39">
        <v>44349.0</v>
      </c>
      <c r="B39" s="2" t="s">
        <v>1069</v>
      </c>
      <c r="C39" s="2" t="s">
        <v>1070</v>
      </c>
      <c r="D39" s="2" t="s">
        <v>544</v>
      </c>
      <c r="E39" s="2">
        <v>4.0</v>
      </c>
      <c r="H39" s="2">
        <v>1.0</v>
      </c>
      <c r="K39" s="2" t="s">
        <v>815</v>
      </c>
      <c r="M39" s="2" t="s">
        <v>1071</v>
      </c>
      <c r="O39" s="86"/>
      <c r="P39" s="86"/>
      <c r="Q39" s="86"/>
      <c r="R39" s="86"/>
      <c r="S39" s="86"/>
      <c r="T39" s="86"/>
      <c r="U39" s="86"/>
    </row>
    <row r="40">
      <c r="A40" s="39">
        <v>44376.0</v>
      </c>
      <c r="B40" s="2" t="s">
        <v>1072</v>
      </c>
      <c r="C40" s="2" t="s">
        <v>1073</v>
      </c>
      <c r="D40" s="2" t="s">
        <v>37</v>
      </c>
      <c r="E40" s="2">
        <v>4.0</v>
      </c>
      <c r="H40" s="2">
        <v>51.0</v>
      </c>
      <c r="J40" s="2">
        <v>375.0</v>
      </c>
      <c r="K40" s="2" t="s">
        <v>785</v>
      </c>
      <c r="M40" s="2" t="s">
        <v>1074</v>
      </c>
      <c r="N40" s="2" t="s">
        <v>1075</v>
      </c>
      <c r="O40" s="86"/>
      <c r="P40" s="86"/>
      <c r="Q40" s="86"/>
      <c r="R40" s="86"/>
      <c r="S40" s="86"/>
      <c r="T40" s="86"/>
      <c r="U40" s="86"/>
    </row>
    <row r="41">
      <c r="A41" s="39">
        <v>44389.0</v>
      </c>
      <c r="B41" s="2" t="s">
        <v>1076</v>
      </c>
      <c r="C41" s="2" t="s">
        <v>1077</v>
      </c>
      <c r="D41" s="2" t="s">
        <v>544</v>
      </c>
      <c r="E41" s="2" t="s">
        <v>430</v>
      </c>
      <c r="O41" s="86"/>
      <c r="P41" s="86"/>
      <c r="Q41" s="86"/>
      <c r="R41" s="86"/>
      <c r="S41" s="86"/>
      <c r="T41" s="86"/>
      <c r="U41" s="86"/>
    </row>
    <row r="42">
      <c r="A42" s="39">
        <v>44398.0</v>
      </c>
      <c r="B42" s="70" t="s">
        <v>1078</v>
      </c>
      <c r="C42" s="2" t="s">
        <v>1079</v>
      </c>
      <c r="D42" s="2" t="s">
        <v>438</v>
      </c>
      <c r="E42" s="2">
        <v>4.0</v>
      </c>
      <c r="J42" s="2">
        <v>150.0</v>
      </c>
      <c r="K42" s="2" t="s">
        <v>1080</v>
      </c>
      <c r="O42" s="86"/>
      <c r="P42" s="86"/>
      <c r="Q42" s="86"/>
      <c r="R42" s="86"/>
      <c r="S42" s="86"/>
      <c r="T42" s="86"/>
      <c r="U42" s="86"/>
    </row>
    <row r="43">
      <c r="A43" s="39">
        <v>44403.0</v>
      </c>
      <c r="B43" s="2" t="s">
        <v>1081</v>
      </c>
      <c r="C43" s="2" t="s">
        <v>1082</v>
      </c>
      <c r="D43" s="2" t="s">
        <v>438</v>
      </c>
      <c r="E43" s="2">
        <v>4.0</v>
      </c>
      <c r="J43" s="2">
        <v>300.0</v>
      </c>
      <c r="K43" s="2" t="s">
        <v>292</v>
      </c>
      <c r="N43" s="2" t="s">
        <v>1083</v>
      </c>
      <c r="O43" s="86"/>
      <c r="P43" s="86"/>
      <c r="Q43" s="86"/>
      <c r="R43" s="86"/>
      <c r="S43" s="86"/>
      <c r="T43" s="86"/>
      <c r="U43" s="86"/>
    </row>
    <row r="44">
      <c r="A44" s="39">
        <v>44409.0</v>
      </c>
      <c r="B44" s="2" t="s">
        <v>1084</v>
      </c>
      <c r="C44" s="2" t="s">
        <v>1085</v>
      </c>
      <c r="D44" s="2" t="s">
        <v>33</v>
      </c>
      <c r="O44" s="86"/>
      <c r="P44" s="86"/>
      <c r="Q44" s="86"/>
      <c r="R44" s="86"/>
      <c r="S44" s="86"/>
      <c r="T44" s="86"/>
      <c r="U44" s="86"/>
    </row>
    <row r="45">
      <c r="A45" s="39">
        <v>44443.0</v>
      </c>
      <c r="B45" s="2" t="s">
        <v>1086</v>
      </c>
      <c r="C45" s="2" t="s">
        <v>1087</v>
      </c>
      <c r="D45" s="2" t="s">
        <v>37</v>
      </c>
      <c r="E45" s="2">
        <v>4.0</v>
      </c>
      <c r="O45" s="86"/>
      <c r="P45" s="86"/>
      <c r="Q45" s="86"/>
      <c r="R45" s="86"/>
      <c r="S45" s="86"/>
      <c r="T45" s="86"/>
      <c r="U45" s="86"/>
    </row>
    <row r="46">
      <c r="B46" s="2" t="s">
        <v>1088</v>
      </c>
      <c r="C46" s="2" t="s">
        <v>1089</v>
      </c>
      <c r="D46" s="2" t="s">
        <v>37</v>
      </c>
      <c r="N46" s="2" t="s">
        <v>1090</v>
      </c>
      <c r="O46" s="86"/>
      <c r="P46" s="86"/>
      <c r="Q46" s="86"/>
      <c r="R46" s="86"/>
      <c r="S46" s="86"/>
      <c r="T46" s="86"/>
      <c r="U46" s="86"/>
    </row>
    <row r="47">
      <c r="A47" s="39">
        <v>44499.0</v>
      </c>
      <c r="B47" s="2" t="s">
        <v>1091</v>
      </c>
      <c r="C47" s="2" t="s">
        <v>1092</v>
      </c>
      <c r="D47" s="2" t="s">
        <v>58</v>
      </c>
      <c r="G47" s="2">
        <v>10.0</v>
      </c>
      <c r="H47" s="2">
        <v>10.0</v>
      </c>
      <c r="I47" s="2">
        <v>12500.0</v>
      </c>
      <c r="J47" s="2">
        <v>1750.0</v>
      </c>
      <c r="K47" s="2" t="s">
        <v>1093</v>
      </c>
      <c r="L47" s="2" t="s">
        <v>1094</v>
      </c>
      <c r="M47" s="2" t="s">
        <v>1095</v>
      </c>
      <c r="N47" s="2" t="s">
        <v>1096</v>
      </c>
      <c r="O47" s="86"/>
      <c r="P47" s="86"/>
      <c r="Q47" s="86"/>
      <c r="R47" s="86"/>
      <c r="S47" s="86"/>
      <c r="T47" s="86"/>
      <c r="U47" s="86"/>
    </row>
    <row r="48">
      <c r="A48" s="39">
        <v>44505.0</v>
      </c>
      <c r="B48" s="2" t="s">
        <v>1097</v>
      </c>
      <c r="C48" s="2" t="s">
        <v>1098</v>
      </c>
      <c r="D48" s="2" t="s">
        <v>544</v>
      </c>
      <c r="G48" s="2">
        <v>10.0</v>
      </c>
      <c r="I48" s="2">
        <v>3537.0</v>
      </c>
      <c r="K48" s="2" t="s">
        <v>1099</v>
      </c>
      <c r="M48" s="2" t="s">
        <v>1100</v>
      </c>
      <c r="O48" s="86"/>
      <c r="P48" s="86"/>
      <c r="Q48" s="86"/>
      <c r="R48" s="86"/>
      <c r="S48" s="86"/>
      <c r="T48" s="86"/>
      <c r="U48" s="86"/>
    </row>
    <row r="49">
      <c r="A49" s="39">
        <v>44510.0</v>
      </c>
      <c r="B49" s="2" t="s">
        <v>1101</v>
      </c>
      <c r="C49" s="2" t="s">
        <v>1102</v>
      </c>
      <c r="D49" s="2" t="s">
        <v>1103</v>
      </c>
      <c r="G49" s="2">
        <v>10.0</v>
      </c>
      <c r="I49" s="2">
        <v>1562.0</v>
      </c>
      <c r="K49" s="2" t="s">
        <v>1104</v>
      </c>
      <c r="L49" s="2" t="s">
        <v>1105</v>
      </c>
      <c r="O49" s="86"/>
      <c r="P49" s="86"/>
      <c r="Q49" s="86"/>
      <c r="R49" s="86"/>
      <c r="S49" s="86"/>
      <c r="T49" s="86"/>
      <c r="U49" s="86"/>
    </row>
    <row r="50">
      <c r="A50" s="124">
        <v>44511.0</v>
      </c>
      <c r="B50" s="2" t="s">
        <v>1097</v>
      </c>
      <c r="C50" s="2" t="s">
        <v>1106</v>
      </c>
      <c r="D50" s="2" t="s">
        <v>544</v>
      </c>
      <c r="G50" s="2">
        <v>10.0</v>
      </c>
      <c r="I50" s="2">
        <v>4675.0</v>
      </c>
      <c r="J50" s="2">
        <v>2000.0</v>
      </c>
      <c r="K50" s="2" t="s">
        <v>1107</v>
      </c>
      <c r="L50" s="2" t="s">
        <v>1108</v>
      </c>
      <c r="O50" s="86"/>
      <c r="P50" s="86"/>
      <c r="Q50" s="86"/>
      <c r="R50" s="86"/>
      <c r="S50" s="86"/>
      <c r="T50" s="86"/>
      <c r="U50" s="86"/>
    </row>
    <row r="51">
      <c r="A51" s="39">
        <v>44605.0</v>
      </c>
      <c r="B51" s="2" t="s">
        <v>1109</v>
      </c>
      <c r="C51" s="2" t="s">
        <v>1110</v>
      </c>
      <c r="D51" s="2" t="s">
        <v>33</v>
      </c>
      <c r="G51" s="2">
        <v>10.0</v>
      </c>
      <c r="I51" s="2">
        <v>3000.0</v>
      </c>
      <c r="J51" s="2">
        <v>6375.0</v>
      </c>
      <c r="K51" s="2" t="s">
        <v>1111</v>
      </c>
      <c r="L51" s="2" t="s">
        <v>1112</v>
      </c>
      <c r="N51" s="2" t="s">
        <v>1113</v>
      </c>
      <c r="O51" s="86"/>
      <c r="P51" s="86"/>
      <c r="Q51" s="86"/>
      <c r="R51" s="86"/>
      <c r="S51" s="86"/>
      <c r="T51" s="86"/>
      <c r="U51" s="86"/>
    </row>
    <row r="52">
      <c r="A52" s="39">
        <v>44649.0</v>
      </c>
      <c r="B52" s="2" t="s">
        <v>1114</v>
      </c>
      <c r="C52" s="2" t="s">
        <v>1115</v>
      </c>
      <c r="D52" s="2" t="s">
        <v>438</v>
      </c>
      <c r="G52" s="2">
        <v>10.0</v>
      </c>
      <c r="I52" s="2">
        <v>1361.0</v>
      </c>
      <c r="J52" s="2">
        <v>1000.0</v>
      </c>
      <c r="K52" s="2" t="s">
        <v>994</v>
      </c>
      <c r="L52" s="2" t="s">
        <v>1116</v>
      </c>
      <c r="N52" s="2" t="s">
        <v>1117</v>
      </c>
      <c r="O52" s="86"/>
      <c r="P52" s="86"/>
      <c r="Q52" s="86"/>
      <c r="R52" s="86"/>
      <c r="S52" s="86"/>
      <c r="T52" s="86"/>
      <c r="U52" s="86"/>
    </row>
    <row r="53">
      <c r="A53" s="39">
        <v>44652.0</v>
      </c>
      <c r="B53" s="2" t="s">
        <v>958</v>
      </c>
      <c r="C53" s="2" t="s">
        <v>1118</v>
      </c>
      <c r="D53" s="2" t="s">
        <v>33</v>
      </c>
      <c r="G53" s="2">
        <v>10.0</v>
      </c>
      <c r="I53" s="2">
        <v>16666.0</v>
      </c>
      <c r="J53" s="2">
        <v>1000.0</v>
      </c>
      <c r="L53" s="2" t="s">
        <v>1119</v>
      </c>
      <c r="O53" s="86"/>
      <c r="P53" s="86"/>
      <c r="Q53" s="86"/>
      <c r="R53" s="86"/>
      <c r="S53" s="86"/>
      <c r="T53" s="86"/>
      <c r="U53" s="86"/>
    </row>
    <row r="54">
      <c r="A54" s="39">
        <v>44654.0</v>
      </c>
      <c r="B54" s="2" t="s">
        <v>805</v>
      </c>
      <c r="C54" s="2" t="s">
        <v>806</v>
      </c>
      <c r="D54" s="2" t="s">
        <v>438</v>
      </c>
      <c r="G54" s="2">
        <v>10.0</v>
      </c>
      <c r="I54" s="2">
        <v>2328.0</v>
      </c>
      <c r="J54" s="2">
        <v>3000.0</v>
      </c>
      <c r="K54" s="2" t="s">
        <v>1120</v>
      </c>
      <c r="L54" s="2" t="s">
        <v>149</v>
      </c>
      <c r="O54" s="86"/>
      <c r="P54" s="86"/>
      <c r="Q54" s="86"/>
      <c r="R54" s="86"/>
      <c r="S54" s="86"/>
      <c r="T54" s="86"/>
      <c r="U54" s="86"/>
    </row>
    <row r="55">
      <c r="A55" s="39">
        <v>44699.0</v>
      </c>
      <c r="B55" s="2" t="s">
        <v>1121</v>
      </c>
      <c r="C55" s="2" t="s">
        <v>1122</v>
      </c>
      <c r="D55" s="2" t="s">
        <v>412</v>
      </c>
      <c r="G55" s="2">
        <v>10.0</v>
      </c>
      <c r="I55" s="2">
        <v>1500.0</v>
      </c>
      <c r="J55" s="2">
        <v>1000.0</v>
      </c>
      <c r="K55" s="2" t="s">
        <v>1123</v>
      </c>
      <c r="O55" s="86"/>
      <c r="P55" s="86"/>
      <c r="Q55" s="86"/>
      <c r="R55" s="86"/>
      <c r="S55" s="86"/>
      <c r="T55" s="86"/>
      <c r="U55" s="86"/>
    </row>
    <row r="56">
      <c r="A56" s="39">
        <v>44744.0</v>
      </c>
      <c r="B56" s="2" t="s">
        <v>1124</v>
      </c>
      <c r="C56" s="2" t="s">
        <v>1125</v>
      </c>
      <c r="D56" s="2" t="s">
        <v>1126</v>
      </c>
      <c r="G56" s="2">
        <v>10.0</v>
      </c>
      <c r="I56" s="2">
        <v>8000.0</v>
      </c>
      <c r="J56" s="2">
        <v>3070.0</v>
      </c>
      <c r="K56" s="2" t="s">
        <v>1127</v>
      </c>
      <c r="L56" s="2" t="s">
        <v>1128</v>
      </c>
      <c r="M56" s="2" t="s">
        <v>1129</v>
      </c>
      <c r="O56" s="86"/>
      <c r="P56" s="86"/>
      <c r="Q56" s="86"/>
      <c r="R56" s="86"/>
      <c r="S56" s="86"/>
      <c r="T56" s="86"/>
      <c r="U56" s="86"/>
    </row>
    <row r="57">
      <c r="A57" s="39">
        <v>44895.0</v>
      </c>
      <c r="B57" s="2" t="s">
        <v>1130</v>
      </c>
      <c r="C57" s="2" t="s">
        <v>1131</v>
      </c>
      <c r="D57" s="2" t="s">
        <v>226</v>
      </c>
      <c r="G57" s="2">
        <v>10.0</v>
      </c>
      <c r="I57" s="2">
        <v>5000.0</v>
      </c>
      <c r="O57" s="86"/>
      <c r="P57" s="86"/>
      <c r="Q57" s="86"/>
      <c r="R57" s="86"/>
      <c r="S57" s="86"/>
      <c r="T57" s="86"/>
      <c r="U57" s="86"/>
    </row>
    <row r="58">
      <c r="A58" s="39"/>
      <c r="B58" s="2" t="s">
        <v>1132</v>
      </c>
      <c r="C58" s="2" t="s">
        <v>1133</v>
      </c>
      <c r="D58" s="2"/>
      <c r="G58" s="2"/>
      <c r="I58" s="2"/>
      <c r="J58" s="2">
        <v>4000.0</v>
      </c>
      <c r="K58" s="2" t="s">
        <v>1134</v>
      </c>
      <c r="L58" s="2"/>
      <c r="N58" s="2" t="s">
        <v>1135</v>
      </c>
      <c r="O58" s="86"/>
      <c r="P58" s="86"/>
      <c r="Q58" s="86"/>
      <c r="R58" s="86"/>
      <c r="S58" s="86"/>
      <c r="T58" s="86"/>
      <c r="U58" s="86"/>
    </row>
    <row r="59">
      <c r="A59" s="103">
        <v>45021.0</v>
      </c>
      <c r="B59" s="2" t="s">
        <v>1136</v>
      </c>
      <c r="C59" s="2" t="s">
        <v>1137</v>
      </c>
      <c r="D59" s="2" t="s">
        <v>58</v>
      </c>
      <c r="G59" s="2">
        <v>10.0</v>
      </c>
      <c r="I59" s="2"/>
      <c r="J59" s="2"/>
      <c r="K59" s="2"/>
      <c r="L59" s="2"/>
      <c r="N59" s="2"/>
      <c r="O59" s="86"/>
      <c r="P59" s="86"/>
      <c r="Q59" s="86"/>
      <c r="R59" s="86"/>
      <c r="S59" s="86"/>
      <c r="T59" s="86"/>
      <c r="U59" s="86"/>
    </row>
    <row r="60">
      <c r="A60" s="103">
        <v>45063.0</v>
      </c>
      <c r="B60" s="2" t="s">
        <v>1138</v>
      </c>
      <c r="C60" s="2" t="s">
        <v>1139</v>
      </c>
      <c r="D60" s="2" t="s">
        <v>37</v>
      </c>
      <c r="G60" s="2"/>
      <c r="I60" s="2"/>
      <c r="J60" s="2"/>
      <c r="K60" s="2"/>
      <c r="L60" s="2"/>
      <c r="N60" s="2"/>
      <c r="O60" s="86"/>
      <c r="P60" s="86"/>
      <c r="Q60" s="86"/>
      <c r="R60" s="86"/>
      <c r="S60" s="86"/>
      <c r="T60" s="86"/>
      <c r="U60" s="86"/>
    </row>
    <row r="61">
      <c r="A61" s="39">
        <v>45610.0</v>
      </c>
      <c r="B61" s="2" t="s">
        <v>1140</v>
      </c>
      <c r="C61" s="2" t="s">
        <v>1141</v>
      </c>
      <c r="D61" s="2" t="s">
        <v>1142</v>
      </c>
      <c r="G61" s="2">
        <v>10.0</v>
      </c>
      <c r="I61" s="2">
        <v>10000.0</v>
      </c>
      <c r="J61" s="2">
        <v>4000.0</v>
      </c>
      <c r="K61" s="2" t="s">
        <v>1143</v>
      </c>
      <c r="L61" s="2" t="s">
        <v>1144</v>
      </c>
      <c r="N61" s="2" t="s">
        <v>1145</v>
      </c>
      <c r="O61" s="86"/>
      <c r="P61" s="86"/>
      <c r="Q61" s="86"/>
      <c r="R61" s="86"/>
      <c r="S61" s="86"/>
      <c r="T61" s="86"/>
      <c r="U61" s="86"/>
    </row>
    <row r="62">
      <c r="A62" s="103">
        <v>45777.0</v>
      </c>
      <c r="B62" s="2" t="s">
        <v>1146</v>
      </c>
      <c r="C62" s="2" t="s">
        <v>1147</v>
      </c>
      <c r="D62" s="2" t="s">
        <v>58</v>
      </c>
      <c r="G62" s="2">
        <v>10.0</v>
      </c>
      <c r="I62" s="2"/>
      <c r="J62" s="2"/>
      <c r="K62" s="2" t="s">
        <v>1148</v>
      </c>
      <c r="L62" s="2"/>
      <c r="N62" s="2"/>
      <c r="O62" s="86"/>
      <c r="P62" s="86"/>
      <c r="Q62" s="86"/>
      <c r="R62" s="86"/>
      <c r="S62" s="86"/>
      <c r="T62" s="86"/>
      <c r="U62" s="86"/>
    </row>
    <row r="63">
      <c r="A63" s="103">
        <v>45798.0</v>
      </c>
      <c r="B63" s="2" t="s">
        <v>1149</v>
      </c>
      <c r="C63" s="2" t="s">
        <v>1150</v>
      </c>
      <c r="D63" s="2" t="s">
        <v>1151</v>
      </c>
      <c r="G63" s="2">
        <v>10.0</v>
      </c>
      <c r="I63" s="2"/>
      <c r="J63" s="2"/>
      <c r="K63" s="2" t="s">
        <v>787</v>
      </c>
      <c r="L63" s="2"/>
      <c r="N63" s="2"/>
      <c r="O63" s="86"/>
      <c r="P63" s="86"/>
      <c r="Q63" s="86"/>
      <c r="R63" s="86"/>
      <c r="S63" s="86"/>
      <c r="T63" s="86"/>
      <c r="U63" s="86"/>
    </row>
    <row r="65">
      <c r="O65" s="86"/>
      <c r="P65" s="86"/>
      <c r="Q65" s="86"/>
      <c r="R65" s="86"/>
      <c r="S65" s="86"/>
      <c r="T65" s="86"/>
      <c r="U65" s="86"/>
    </row>
    <row r="66">
      <c r="O66" s="86"/>
      <c r="P66" s="86"/>
      <c r="Q66" s="86"/>
      <c r="R66" s="86"/>
      <c r="S66" s="86"/>
      <c r="T66" s="86"/>
      <c r="U66" s="86"/>
    </row>
    <row r="67">
      <c r="O67" s="86"/>
      <c r="P67" s="86"/>
      <c r="Q67" s="86"/>
      <c r="R67" s="86"/>
      <c r="S67" s="86"/>
      <c r="T67" s="86"/>
      <c r="U67" s="86"/>
    </row>
    <row r="68">
      <c r="O68" s="86"/>
      <c r="P68" s="86"/>
      <c r="Q68" s="86"/>
      <c r="R68" s="86"/>
      <c r="S68" s="86"/>
      <c r="T68" s="86"/>
      <c r="U68" s="86"/>
    </row>
    <row r="69">
      <c r="O69" s="86"/>
      <c r="P69" s="86"/>
      <c r="Q69" s="86"/>
      <c r="R69" s="86"/>
      <c r="S69" s="86"/>
      <c r="T69" s="86"/>
      <c r="U69" s="86"/>
    </row>
    <row r="70">
      <c r="O70" s="86"/>
      <c r="P70" s="86"/>
      <c r="Q70" s="86"/>
      <c r="R70" s="86"/>
      <c r="S70" s="86"/>
      <c r="T70" s="86"/>
      <c r="U70" s="86"/>
    </row>
    <row r="71">
      <c r="O71" s="86"/>
      <c r="P71" s="86"/>
      <c r="Q71" s="86"/>
      <c r="R71" s="86"/>
      <c r="S71" s="86"/>
      <c r="T71" s="86"/>
      <c r="U71" s="86"/>
    </row>
    <row r="72">
      <c r="O72" s="86"/>
      <c r="P72" s="86"/>
      <c r="Q72" s="86"/>
      <c r="R72" s="86"/>
      <c r="S72" s="86"/>
      <c r="T72" s="86"/>
      <c r="U72" s="86"/>
    </row>
    <row r="73">
      <c r="O73" s="86"/>
      <c r="P73" s="86"/>
      <c r="Q73" s="86"/>
      <c r="R73" s="86"/>
      <c r="S73" s="86"/>
      <c r="T73" s="86"/>
      <c r="U73" s="86"/>
    </row>
    <row r="74">
      <c r="O74" s="86"/>
      <c r="P74" s="86"/>
      <c r="Q74" s="86"/>
      <c r="R74" s="86"/>
      <c r="S74" s="86"/>
      <c r="T74" s="86"/>
      <c r="U74" s="86"/>
    </row>
    <row r="75">
      <c r="O75" s="86"/>
      <c r="P75" s="86"/>
      <c r="Q75" s="86"/>
      <c r="R75" s="86"/>
      <c r="S75" s="86"/>
      <c r="T75" s="86"/>
      <c r="U75" s="86"/>
    </row>
    <row r="76">
      <c r="O76" s="86"/>
      <c r="P76" s="86"/>
      <c r="Q76" s="86"/>
      <c r="R76" s="86"/>
      <c r="S76" s="86"/>
      <c r="T76" s="86"/>
      <c r="U76" s="86"/>
    </row>
    <row r="77">
      <c r="O77" s="86"/>
      <c r="P77" s="86"/>
      <c r="Q77" s="86"/>
      <c r="R77" s="86"/>
      <c r="S77" s="86"/>
      <c r="T77" s="86"/>
      <c r="U77" s="86"/>
    </row>
    <row r="78">
      <c r="O78" s="86"/>
      <c r="P78" s="86"/>
      <c r="Q78" s="86"/>
      <c r="R78" s="86"/>
      <c r="S78" s="86"/>
      <c r="T78" s="86"/>
      <c r="U78" s="86"/>
    </row>
    <row r="79">
      <c r="O79" s="86"/>
      <c r="P79" s="86"/>
      <c r="Q79" s="86"/>
      <c r="R79" s="86"/>
      <c r="S79" s="86"/>
      <c r="T79" s="86"/>
      <c r="U79" s="86"/>
    </row>
    <row r="80">
      <c r="O80" s="86"/>
      <c r="P80" s="86"/>
      <c r="Q80" s="86"/>
      <c r="R80" s="86"/>
      <c r="S80" s="86"/>
      <c r="T80" s="86"/>
      <c r="U80" s="86"/>
    </row>
    <row r="81">
      <c r="O81" s="86"/>
      <c r="P81" s="86"/>
      <c r="Q81" s="86"/>
      <c r="R81" s="86"/>
      <c r="S81" s="86"/>
      <c r="T81" s="86"/>
      <c r="U81" s="86"/>
    </row>
    <row r="82">
      <c r="O82" s="86"/>
      <c r="P82" s="86"/>
      <c r="Q82" s="86"/>
      <c r="R82" s="86"/>
      <c r="S82" s="86"/>
      <c r="T82" s="86"/>
      <c r="U82" s="86"/>
    </row>
    <row r="83">
      <c r="O83" s="86"/>
      <c r="P83" s="86"/>
      <c r="Q83" s="86"/>
      <c r="R83" s="86"/>
      <c r="S83" s="86"/>
      <c r="T83" s="86"/>
      <c r="U83" s="86"/>
    </row>
    <row r="84">
      <c r="O84" s="86"/>
      <c r="P84" s="86"/>
      <c r="Q84" s="86"/>
      <c r="R84" s="86"/>
      <c r="S84" s="86"/>
      <c r="T84" s="86"/>
      <c r="U84" s="86"/>
    </row>
    <row r="85">
      <c r="O85" s="86"/>
      <c r="P85" s="86"/>
      <c r="Q85" s="86"/>
      <c r="R85" s="86"/>
      <c r="S85" s="86"/>
      <c r="T85" s="86"/>
      <c r="U85" s="86"/>
    </row>
    <row r="86">
      <c r="O86" s="86"/>
      <c r="P86" s="86"/>
      <c r="Q86" s="86"/>
      <c r="R86" s="86"/>
      <c r="S86" s="86"/>
      <c r="T86" s="86"/>
      <c r="U86" s="86"/>
    </row>
    <row r="87">
      <c r="O87" s="86"/>
      <c r="P87" s="86"/>
      <c r="Q87" s="86"/>
      <c r="R87" s="86"/>
      <c r="S87" s="86"/>
      <c r="T87" s="86"/>
      <c r="U87" s="86"/>
    </row>
    <row r="88">
      <c r="O88" s="86"/>
      <c r="P88" s="86"/>
      <c r="Q88" s="86"/>
      <c r="R88" s="86"/>
      <c r="S88" s="86"/>
      <c r="T88" s="86"/>
      <c r="U88" s="86"/>
    </row>
    <row r="89">
      <c r="O89" s="86"/>
      <c r="P89" s="86"/>
      <c r="Q89" s="86"/>
      <c r="R89" s="86"/>
      <c r="S89" s="86"/>
      <c r="T89" s="86"/>
      <c r="U89" s="86"/>
    </row>
    <row r="90">
      <c r="O90" s="86"/>
      <c r="P90" s="86"/>
      <c r="Q90" s="86"/>
      <c r="R90" s="86"/>
      <c r="S90" s="86"/>
      <c r="T90" s="86"/>
      <c r="U90" s="86"/>
    </row>
    <row r="91">
      <c r="O91" s="86"/>
      <c r="P91" s="86"/>
      <c r="Q91" s="86"/>
      <c r="R91" s="86"/>
      <c r="S91" s="86"/>
      <c r="T91" s="86"/>
      <c r="U91" s="86"/>
    </row>
    <row r="92">
      <c r="O92" s="86"/>
      <c r="P92" s="86"/>
      <c r="Q92" s="86"/>
      <c r="R92" s="86"/>
      <c r="S92" s="86"/>
      <c r="T92" s="86"/>
      <c r="U92" s="86"/>
    </row>
    <row r="93">
      <c r="O93" s="86"/>
      <c r="P93" s="86"/>
      <c r="Q93" s="86"/>
      <c r="R93" s="86"/>
      <c r="S93" s="86"/>
      <c r="T93" s="86"/>
      <c r="U93" s="86"/>
    </row>
    <row r="94">
      <c r="O94" s="86"/>
      <c r="P94" s="86"/>
      <c r="Q94" s="86"/>
      <c r="R94" s="86"/>
      <c r="S94" s="86"/>
      <c r="T94" s="86"/>
      <c r="U94" s="86"/>
    </row>
    <row r="95">
      <c r="O95" s="86"/>
      <c r="P95" s="86"/>
      <c r="Q95" s="86"/>
      <c r="R95" s="86"/>
      <c r="S95" s="86"/>
      <c r="T95" s="86"/>
      <c r="U95" s="86"/>
    </row>
    <row r="96">
      <c r="O96" s="86"/>
      <c r="P96" s="86"/>
      <c r="Q96" s="86"/>
      <c r="R96" s="86"/>
      <c r="S96" s="86"/>
      <c r="T96" s="86"/>
      <c r="U96" s="86"/>
    </row>
    <row r="97">
      <c r="O97" s="86"/>
      <c r="P97" s="86"/>
      <c r="Q97" s="86"/>
      <c r="R97" s="86"/>
      <c r="S97" s="86"/>
      <c r="T97" s="86"/>
      <c r="U97" s="86"/>
    </row>
    <row r="98">
      <c r="O98" s="86"/>
      <c r="P98" s="86"/>
      <c r="Q98" s="86"/>
      <c r="R98" s="86"/>
      <c r="S98" s="86"/>
      <c r="T98" s="86"/>
      <c r="U98" s="86"/>
    </row>
    <row r="99">
      <c r="O99" s="86"/>
      <c r="P99" s="86"/>
      <c r="Q99" s="86"/>
      <c r="R99" s="86"/>
      <c r="S99" s="86"/>
      <c r="T99" s="86"/>
      <c r="U99" s="86"/>
    </row>
    <row r="100">
      <c r="O100" s="86"/>
      <c r="P100" s="86"/>
      <c r="Q100" s="86"/>
      <c r="R100" s="86"/>
      <c r="S100" s="86"/>
      <c r="T100" s="86"/>
      <c r="U100" s="86"/>
    </row>
    <row r="101">
      <c r="O101" s="86"/>
      <c r="P101" s="86"/>
      <c r="Q101" s="86"/>
      <c r="R101" s="86"/>
      <c r="S101" s="86"/>
      <c r="T101" s="86"/>
      <c r="U101" s="86"/>
    </row>
    <row r="102">
      <c r="O102" s="86"/>
      <c r="P102" s="86"/>
      <c r="Q102" s="86"/>
      <c r="R102" s="86"/>
      <c r="S102" s="86"/>
      <c r="T102" s="86"/>
      <c r="U102" s="86"/>
    </row>
    <row r="103">
      <c r="O103" s="86"/>
      <c r="P103" s="86"/>
      <c r="Q103" s="86"/>
      <c r="R103" s="86"/>
      <c r="S103" s="86"/>
      <c r="T103" s="86"/>
      <c r="U103" s="86"/>
    </row>
    <row r="104">
      <c r="O104" s="86"/>
      <c r="P104" s="86"/>
      <c r="Q104" s="86"/>
      <c r="R104" s="86"/>
      <c r="S104" s="86"/>
      <c r="T104" s="86"/>
      <c r="U104" s="86"/>
    </row>
    <row r="105">
      <c r="O105" s="86"/>
      <c r="P105" s="86"/>
      <c r="Q105" s="86"/>
      <c r="R105" s="86"/>
      <c r="S105" s="86"/>
      <c r="T105" s="86"/>
      <c r="U105" s="86"/>
    </row>
    <row r="106">
      <c r="O106" s="86"/>
      <c r="P106" s="86"/>
      <c r="Q106" s="86"/>
      <c r="R106" s="86"/>
      <c r="S106" s="86"/>
      <c r="T106" s="86"/>
      <c r="U106" s="86"/>
    </row>
    <row r="107">
      <c r="O107" s="86"/>
      <c r="P107" s="86"/>
      <c r="Q107" s="86"/>
      <c r="R107" s="86"/>
      <c r="S107" s="86"/>
      <c r="T107" s="86"/>
      <c r="U107" s="86"/>
    </row>
    <row r="108">
      <c r="O108" s="86"/>
      <c r="P108" s="86"/>
      <c r="Q108" s="86"/>
      <c r="R108" s="86"/>
      <c r="S108" s="86"/>
      <c r="T108" s="86"/>
      <c r="U108" s="86"/>
    </row>
    <row r="109">
      <c r="O109" s="86"/>
      <c r="P109" s="86"/>
      <c r="Q109" s="86"/>
      <c r="R109" s="86"/>
      <c r="S109" s="86"/>
      <c r="T109" s="86"/>
      <c r="U109" s="86"/>
    </row>
    <row r="110">
      <c r="O110" s="86"/>
      <c r="P110" s="86"/>
      <c r="Q110" s="86"/>
      <c r="R110" s="86"/>
      <c r="S110" s="86"/>
      <c r="T110" s="86"/>
      <c r="U110" s="86"/>
    </row>
    <row r="111">
      <c r="O111" s="86"/>
      <c r="P111" s="86"/>
      <c r="Q111" s="86"/>
      <c r="R111" s="86"/>
      <c r="S111" s="86"/>
      <c r="T111" s="86"/>
      <c r="U111" s="86"/>
    </row>
    <row r="112">
      <c r="O112" s="86"/>
      <c r="P112" s="86"/>
      <c r="Q112" s="86"/>
      <c r="R112" s="86"/>
      <c r="S112" s="86"/>
      <c r="T112" s="86"/>
      <c r="U112" s="86"/>
    </row>
    <row r="113">
      <c r="O113" s="86"/>
      <c r="P113" s="86"/>
      <c r="Q113" s="86"/>
      <c r="R113" s="86"/>
      <c r="S113" s="86"/>
      <c r="T113" s="86"/>
      <c r="U113" s="86"/>
    </row>
    <row r="114">
      <c r="O114" s="86"/>
      <c r="P114" s="86"/>
      <c r="Q114" s="86"/>
      <c r="R114" s="86"/>
      <c r="S114" s="86"/>
      <c r="T114" s="86"/>
      <c r="U114" s="86"/>
    </row>
    <row r="115">
      <c r="O115" s="86"/>
      <c r="P115" s="86"/>
      <c r="Q115" s="86"/>
      <c r="R115" s="86"/>
      <c r="S115" s="86"/>
      <c r="T115" s="86"/>
      <c r="U115" s="86"/>
    </row>
    <row r="116">
      <c r="O116" s="86"/>
      <c r="P116" s="86"/>
      <c r="Q116" s="86"/>
      <c r="R116" s="86"/>
      <c r="S116" s="86"/>
      <c r="T116" s="86"/>
      <c r="U116" s="86"/>
    </row>
    <row r="117">
      <c r="O117" s="86"/>
      <c r="P117" s="86"/>
      <c r="Q117" s="86"/>
      <c r="R117" s="86"/>
      <c r="S117" s="86"/>
      <c r="T117" s="86"/>
      <c r="U117" s="86"/>
    </row>
    <row r="118">
      <c r="O118" s="86"/>
      <c r="P118" s="86"/>
      <c r="Q118" s="86"/>
      <c r="R118" s="86"/>
      <c r="S118" s="86"/>
      <c r="T118" s="86"/>
      <c r="U118" s="86"/>
    </row>
    <row r="119">
      <c r="O119" s="86"/>
      <c r="P119" s="86"/>
      <c r="Q119" s="86"/>
      <c r="R119" s="86"/>
      <c r="S119" s="86"/>
      <c r="T119" s="86"/>
      <c r="U119" s="86"/>
    </row>
    <row r="120">
      <c r="O120" s="86"/>
      <c r="P120" s="86"/>
      <c r="Q120" s="86"/>
      <c r="R120" s="86"/>
      <c r="S120" s="86"/>
      <c r="T120" s="86"/>
      <c r="U120" s="86"/>
    </row>
    <row r="121">
      <c r="O121" s="86"/>
      <c r="P121" s="86"/>
      <c r="Q121" s="86"/>
      <c r="R121" s="86"/>
      <c r="S121" s="86"/>
      <c r="T121" s="86"/>
      <c r="U121" s="86"/>
    </row>
    <row r="122">
      <c r="O122" s="86"/>
      <c r="P122" s="86"/>
      <c r="Q122" s="86"/>
      <c r="R122" s="86"/>
      <c r="S122" s="86"/>
      <c r="T122" s="86"/>
      <c r="U122" s="86"/>
    </row>
    <row r="123">
      <c r="O123" s="86"/>
      <c r="P123" s="86"/>
      <c r="Q123" s="86"/>
      <c r="R123" s="86"/>
      <c r="S123" s="86"/>
      <c r="T123" s="86"/>
      <c r="U123" s="86"/>
    </row>
    <row r="124">
      <c r="O124" s="86"/>
      <c r="P124" s="86"/>
      <c r="Q124" s="86"/>
      <c r="R124" s="86"/>
      <c r="S124" s="86"/>
      <c r="T124" s="86"/>
      <c r="U124" s="86"/>
    </row>
    <row r="125">
      <c r="O125" s="86"/>
      <c r="P125" s="86"/>
      <c r="Q125" s="86"/>
      <c r="R125" s="86"/>
      <c r="S125" s="86"/>
      <c r="T125" s="86"/>
      <c r="U125" s="86"/>
    </row>
    <row r="126">
      <c r="O126" s="86"/>
      <c r="P126" s="86"/>
      <c r="Q126" s="86"/>
      <c r="R126" s="86"/>
      <c r="S126" s="86"/>
      <c r="T126" s="86"/>
      <c r="U126" s="86"/>
    </row>
    <row r="127">
      <c r="O127" s="86"/>
      <c r="P127" s="86"/>
      <c r="Q127" s="86"/>
      <c r="R127" s="86"/>
      <c r="S127" s="86"/>
      <c r="T127" s="86"/>
      <c r="U127" s="86"/>
    </row>
    <row r="128">
      <c r="O128" s="86"/>
      <c r="P128" s="86"/>
      <c r="Q128" s="86"/>
      <c r="R128" s="86"/>
      <c r="S128" s="86"/>
      <c r="T128" s="86"/>
      <c r="U128" s="86"/>
    </row>
    <row r="129">
      <c r="O129" s="86"/>
      <c r="P129" s="86"/>
      <c r="Q129" s="86"/>
      <c r="R129" s="86"/>
      <c r="S129" s="86"/>
      <c r="T129" s="86"/>
      <c r="U129" s="86"/>
    </row>
    <row r="130">
      <c r="O130" s="86"/>
      <c r="P130" s="86"/>
      <c r="Q130" s="86"/>
      <c r="R130" s="86"/>
      <c r="S130" s="86"/>
      <c r="T130" s="86"/>
      <c r="U130" s="86"/>
    </row>
    <row r="131">
      <c r="O131" s="86"/>
      <c r="P131" s="86"/>
      <c r="Q131" s="86"/>
      <c r="R131" s="86"/>
      <c r="S131" s="86"/>
      <c r="T131" s="86"/>
      <c r="U131" s="86"/>
    </row>
    <row r="132">
      <c r="O132" s="86"/>
      <c r="P132" s="86"/>
      <c r="Q132" s="86"/>
      <c r="R132" s="86"/>
      <c r="S132" s="86"/>
      <c r="T132" s="86"/>
      <c r="U132" s="86"/>
    </row>
    <row r="133">
      <c r="O133" s="86"/>
      <c r="P133" s="86"/>
      <c r="Q133" s="86"/>
      <c r="R133" s="86"/>
      <c r="S133" s="86"/>
      <c r="T133" s="86"/>
      <c r="U133" s="86"/>
    </row>
    <row r="134">
      <c r="O134" s="86"/>
      <c r="P134" s="86"/>
      <c r="Q134" s="86"/>
      <c r="R134" s="86"/>
      <c r="S134" s="86"/>
      <c r="T134" s="86"/>
      <c r="U134" s="86"/>
    </row>
    <row r="135">
      <c r="O135" s="86"/>
      <c r="P135" s="86"/>
      <c r="Q135" s="86"/>
      <c r="R135" s="86"/>
      <c r="S135" s="86"/>
      <c r="T135" s="86"/>
      <c r="U135" s="86"/>
    </row>
    <row r="136">
      <c r="O136" s="86"/>
      <c r="P136" s="86"/>
      <c r="Q136" s="86"/>
      <c r="R136" s="86"/>
      <c r="S136" s="86"/>
      <c r="T136" s="86"/>
      <c r="U136" s="86"/>
    </row>
    <row r="137">
      <c r="O137" s="86"/>
      <c r="P137" s="86"/>
      <c r="Q137" s="86"/>
      <c r="R137" s="86"/>
      <c r="S137" s="86"/>
      <c r="T137" s="86"/>
      <c r="U137" s="86"/>
    </row>
    <row r="138">
      <c r="O138" s="86"/>
      <c r="P138" s="86"/>
      <c r="Q138" s="86"/>
      <c r="R138" s="86"/>
      <c r="S138" s="86"/>
      <c r="T138" s="86"/>
      <c r="U138" s="86"/>
    </row>
    <row r="139">
      <c r="O139" s="86"/>
      <c r="P139" s="86"/>
      <c r="Q139" s="86"/>
      <c r="R139" s="86"/>
      <c r="S139" s="86"/>
      <c r="T139" s="86"/>
      <c r="U139" s="86"/>
    </row>
    <row r="140">
      <c r="O140" s="86"/>
      <c r="P140" s="86"/>
      <c r="Q140" s="86"/>
      <c r="R140" s="86"/>
      <c r="S140" s="86"/>
      <c r="T140" s="86"/>
      <c r="U140" s="86"/>
    </row>
    <row r="141">
      <c r="O141" s="86"/>
      <c r="P141" s="86"/>
      <c r="Q141" s="86"/>
      <c r="R141" s="86"/>
      <c r="S141" s="86"/>
      <c r="T141" s="86"/>
      <c r="U141" s="86"/>
    </row>
    <row r="142">
      <c r="O142" s="86"/>
      <c r="P142" s="86"/>
      <c r="Q142" s="86"/>
      <c r="R142" s="86"/>
      <c r="S142" s="86"/>
      <c r="T142" s="86"/>
      <c r="U142" s="86"/>
    </row>
    <row r="143">
      <c r="O143" s="86"/>
      <c r="P143" s="86"/>
      <c r="Q143" s="86"/>
      <c r="R143" s="86"/>
      <c r="S143" s="86"/>
      <c r="T143" s="86"/>
      <c r="U143" s="86"/>
    </row>
    <row r="144">
      <c r="O144" s="86"/>
      <c r="P144" s="86"/>
      <c r="Q144" s="86"/>
      <c r="R144" s="86"/>
      <c r="S144" s="86"/>
      <c r="T144" s="86"/>
      <c r="U144" s="86"/>
    </row>
    <row r="145">
      <c r="O145" s="86"/>
      <c r="P145" s="86"/>
      <c r="Q145" s="86"/>
      <c r="R145" s="86"/>
      <c r="S145" s="86"/>
      <c r="T145" s="86"/>
      <c r="U145" s="86"/>
    </row>
    <row r="146">
      <c r="O146" s="86"/>
      <c r="P146" s="86"/>
      <c r="Q146" s="86"/>
      <c r="R146" s="86"/>
      <c r="S146" s="86"/>
      <c r="T146" s="86"/>
      <c r="U146" s="86"/>
    </row>
    <row r="147">
      <c r="O147" s="86"/>
      <c r="P147" s="86"/>
      <c r="Q147" s="86"/>
      <c r="R147" s="86"/>
      <c r="S147" s="86"/>
      <c r="T147" s="86"/>
      <c r="U147" s="86"/>
    </row>
    <row r="148">
      <c r="O148" s="86"/>
      <c r="P148" s="86"/>
      <c r="Q148" s="86"/>
      <c r="R148" s="86"/>
      <c r="S148" s="86"/>
      <c r="T148" s="86"/>
      <c r="U148" s="86"/>
    </row>
    <row r="149">
      <c r="O149" s="86"/>
      <c r="P149" s="86"/>
      <c r="Q149" s="86"/>
      <c r="R149" s="86"/>
      <c r="S149" s="86"/>
      <c r="T149" s="86"/>
      <c r="U149" s="86"/>
    </row>
    <row r="150">
      <c r="O150" s="86"/>
      <c r="P150" s="86"/>
      <c r="Q150" s="86"/>
      <c r="R150" s="86"/>
      <c r="S150" s="86"/>
      <c r="T150" s="86"/>
      <c r="U150" s="86"/>
    </row>
    <row r="151">
      <c r="O151" s="86"/>
      <c r="P151" s="86"/>
      <c r="Q151" s="86"/>
      <c r="R151" s="86"/>
      <c r="S151" s="86"/>
      <c r="T151" s="86"/>
      <c r="U151" s="86"/>
    </row>
    <row r="152">
      <c r="O152" s="86"/>
      <c r="P152" s="86"/>
      <c r="Q152" s="86"/>
      <c r="R152" s="86"/>
      <c r="S152" s="86"/>
      <c r="T152" s="86"/>
      <c r="U152" s="86"/>
    </row>
    <row r="153">
      <c r="O153" s="86"/>
      <c r="P153" s="86"/>
      <c r="Q153" s="86"/>
      <c r="R153" s="86"/>
      <c r="S153" s="86"/>
      <c r="T153" s="86"/>
      <c r="U153" s="86"/>
    </row>
    <row r="154">
      <c r="O154" s="86"/>
      <c r="P154" s="86"/>
      <c r="Q154" s="86"/>
      <c r="R154" s="86"/>
      <c r="S154" s="86"/>
      <c r="T154" s="86"/>
      <c r="U154" s="86"/>
    </row>
    <row r="155">
      <c r="O155" s="86"/>
      <c r="P155" s="86"/>
      <c r="Q155" s="86"/>
      <c r="R155" s="86"/>
      <c r="S155" s="86"/>
      <c r="T155" s="86"/>
      <c r="U155" s="86"/>
    </row>
    <row r="156">
      <c r="O156" s="86"/>
      <c r="P156" s="86"/>
      <c r="Q156" s="86"/>
      <c r="R156" s="86"/>
      <c r="S156" s="86"/>
      <c r="T156" s="86"/>
      <c r="U156" s="86"/>
    </row>
    <row r="157">
      <c r="O157" s="86"/>
      <c r="P157" s="86"/>
      <c r="Q157" s="86"/>
      <c r="R157" s="86"/>
      <c r="S157" s="86"/>
      <c r="T157" s="86"/>
      <c r="U157" s="86"/>
    </row>
    <row r="158">
      <c r="O158" s="86"/>
      <c r="P158" s="86"/>
      <c r="Q158" s="86"/>
      <c r="R158" s="86"/>
      <c r="S158" s="86"/>
      <c r="T158" s="86"/>
      <c r="U158" s="86"/>
    </row>
    <row r="159">
      <c r="O159" s="86"/>
      <c r="P159" s="86"/>
      <c r="Q159" s="86"/>
      <c r="R159" s="86"/>
      <c r="S159" s="86"/>
      <c r="T159" s="86"/>
      <c r="U159" s="86"/>
    </row>
    <row r="160">
      <c r="O160" s="86"/>
      <c r="P160" s="86"/>
      <c r="Q160" s="86"/>
      <c r="R160" s="86"/>
      <c r="S160" s="86"/>
      <c r="T160" s="86"/>
      <c r="U160" s="86"/>
    </row>
    <row r="161">
      <c r="O161" s="86"/>
      <c r="P161" s="86"/>
      <c r="Q161" s="86"/>
      <c r="R161" s="86"/>
      <c r="S161" s="86"/>
      <c r="T161" s="86"/>
      <c r="U161" s="86"/>
    </row>
    <row r="162">
      <c r="O162" s="86"/>
      <c r="P162" s="86"/>
      <c r="Q162" s="86"/>
      <c r="R162" s="86"/>
      <c r="S162" s="86"/>
      <c r="T162" s="86"/>
      <c r="U162" s="86"/>
    </row>
    <row r="163">
      <c r="O163" s="86"/>
      <c r="P163" s="86"/>
      <c r="Q163" s="86"/>
      <c r="R163" s="86"/>
      <c r="S163" s="86"/>
      <c r="T163" s="86"/>
      <c r="U163" s="86"/>
    </row>
    <row r="164">
      <c r="O164" s="86"/>
      <c r="P164" s="86"/>
      <c r="Q164" s="86"/>
      <c r="R164" s="86"/>
      <c r="S164" s="86"/>
      <c r="T164" s="86"/>
      <c r="U164" s="86"/>
    </row>
    <row r="165">
      <c r="O165" s="86"/>
      <c r="P165" s="86"/>
      <c r="Q165" s="86"/>
      <c r="R165" s="86"/>
      <c r="S165" s="86"/>
      <c r="T165" s="86"/>
      <c r="U165" s="86"/>
    </row>
    <row r="166">
      <c r="O166" s="86"/>
      <c r="P166" s="86"/>
      <c r="Q166" s="86"/>
      <c r="R166" s="86"/>
      <c r="S166" s="86"/>
      <c r="T166" s="86"/>
      <c r="U166" s="86"/>
    </row>
    <row r="167">
      <c r="O167" s="86"/>
      <c r="P167" s="86"/>
      <c r="Q167" s="86"/>
      <c r="R167" s="86"/>
      <c r="S167" s="86"/>
      <c r="T167" s="86"/>
      <c r="U167" s="86"/>
    </row>
    <row r="168">
      <c r="O168" s="86"/>
      <c r="P168" s="86"/>
      <c r="Q168" s="86"/>
      <c r="R168" s="86"/>
      <c r="S168" s="86"/>
      <c r="T168" s="86"/>
      <c r="U168" s="86"/>
    </row>
    <row r="169">
      <c r="O169" s="86"/>
      <c r="P169" s="86"/>
      <c r="Q169" s="86"/>
      <c r="R169" s="86"/>
      <c r="S169" s="86"/>
      <c r="T169" s="86"/>
      <c r="U169" s="86"/>
    </row>
    <row r="170">
      <c r="O170" s="86"/>
      <c r="P170" s="86"/>
      <c r="Q170" s="86"/>
      <c r="R170" s="86"/>
      <c r="S170" s="86"/>
      <c r="T170" s="86"/>
      <c r="U170" s="86"/>
    </row>
    <row r="171">
      <c r="O171" s="86"/>
      <c r="P171" s="86"/>
      <c r="Q171" s="86"/>
      <c r="R171" s="86"/>
      <c r="S171" s="86"/>
      <c r="T171" s="86"/>
      <c r="U171" s="86"/>
    </row>
    <row r="172">
      <c r="O172" s="86"/>
      <c r="P172" s="86"/>
      <c r="Q172" s="86"/>
      <c r="R172" s="86"/>
      <c r="S172" s="86"/>
      <c r="T172" s="86"/>
      <c r="U172" s="86"/>
    </row>
    <row r="173">
      <c r="O173" s="86"/>
      <c r="P173" s="86"/>
      <c r="Q173" s="86"/>
      <c r="R173" s="86"/>
      <c r="S173" s="86"/>
      <c r="T173" s="86"/>
      <c r="U173" s="86"/>
    </row>
    <row r="174">
      <c r="O174" s="86"/>
      <c r="P174" s="86"/>
      <c r="Q174" s="86"/>
      <c r="R174" s="86"/>
      <c r="S174" s="86"/>
      <c r="T174" s="86"/>
      <c r="U174" s="86"/>
    </row>
    <row r="175">
      <c r="O175" s="86"/>
      <c r="P175" s="86"/>
      <c r="Q175" s="86"/>
      <c r="R175" s="86"/>
      <c r="S175" s="86"/>
      <c r="T175" s="86"/>
      <c r="U175" s="86"/>
    </row>
    <row r="176">
      <c r="O176" s="86"/>
      <c r="P176" s="86"/>
      <c r="Q176" s="86"/>
      <c r="R176" s="86"/>
      <c r="S176" s="86"/>
      <c r="T176" s="86"/>
      <c r="U176" s="86"/>
    </row>
    <row r="177">
      <c r="O177" s="86"/>
      <c r="P177" s="86"/>
      <c r="Q177" s="86"/>
      <c r="R177" s="86"/>
      <c r="S177" s="86"/>
      <c r="T177" s="86"/>
      <c r="U177" s="86"/>
    </row>
    <row r="178">
      <c r="O178" s="86"/>
      <c r="P178" s="86"/>
      <c r="Q178" s="86"/>
      <c r="R178" s="86"/>
      <c r="S178" s="86"/>
      <c r="T178" s="86"/>
      <c r="U178" s="86"/>
    </row>
    <row r="179">
      <c r="O179" s="86"/>
      <c r="P179" s="86"/>
      <c r="Q179" s="86"/>
      <c r="R179" s="86"/>
      <c r="S179" s="86"/>
      <c r="T179" s="86"/>
      <c r="U179" s="86"/>
    </row>
    <row r="180">
      <c r="O180" s="86"/>
      <c r="P180" s="86"/>
      <c r="Q180" s="86"/>
      <c r="R180" s="86"/>
      <c r="S180" s="86"/>
      <c r="T180" s="86"/>
      <c r="U180" s="86"/>
    </row>
    <row r="181">
      <c r="O181" s="86"/>
      <c r="P181" s="86"/>
      <c r="Q181" s="86"/>
      <c r="R181" s="86"/>
      <c r="S181" s="86"/>
      <c r="T181" s="86"/>
      <c r="U181" s="86"/>
    </row>
    <row r="182">
      <c r="O182" s="86"/>
      <c r="P182" s="86"/>
      <c r="Q182" s="86"/>
      <c r="R182" s="86"/>
      <c r="S182" s="86"/>
      <c r="T182" s="86"/>
      <c r="U182" s="86"/>
    </row>
    <row r="183">
      <c r="O183" s="86"/>
      <c r="P183" s="86"/>
      <c r="Q183" s="86"/>
      <c r="R183" s="86"/>
      <c r="S183" s="86"/>
      <c r="T183" s="86"/>
      <c r="U183" s="86"/>
    </row>
    <row r="184">
      <c r="O184" s="86"/>
      <c r="P184" s="86"/>
      <c r="Q184" s="86"/>
      <c r="R184" s="86"/>
      <c r="S184" s="86"/>
      <c r="T184" s="86"/>
      <c r="U184" s="86"/>
    </row>
    <row r="185">
      <c r="O185" s="86"/>
      <c r="P185" s="86"/>
      <c r="Q185" s="86"/>
      <c r="R185" s="86"/>
      <c r="S185" s="86"/>
      <c r="T185" s="86"/>
      <c r="U185" s="86"/>
    </row>
    <row r="186">
      <c r="O186" s="86"/>
      <c r="P186" s="86"/>
      <c r="Q186" s="86"/>
      <c r="R186" s="86"/>
      <c r="S186" s="86"/>
      <c r="T186" s="86"/>
      <c r="U186" s="86"/>
    </row>
    <row r="187">
      <c r="O187" s="86"/>
      <c r="P187" s="86"/>
      <c r="Q187" s="86"/>
      <c r="R187" s="86"/>
      <c r="S187" s="86"/>
      <c r="T187" s="86"/>
      <c r="U187" s="86"/>
    </row>
    <row r="188">
      <c r="O188" s="86"/>
      <c r="P188" s="86"/>
      <c r="Q188" s="86"/>
      <c r="R188" s="86"/>
      <c r="S188" s="86"/>
      <c r="T188" s="86"/>
      <c r="U188" s="86"/>
    </row>
    <row r="189">
      <c r="O189" s="86"/>
      <c r="P189" s="86"/>
      <c r="Q189" s="86"/>
      <c r="R189" s="86"/>
      <c r="S189" s="86"/>
      <c r="T189" s="86"/>
      <c r="U189" s="86"/>
    </row>
    <row r="190">
      <c r="O190" s="86"/>
      <c r="P190" s="86"/>
      <c r="Q190" s="86"/>
      <c r="R190" s="86"/>
      <c r="S190" s="86"/>
      <c r="T190" s="86"/>
      <c r="U190" s="86"/>
    </row>
    <row r="191">
      <c r="O191" s="86"/>
      <c r="P191" s="86"/>
      <c r="Q191" s="86"/>
      <c r="R191" s="86"/>
      <c r="S191" s="86"/>
      <c r="T191" s="86"/>
      <c r="U191" s="86"/>
    </row>
    <row r="192">
      <c r="O192" s="86"/>
      <c r="P192" s="86"/>
      <c r="Q192" s="86"/>
      <c r="R192" s="86"/>
      <c r="S192" s="86"/>
      <c r="T192" s="86"/>
      <c r="U192" s="86"/>
    </row>
    <row r="193">
      <c r="O193" s="86"/>
      <c r="P193" s="86"/>
      <c r="Q193" s="86"/>
      <c r="R193" s="86"/>
      <c r="S193" s="86"/>
      <c r="T193" s="86"/>
      <c r="U193" s="86"/>
    </row>
    <row r="194">
      <c r="O194" s="86"/>
      <c r="P194" s="86"/>
      <c r="Q194" s="86"/>
      <c r="R194" s="86"/>
      <c r="S194" s="86"/>
      <c r="T194" s="86"/>
      <c r="U194" s="86"/>
    </row>
    <row r="195">
      <c r="O195" s="86"/>
      <c r="P195" s="86"/>
      <c r="Q195" s="86"/>
      <c r="R195" s="86"/>
      <c r="S195" s="86"/>
      <c r="T195" s="86"/>
      <c r="U195" s="86"/>
    </row>
    <row r="196">
      <c r="O196" s="86"/>
      <c r="P196" s="86"/>
      <c r="Q196" s="86"/>
      <c r="R196" s="86"/>
      <c r="S196" s="86"/>
      <c r="T196" s="86"/>
      <c r="U196" s="86"/>
    </row>
    <row r="197">
      <c r="O197" s="86"/>
      <c r="P197" s="86"/>
      <c r="Q197" s="86"/>
      <c r="R197" s="86"/>
      <c r="S197" s="86"/>
      <c r="T197" s="86"/>
      <c r="U197" s="86"/>
    </row>
    <row r="198">
      <c r="O198" s="86"/>
      <c r="P198" s="86"/>
      <c r="Q198" s="86"/>
      <c r="R198" s="86"/>
      <c r="S198" s="86"/>
      <c r="T198" s="86"/>
      <c r="U198" s="86"/>
    </row>
    <row r="199">
      <c r="O199" s="86"/>
      <c r="P199" s="86"/>
      <c r="Q199" s="86"/>
      <c r="R199" s="86"/>
      <c r="S199" s="86"/>
      <c r="T199" s="86"/>
      <c r="U199" s="86"/>
    </row>
    <row r="200">
      <c r="O200" s="86"/>
      <c r="P200" s="86"/>
      <c r="Q200" s="86"/>
      <c r="R200" s="86"/>
      <c r="S200" s="86"/>
      <c r="T200" s="86"/>
      <c r="U200" s="86"/>
    </row>
    <row r="201">
      <c r="O201" s="86"/>
      <c r="P201" s="86"/>
      <c r="Q201" s="86"/>
      <c r="R201" s="86"/>
      <c r="S201" s="86"/>
      <c r="T201" s="86"/>
      <c r="U201" s="86"/>
    </row>
    <row r="202">
      <c r="O202" s="86"/>
      <c r="P202" s="86"/>
      <c r="Q202" s="86"/>
      <c r="R202" s="86"/>
      <c r="S202" s="86"/>
      <c r="T202" s="86"/>
      <c r="U202" s="86"/>
    </row>
    <row r="203">
      <c r="O203" s="86"/>
      <c r="P203" s="86"/>
      <c r="Q203" s="86"/>
      <c r="R203" s="86"/>
      <c r="S203" s="86"/>
      <c r="T203" s="86"/>
      <c r="U203" s="86"/>
    </row>
    <row r="204">
      <c r="O204" s="86"/>
      <c r="P204" s="86"/>
      <c r="Q204" s="86"/>
      <c r="R204" s="86"/>
      <c r="S204" s="86"/>
      <c r="T204" s="86"/>
      <c r="U204" s="86"/>
    </row>
    <row r="205">
      <c r="O205" s="86"/>
      <c r="P205" s="86"/>
      <c r="Q205" s="86"/>
      <c r="R205" s="86"/>
      <c r="S205" s="86"/>
      <c r="T205" s="86"/>
      <c r="U205" s="86"/>
    </row>
    <row r="206">
      <c r="O206" s="86"/>
      <c r="P206" s="86"/>
      <c r="Q206" s="86"/>
      <c r="R206" s="86"/>
      <c r="S206" s="86"/>
      <c r="T206" s="86"/>
      <c r="U206" s="86"/>
    </row>
    <row r="207">
      <c r="O207" s="86"/>
      <c r="P207" s="86"/>
      <c r="Q207" s="86"/>
      <c r="R207" s="86"/>
      <c r="S207" s="86"/>
      <c r="T207" s="86"/>
      <c r="U207" s="86"/>
    </row>
    <row r="208">
      <c r="O208" s="86"/>
      <c r="P208" s="86"/>
      <c r="Q208" s="86"/>
      <c r="R208" s="86"/>
      <c r="S208" s="86"/>
      <c r="T208" s="86"/>
      <c r="U208" s="86"/>
    </row>
    <row r="209">
      <c r="O209" s="86"/>
      <c r="P209" s="86"/>
      <c r="Q209" s="86"/>
      <c r="R209" s="86"/>
      <c r="S209" s="86"/>
      <c r="T209" s="86"/>
      <c r="U209" s="86"/>
    </row>
    <row r="210">
      <c r="O210" s="86"/>
      <c r="P210" s="86"/>
      <c r="Q210" s="86"/>
      <c r="R210" s="86"/>
      <c r="S210" s="86"/>
      <c r="T210" s="86"/>
      <c r="U210" s="86"/>
    </row>
    <row r="211">
      <c r="O211" s="86"/>
      <c r="P211" s="86"/>
      <c r="Q211" s="86"/>
      <c r="R211" s="86"/>
      <c r="S211" s="86"/>
      <c r="T211" s="86"/>
      <c r="U211" s="86"/>
    </row>
    <row r="212">
      <c r="O212" s="86"/>
      <c r="P212" s="86"/>
      <c r="Q212" s="86"/>
      <c r="R212" s="86"/>
      <c r="S212" s="86"/>
      <c r="T212" s="86"/>
      <c r="U212" s="86"/>
    </row>
    <row r="213">
      <c r="O213" s="86"/>
      <c r="P213" s="86"/>
      <c r="Q213" s="86"/>
      <c r="R213" s="86"/>
      <c r="S213" s="86"/>
      <c r="T213" s="86"/>
      <c r="U213" s="86"/>
    </row>
    <row r="214">
      <c r="O214" s="86"/>
      <c r="P214" s="86"/>
      <c r="Q214" s="86"/>
      <c r="R214" s="86"/>
      <c r="S214" s="86"/>
      <c r="T214" s="86"/>
      <c r="U214" s="86"/>
    </row>
    <row r="215">
      <c r="O215" s="86"/>
      <c r="P215" s="86"/>
      <c r="Q215" s="86"/>
      <c r="R215" s="86"/>
      <c r="S215" s="86"/>
      <c r="T215" s="86"/>
      <c r="U215" s="86"/>
    </row>
    <row r="216">
      <c r="O216" s="86"/>
      <c r="P216" s="86"/>
      <c r="Q216" s="86"/>
      <c r="R216" s="86"/>
      <c r="S216" s="86"/>
      <c r="T216" s="86"/>
      <c r="U216" s="86"/>
    </row>
    <row r="217">
      <c r="O217" s="86"/>
      <c r="P217" s="86"/>
      <c r="Q217" s="86"/>
      <c r="R217" s="86"/>
      <c r="S217" s="86"/>
      <c r="T217" s="86"/>
      <c r="U217" s="86"/>
    </row>
    <row r="218">
      <c r="O218" s="86"/>
      <c r="P218" s="86"/>
      <c r="Q218" s="86"/>
      <c r="R218" s="86"/>
      <c r="S218" s="86"/>
      <c r="T218" s="86"/>
      <c r="U218" s="86"/>
    </row>
    <row r="219">
      <c r="O219" s="86"/>
      <c r="P219" s="86"/>
      <c r="Q219" s="86"/>
      <c r="R219" s="86"/>
      <c r="S219" s="86"/>
      <c r="T219" s="86"/>
      <c r="U219" s="86"/>
    </row>
    <row r="220">
      <c r="O220" s="86"/>
      <c r="P220" s="86"/>
      <c r="Q220" s="86"/>
      <c r="R220" s="86"/>
      <c r="S220" s="86"/>
      <c r="T220" s="86"/>
      <c r="U220" s="86"/>
    </row>
    <row r="221">
      <c r="O221" s="86"/>
      <c r="P221" s="86"/>
      <c r="Q221" s="86"/>
      <c r="R221" s="86"/>
      <c r="S221" s="86"/>
      <c r="T221" s="86"/>
      <c r="U221" s="86"/>
    </row>
    <row r="222">
      <c r="O222" s="86"/>
      <c r="P222" s="86"/>
      <c r="Q222" s="86"/>
      <c r="R222" s="86"/>
      <c r="S222" s="86"/>
      <c r="T222" s="86"/>
      <c r="U222" s="86"/>
    </row>
    <row r="223">
      <c r="O223" s="86"/>
      <c r="P223" s="86"/>
      <c r="Q223" s="86"/>
      <c r="R223" s="86"/>
      <c r="S223" s="86"/>
      <c r="T223" s="86"/>
      <c r="U223" s="86"/>
    </row>
    <row r="224">
      <c r="O224" s="86"/>
      <c r="P224" s="86"/>
      <c r="Q224" s="86"/>
      <c r="R224" s="86"/>
      <c r="S224" s="86"/>
      <c r="T224" s="86"/>
      <c r="U224" s="86"/>
    </row>
    <row r="225">
      <c r="O225" s="86"/>
      <c r="P225" s="86"/>
      <c r="Q225" s="86"/>
      <c r="R225" s="86"/>
      <c r="S225" s="86"/>
      <c r="T225" s="86"/>
      <c r="U225" s="86"/>
    </row>
    <row r="226">
      <c r="O226" s="86"/>
      <c r="P226" s="86"/>
      <c r="Q226" s="86"/>
      <c r="R226" s="86"/>
      <c r="S226" s="86"/>
      <c r="T226" s="86"/>
      <c r="U226" s="86"/>
    </row>
    <row r="227">
      <c r="O227" s="86"/>
      <c r="P227" s="86"/>
      <c r="Q227" s="86"/>
      <c r="R227" s="86"/>
      <c r="S227" s="86"/>
      <c r="T227" s="86"/>
      <c r="U227" s="86"/>
    </row>
    <row r="228">
      <c r="O228" s="86"/>
      <c r="P228" s="86"/>
      <c r="Q228" s="86"/>
      <c r="R228" s="86"/>
      <c r="S228" s="86"/>
      <c r="T228" s="86"/>
      <c r="U228" s="86"/>
    </row>
    <row r="229">
      <c r="O229" s="86"/>
      <c r="P229" s="86"/>
      <c r="Q229" s="86"/>
      <c r="R229" s="86"/>
      <c r="S229" s="86"/>
      <c r="T229" s="86"/>
      <c r="U229" s="86"/>
    </row>
    <row r="230">
      <c r="O230" s="86"/>
      <c r="P230" s="86"/>
      <c r="Q230" s="86"/>
      <c r="R230" s="86"/>
      <c r="S230" s="86"/>
      <c r="T230" s="86"/>
      <c r="U230" s="86"/>
    </row>
    <row r="231">
      <c r="O231" s="86"/>
      <c r="P231" s="86"/>
      <c r="Q231" s="86"/>
      <c r="R231" s="86"/>
      <c r="S231" s="86"/>
      <c r="T231" s="86"/>
      <c r="U231" s="86"/>
    </row>
    <row r="232">
      <c r="O232" s="86"/>
      <c r="P232" s="86"/>
      <c r="Q232" s="86"/>
      <c r="R232" s="86"/>
      <c r="S232" s="86"/>
      <c r="T232" s="86"/>
      <c r="U232" s="86"/>
    </row>
    <row r="233">
      <c r="O233" s="86"/>
      <c r="P233" s="86"/>
      <c r="Q233" s="86"/>
      <c r="R233" s="86"/>
      <c r="S233" s="86"/>
      <c r="T233" s="86"/>
      <c r="U233" s="86"/>
    </row>
    <row r="234">
      <c r="O234" s="86"/>
      <c r="P234" s="86"/>
      <c r="Q234" s="86"/>
      <c r="R234" s="86"/>
      <c r="S234" s="86"/>
      <c r="T234" s="86"/>
      <c r="U234" s="86"/>
    </row>
    <row r="235">
      <c r="O235" s="86"/>
      <c r="P235" s="86"/>
      <c r="Q235" s="86"/>
      <c r="R235" s="86"/>
      <c r="S235" s="86"/>
      <c r="T235" s="86"/>
      <c r="U235" s="86"/>
    </row>
    <row r="236">
      <c r="O236" s="86"/>
      <c r="P236" s="86"/>
      <c r="Q236" s="86"/>
      <c r="R236" s="86"/>
      <c r="S236" s="86"/>
      <c r="T236" s="86"/>
      <c r="U236" s="86"/>
    </row>
    <row r="237">
      <c r="O237" s="86"/>
      <c r="P237" s="86"/>
      <c r="Q237" s="86"/>
      <c r="R237" s="86"/>
      <c r="S237" s="86"/>
      <c r="T237" s="86"/>
      <c r="U237" s="86"/>
    </row>
    <row r="238">
      <c r="O238" s="86"/>
      <c r="P238" s="86"/>
      <c r="Q238" s="86"/>
      <c r="R238" s="86"/>
      <c r="S238" s="86"/>
      <c r="T238" s="86"/>
      <c r="U238" s="86"/>
    </row>
    <row r="239">
      <c r="O239" s="86"/>
      <c r="P239" s="86"/>
      <c r="Q239" s="86"/>
      <c r="R239" s="86"/>
      <c r="S239" s="86"/>
      <c r="T239" s="86"/>
      <c r="U239" s="86"/>
    </row>
    <row r="240">
      <c r="O240" s="86"/>
      <c r="P240" s="86"/>
      <c r="Q240" s="86"/>
      <c r="R240" s="86"/>
      <c r="S240" s="86"/>
      <c r="T240" s="86"/>
      <c r="U240" s="86"/>
    </row>
    <row r="241">
      <c r="O241" s="86"/>
      <c r="P241" s="86"/>
      <c r="Q241" s="86"/>
      <c r="R241" s="86"/>
      <c r="S241" s="86"/>
      <c r="T241" s="86"/>
      <c r="U241" s="86"/>
    </row>
    <row r="242">
      <c r="O242" s="86"/>
      <c r="P242" s="86"/>
      <c r="Q242" s="86"/>
      <c r="R242" s="86"/>
      <c r="S242" s="86"/>
      <c r="T242" s="86"/>
      <c r="U242" s="86"/>
    </row>
    <row r="243">
      <c r="O243" s="86"/>
      <c r="P243" s="86"/>
      <c r="Q243" s="86"/>
      <c r="R243" s="86"/>
      <c r="S243" s="86"/>
      <c r="T243" s="86"/>
      <c r="U243" s="86"/>
    </row>
    <row r="244">
      <c r="O244" s="86"/>
      <c r="P244" s="86"/>
      <c r="Q244" s="86"/>
      <c r="R244" s="86"/>
      <c r="S244" s="86"/>
      <c r="T244" s="86"/>
      <c r="U244" s="86"/>
    </row>
    <row r="245">
      <c r="O245" s="86"/>
      <c r="P245" s="86"/>
      <c r="Q245" s="86"/>
      <c r="R245" s="86"/>
      <c r="S245" s="86"/>
      <c r="T245" s="86"/>
      <c r="U245" s="86"/>
    </row>
    <row r="246">
      <c r="O246" s="86"/>
      <c r="P246" s="86"/>
      <c r="Q246" s="86"/>
      <c r="R246" s="86"/>
      <c r="S246" s="86"/>
      <c r="T246" s="86"/>
      <c r="U246" s="86"/>
    </row>
    <row r="247">
      <c r="O247" s="86"/>
      <c r="P247" s="86"/>
      <c r="Q247" s="86"/>
      <c r="R247" s="86"/>
      <c r="S247" s="86"/>
      <c r="T247" s="86"/>
      <c r="U247" s="86"/>
    </row>
    <row r="248">
      <c r="O248" s="86"/>
      <c r="P248" s="86"/>
      <c r="Q248" s="86"/>
      <c r="R248" s="86"/>
      <c r="S248" s="86"/>
      <c r="T248" s="86"/>
      <c r="U248" s="86"/>
    </row>
    <row r="249">
      <c r="O249" s="86"/>
      <c r="P249" s="86"/>
      <c r="Q249" s="86"/>
      <c r="R249" s="86"/>
      <c r="S249" s="86"/>
      <c r="T249" s="86"/>
      <c r="U249" s="86"/>
    </row>
    <row r="250">
      <c r="O250" s="86"/>
      <c r="P250" s="86"/>
      <c r="Q250" s="86"/>
      <c r="R250" s="86"/>
      <c r="S250" s="86"/>
      <c r="T250" s="86"/>
      <c r="U250" s="86"/>
    </row>
    <row r="251">
      <c r="O251" s="86"/>
      <c r="P251" s="86"/>
      <c r="Q251" s="86"/>
      <c r="R251" s="86"/>
      <c r="S251" s="86"/>
      <c r="T251" s="86"/>
      <c r="U251" s="86"/>
    </row>
    <row r="252">
      <c r="O252" s="86"/>
      <c r="P252" s="86"/>
      <c r="Q252" s="86"/>
      <c r="R252" s="86"/>
      <c r="S252" s="86"/>
      <c r="T252" s="86"/>
      <c r="U252" s="86"/>
    </row>
    <row r="253">
      <c r="O253" s="86"/>
      <c r="P253" s="86"/>
      <c r="Q253" s="86"/>
      <c r="R253" s="86"/>
      <c r="S253" s="86"/>
      <c r="T253" s="86"/>
      <c r="U253" s="86"/>
    </row>
    <row r="254">
      <c r="O254" s="86"/>
      <c r="P254" s="86"/>
      <c r="Q254" s="86"/>
      <c r="R254" s="86"/>
      <c r="S254" s="86"/>
      <c r="T254" s="86"/>
      <c r="U254" s="86"/>
    </row>
    <row r="255">
      <c r="O255" s="86"/>
      <c r="P255" s="86"/>
      <c r="Q255" s="86"/>
      <c r="R255" s="86"/>
      <c r="S255" s="86"/>
      <c r="T255" s="86"/>
      <c r="U255" s="86"/>
    </row>
    <row r="256">
      <c r="O256" s="86"/>
      <c r="P256" s="86"/>
      <c r="Q256" s="86"/>
      <c r="R256" s="86"/>
      <c r="S256" s="86"/>
      <c r="T256" s="86"/>
      <c r="U256" s="86"/>
    </row>
    <row r="257">
      <c r="O257" s="86"/>
      <c r="P257" s="86"/>
      <c r="Q257" s="86"/>
      <c r="R257" s="86"/>
      <c r="S257" s="86"/>
      <c r="T257" s="86"/>
      <c r="U257" s="86"/>
    </row>
    <row r="258">
      <c r="O258" s="86"/>
      <c r="P258" s="86"/>
      <c r="Q258" s="86"/>
      <c r="R258" s="86"/>
      <c r="S258" s="86"/>
      <c r="T258" s="86"/>
      <c r="U258" s="86"/>
    </row>
    <row r="259">
      <c r="O259" s="86"/>
      <c r="P259" s="86"/>
      <c r="Q259" s="86"/>
      <c r="R259" s="86"/>
      <c r="S259" s="86"/>
      <c r="T259" s="86"/>
      <c r="U259" s="86"/>
    </row>
    <row r="260">
      <c r="O260" s="86"/>
      <c r="P260" s="86"/>
      <c r="Q260" s="86"/>
      <c r="R260" s="86"/>
      <c r="S260" s="86"/>
      <c r="T260" s="86"/>
      <c r="U260" s="86"/>
    </row>
    <row r="261">
      <c r="O261" s="86"/>
      <c r="P261" s="86"/>
      <c r="Q261" s="86"/>
      <c r="R261" s="86"/>
      <c r="S261" s="86"/>
      <c r="T261" s="86"/>
      <c r="U261" s="86"/>
    </row>
    <row r="262">
      <c r="O262" s="86"/>
      <c r="P262" s="86"/>
      <c r="Q262" s="86"/>
      <c r="R262" s="86"/>
      <c r="S262" s="86"/>
      <c r="T262" s="86"/>
      <c r="U262" s="86"/>
    </row>
    <row r="263">
      <c r="O263" s="86"/>
      <c r="P263" s="86"/>
      <c r="Q263" s="86"/>
      <c r="R263" s="86"/>
      <c r="S263" s="86"/>
      <c r="T263" s="86"/>
      <c r="U263" s="86"/>
    </row>
    <row r="264">
      <c r="O264" s="86"/>
      <c r="P264" s="86"/>
      <c r="Q264" s="86"/>
      <c r="R264" s="86"/>
      <c r="S264" s="86"/>
      <c r="T264" s="86"/>
      <c r="U264" s="86"/>
    </row>
    <row r="265">
      <c r="O265" s="86"/>
      <c r="P265" s="86"/>
      <c r="Q265" s="86"/>
      <c r="R265" s="86"/>
      <c r="S265" s="86"/>
      <c r="T265" s="86"/>
      <c r="U265" s="86"/>
    </row>
    <row r="266">
      <c r="O266" s="86"/>
      <c r="P266" s="86"/>
      <c r="Q266" s="86"/>
      <c r="R266" s="86"/>
      <c r="S266" s="86"/>
      <c r="T266" s="86"/>
      <c r="U266" s="86"/>
    </row>
    <row r="267">
      <c r="O267" s="86"/>
      <c r="P267" s="86"/>
      <c r="Q267" s="86"/>
      <c r="R267" s="86"/>
      <c r="S267" s="86"/>
      <c r="T267" s="86"/>
      <c r="U267" s="86"/>
    </row>
    <row r="268">
      <c r="O268" s="86"/>
      <c r="P268" s="86"/>
      <c r="Q268" s="86"/>
      <c r="R268" s="86"/>
      <c r="S268" s="86"/>
      <c r="T268" s="86"/>
      <c r="U268" s="86"/>
    </row>
    <row r="269">
      <c r="O269" s="86"/>
      <c r="P269" s="86"/>
      <c r="Q269" s="86"/>
      <c r="R269" s="86"/>
      <c r="S269" s="86"/>
      <c r="T269" s="86"/>
      <c r="U269" s="86"/>
    </row>
    <row r="270">
      <c r="O270" s="86"/>
      <c r="P270" s="86"/>
      <c r="Q270" s="86"/>
      <c r="R270" s="86"/>
      <c r="S270" s="86"/>
      <c r="T270" s="86"/>
      <c r="U270" s="86"/>
    </row>
    <row r="271">
      <c r="O271" s="86"/>
      <c r="P271" s="86"/>
      <c r="Q271" s="86"/>
      <c r="R271" s="86"/>
      <c r="S271" s="86"/>
      <c r="T271" s="86"/>
      <c r="U271" s="86"/>
    </row>
    <row r="272">
      <c r="O272" s="86"/>
      <c r="P272" s="86"/>
      <c r="Q272" s="86"/>
      <c r="R272" s="86"/>
      <c r="S272" s="86"/>
      <c r="T272" s="86"/>
      <c r="U272" s="86"/>
    </row>
    <row r="273">
      <c r="O273" s="86"/>
      <c r="P273" s="86"/>
      <c r="Q273" s="86"/>
      <c r="R273" s="86"/>
      <c r="S273" s="86"/>
      <c r="T273" s="86"/>
      <c r="U273" s="86"/>
    </row>
    <row r="274">
      <c r="O274" s="86"/>
      <c r="P274" s="86"/>
      <c r="Q274" s="86"/>
      <c r="R274" s="86"/>
      <c r="S274" s="86"/>
      <c r="T274" s="86"/>
      <c r="U274" s="86"/>
    </row>
    <row r="275">
      <c r="O275" s="86"/>
      <c r="P275" s="86"/>
      <c r="Q275" s="86"/>
      <c r="R275" s="86"/>
      <c r="S275" s="86"/>
      <c r="T275" s="86"/>
      <c r="U275" s="86"/>
    </row>
    <row r="276">
      <c r="O276" s="86"/>
      <c r="P276" s="86"/>
      <c r="Q276" s="86"/>
      <c r="R276" s="86"/>
      <c r="S276" s="86"/>
      <c r="T276" s="86"/>
      <c r="U276" s="86"/>
    </row>
    <row r="277">
      <c r="O277" s="86"/>
      <c r="P277" s="86"/>
      <c r="Q277" s="86"/>
      <c r="R277" s="86"/>
      <c r="S277" s="86"/>
      <c r="T277" s="86"/>
      <c r="U277" s="86"/>
    </row>
    <row r="278">
      <c r="O278" s="86"/>
      <c r="P278" s="86"/>
      <c r="Q278" s="86"/>
      <c r="R278" s="86"/>
      <c r="S278" s="86"/>
      <c r="T278" s="86"/>
      <c r="U278" s="86"/>
    </row>
    <row r="279">
      <c r="O279" s="86"/>
      <c r="P279" s="86"/>
      <c r="Q279" s="86"/>
      <c r="R279" s="86"/>
      <c r="S279" s="86"/>
      <c r="T279" s="86"/>
      <c r="U279" s="86"/>
    </row>
    <row r="280">
      <c r="O280" s="86"/>
      <c r="P280" s="86"/>
      <c r="Q280" s="86"/>
      <c r="R280" s="86"/>
      <c r="S280" s="86"/>
      <c r="T280" s="86"/>
      <c r="U280" s="86"/>
    </row>
    <row r="281">
      <c r="O281" s="86"/>
      <c r="P281" s="86"/>
      <c r="Q281" s="86"/>
      <c r="R281" s="86"/>
      <c r="S281" s="86"/>
      <c r="T281" s="86"/>
      <c r="U281" s="86"/>
    </row>
    <row r="282">
      <c r="O282" s="86"/>
      <c r="P282" s="86"/>
      <c r="Q282" s="86"/>
      <c r="R282" s="86"/>
      <c r="S282" s="86"/>
      <c r="T282" s="86"/>
      <c r="U282" s="86"/>
    </row>
    <row r="283">
      <c r="O283" s="86"/>
      <c r="P283" s="86"/>
      <c r="Q283" s="86"/>
      <c r="R283" s="86"/>
      <c r="S283" s="86"/>
      <c r="T283" s="86"/>
      <c r="U283" s="86"/>
    </row>
    <row r="284">
      <c r="O284" s="86"/>
      <c r="P284" s="86"/>
      <c r="Q284" s="86"/>
      <c r="R284" s="86"/>
      <c r="S284" s="86"/>
      <c r="T284" s="86"/>
      <c r="U284" s="86"/>
    </row>
    <row r="285">
      <c r="O285" s="86"/>
      <c r="P285" s="86"/>
      <c r="Q285" s="86"/>
      <c r="R285" s="86"/>
      <c r="S285" s="86"/>
      <c r="T285" s="86"/>
      <c r="U285" s="86"/>
    </row>
    <row r="286">
      <c r="O286" s="86"/>
      <c r="P286" s="86"/>
      <c r="Q286" s="86"/>
      <c r="R286" s="86"/>
      <c r="S286" s="86"/>
      <c r="T286" s="86"/>
      <c r="U286" s="86"/>
    </row>
    <row r="287">
      <c r="O287" s="86"/>
      <c r="P287" s="86"/>
      <c r="Q287" s="86"/>
      <c r="R287" s="86"/>
      <c r="S287" s="86"/>
      <c r="T287" s="86"/>
      <c r="U287" s="86"/>
    </row>
    <row r="288">
      <c r="O288" s="86"/>
      <c r="P288" s="86"/>
      <c r="Q288" s="86"/>
      <c r="R288" s="86"/>
      <c r="S288" s="86"/>
      <c r="T288" s="86"/>
      <c r="U288" s="86"/>
    </row>
    <row r="289">
      <c r="O289" s="86"/>
      <c r="P289" s="86"/>
      <c r="Q289" s="86"/>
      <c r="R289" s="86"/>
      <c r="S289" s="86"/>
      <c r="T289" s="86"/>
      <c r="U289" s="86"/>
    </row>
    <row r="290">
      <c r="O290" s="86"/>
      <c r="P290" s="86"/>
      <c r="Q290" s="86"/>
      <c r="R290" s="86"/>
      <c r="S290" s="86"/>
      <c r="T290" s="86"/>
      <c r="U290" s="86"/>
    </row>
    <row r="291">
      <c r="O291" s="86"/>
      <c r="P291" s="86"/>
      <c r="Q291" s="86"/>
      <c r="R291" s="86"/>
      <c r="S291" s="86"/>
      <c r="T291" s="86"/>
      <c r="U291" s="86"/>
    </row>
    <row r="292">
      <c r="O292" s="86"/>
      <c r="P292" s="86"/>
      <c r="Q292" s="86"/>
      <c r="R292" s="86"/>
      <c r="S292" s="86"/>
      <c r="T292" s="86"/>
      <c r="U292" s="86"/>
    </row>
    <row r="293">
      <c r="O293" s="86"/>
      <c r="P293" s="86"/>
      <c r="Q293" s="86"/>
      <c r="R293" s="86"/>
      <c r="S293" s="86"/>
      <c r="T293" s="86"/>
      <c r="U293" s="86"/>
    </row>
    <row r="294">
      <c r="O294" s="86"/>
      <c r="P294" s="86"/>
      <c r="Q294" s="86"/>
      <c r="R294" s="86"/>
      <c r="S294" s="86"/>
      <c r="T294" s="86"/>
      <c r="U294" s="86"/>
    </row>
    <row r="295">
      <c r="O295" s="86"/>
      <c r="P295" s="86"/>
      <c r="Q295" s="86"/>
      <c r="R295" s="86"/>
      <c r="S295" s="86"/>
      <c r="T295" s="86"/>
      <c r="U295" s="86"/>
    </row>
    <row r="296">
      <c r="O296" s="86"/>
      <c r="P296" s="86"/>
      <c r="Q296" s="86"/>
      <c r="R296" s="86"/>
      <c r="S296" s="86"/>
      <c r="T296" s="86"/>
      <c r="U296" s="86"/>
    </row>
    <row r="297">
      <c r="O297" s="86"/>
      <c r="P297" s="86"/>
      <c r="Q297" s="86"/>
      <c r="R297" s="86"/>
      <c r="S297" s="86"/>
      <c r="T297" s="86"/>
      <c r="U297" s="86"/>
    </row>
    <row r="298">
      <c r="O298" s="86"/>
      <c r="P298" s="86"/>
      <c r="Q298" s="86"/>
      <c r="R298" s="86"/>
      <c r="S298" s="86"/>
      <c r="T298" s="86"/>
      <c r="U298" s="86"/>
    </row>
    <row r="299">
      <c r="O299" s="86"/>
      <c r="P299" s="86"/>
      <c r="Q299" s="86"/>
      <c r="R299" s="86"/>
      <c r="S299" s="86"/>
      <c r="T299" s="86"/>
      <c r="U299" s="86"/>
    </row>
    <row r="300">
      <c r="O300" s="86"/>
      <c r="P300" s="86"/>
      <c r="Q300" s="86"/>
      <c r="R300" s="86"/>
      <c r="S300" s="86"/>
      <c r="T300" s="86"/>
      <c r="U300" s="86"/>
    </row>
    <row r="301">
      <c r="O301" s="86"/>
      <c r="P301" s="86"/>
      <c r="Q301" s="86"/>
      <c r="R301" s="86"/>
      <c r="S301" s="86"/>
      <c r="T301" s="86"/>
      <c r="U301" s="86"/>
    </row>
    <row r="302">
      <c r="O302" s="86"/>
      <c r="P302" s="86"/>
      <c r="Q302" s="86"/>
      <c r="R302" s="86"/>
      <c r="S302" s="86"/>
      <c r="T302" s="86"/>
      <c r="U302" s="86"/>
    </row>
    <row r="303">
      <c r="O303" s="86"/>
      <c r="P303" s="86"/>
      <c r="Q303" s="86"/>
      <c r="R303" s="86"/>
      <c r="S303" s="86"/>
      <c r="T303" s="86"/>
      <c r="U303" s="86"/>
    </row>
    <row r="304">
      <c r="O304" s="86"/>
      <c r="P304" s="86"/>
      <c r="Q304" s="86"/>
      <c r="R304" s="86"/>
      <c r="S304" s="86"/>
      <c r="T304" s="86"/>
      <c r="U304" s="86"/>
    </row>
    <row r="305">
      <c r="O305" s="86"/>
      <c r="P305" s="86"/>
      <c r="Q305" s="86"/>
      <c r="R305" s="86"/>
      <c r="S305" s="86"/>
      <c r="T305" s="86"/>
      <c r="U305" s="86"/>
    </row>
    <row r="306">
      <c r="O306" s="86"/>
      <c r="P306" s="86"/>
      <c r="Q306" s="86"/>
      <c r="R306" s="86"/>
      <c r="S306" s="86"/>
      <c r="T306" s="86"/>
      <c r="U306" s="86"/>
    </row>
    <row r="307">
      <c r="O307" s="86"/>
      <c r="P307" s="86"/>
      <c r="Q307" s="86"/>
      <c r="R307" s="86"/>
      <c r="S307" s="86"/>
      <c r="T307" s="86"/>
      <c r="U307" s="86"/>
    </row>
    <row r="308">
      <c r="O308" s="86"/>
      <c r="P308" s="86"/>
      <c r="Q308" s="86"/>
      <c r="R308" s="86"/>
      <c r="S308" s="86"/>
      <c r="T308" s="86"/>
      <c r="U308" s="86"/>
    </row>
    <row r="309">
      <c r="O309" s="86"/>
      <c r="P309" s="86"/>
      <c r="Q309" s="86"/>
      <c r="R309" s="86"/>
      <c r="S309" s="86"/>
      <c r="T309" s="86"/>
      <c r="U309" s="86"/>
    </row>
    <row r="310">
      <c r="O310" s="86"/>
      <c r="P310" s="86"/>
      <c r="Q310" s="86"/>
      <c r="R310" s="86"/>
      <c r="S310" s="86"/>
      <c r="T310" s="86"/>
      <c r="U310" s="86"/>
    </row>
    <row r="311">
      <c r="O311" s="86"/>
      <c r="P311" s="86"/>
      <c r="Q311" s="86"/>
      <c r="R311" s="86"/>
      <c r="S311" s="86"/>
      <c r="T311" s="86"/>
      <c r="U311" s="86"/>
    </row>
    <row r="312">
      <c r="O312" s="86"/>
      <c r="P312" s="86"/>
      <c r="Q312" s="86"/>
      <c r="R312" s="86"/>
      <c r="S312" s="86"/>
      <c r="T312" s="86"/>
      <c r="U312" s="86"/>
    </row>
    <row r="313">
      <c r="O313" s="86"/>
      <c r="P313" s="86"/>
      <c r="Q313" s="86"/>
      <c r="R313" s="86"/>
      <c r="S313" s="86"/>
      <c r="T313" s="86"/>
      <c r="U313" s="86"/>
    </row>
    <row r="314">
      <c r="O314" s="86"/>
      <c r="P314" s="86"/>
      <c r="Q314" s="86"/>
      <c r="R314" s="86"/>
      <c r="S314" s="86"/>
      <c r="T314" s="86"/>
      <c r="U314" s="86"/>
    </row>
    <row r="315">
      <c r="O315" s="86"/>
      <c r="P315" s="86"/>
      <c r="Q315" s="86"/>
      <c r="R315" s="86"/>
      <c r="S315" s="86"/>
      <c r="T315" s="86"/>
      <c r="U315" s="86"/>
    </row>
    <row r="316">
      <c r="O316" s="86"/>
      <c r="P316" s="86"/>
      <c r="Q316" s="86"/>
      <c r="R316" s="86"/>
      <c r="S316" s="86"/>
      <c r="T316" s="86"/>
      <c r="U316" s="86"/>
    </row>
    <row r="317">
      <c r="O317" s="86"/>
      <c r="P317" s="86"/>
      <c r="Q317" s="86"/>
      <c r="R317" s="86"/>
      <c r="S317" s="86"/>
      <c r="T317" s="86"/>
      <c r="U317" s="86"/>
    </row>
    <row r="318">
      <c r="O318" s="86"/>
      <c r="P318" s="86"/>
      <c r="Q318" s="86"/>
      <c r="R318" s="86"/>
      <c r="S318" s="86"/>
      <c r="T318" s="86"/>
      <c r="U318" s="86"/>
    </row>
    <row r="319">
      <c r="O319" s="86"/>
      <c r="P319" s="86"/>
      <c r="Q319" s="86"/>
      <c r="R319" s="86"/>
      <c r="S319" s="86"/>
      <c r="T319" s="86"/>
      <c r="U319" s="86"/>
    </row>
    <row r="320">
      <c r="O320" s="86"/>
      <c r="P320" s="86"/>
      <c r="Q320" s="86"/>
      <c r="R320" s="86"/>
      <c r="S320" s="86"/>
      <c r="T320" s="86"/>
      <c r="U320" s="86"/>
    </row>
    <row r="321">
      <c r="O321" s="86"/>
      <c r="P321" s="86"/>
      <c r="Q321" s="86"/>
      <c r="R321" s="86"/>
      <c r="S321" s="86"/>
      <c r="T321" s="86"/>
      <c r="U321" s="86"/>
    </row>
    <row r="322">
      <c r="O322" s="86"/>
      <c r="P322" s="86"/>
      <c r="Q322" s="86"/>
      <c r="R322" s="86"/>
      <c r="S322" s="86"/>
      <c r="T322" s="86"/>
      <c r="U322" s="86"/>
    </row>
    <row r="323">
      <c r="O323" s="86"/>
      <c r="P323" s="86"/>
      <c r="Q323" s="86"/>
      <c r="R323" s="86"/>
      <c r="S323" s="86"/>
      <c r="T323" s="86"/>
      <c r="U323" s="86"/>
    </row>
    <row r="324">
      <c r="O324" s="86"/>
      <c r="P324" s="86"/>
      <c r="Q324" s="86"/>
      <c r="R324" s="86"/>
      <c r="S324" s="86"/>
      <c r="T324" s="86"/>
      <c r="U324" s="86"/>
    </row>
    <row r="325">
      <c r="O325" s="86"/>
      <c r="P325" s="86"/>
      <c r="Q325" s="86"/>
      <c r="R325" s="86"/>
      <c r="S325" s="86"/>
      <c r="T325" s="86"/>
      <c r="U325" s="86"/>
    </row>
    <row r="326">
      <c r="O326" s="86"/>
      <c r="P326" s="86"/>
      <c r="Q326" s="86"/>
      <c r="R326" s="86"/>
      <c r="S326" s="86"/>
      <c r="T326" s="86"/>
      <c r="U326" s="86"/>
    </row>
    <row r="327">
      <c r="O327" s="86"/>
      <c r="P327" s="86"/>
      <c r="Q327" s="86"/>
      <c r="R327" s="86"/>
      <c r="S327" s="86"/>
      <c r="T327" s="86"/>
      <c r="U327" s="86"/>
    </row>
    <row r="328">
      <c r="O328" s="86"/>
      <c r="P328" s="86"/>
      <c r="Q328" s="86"/>
      <c r="R328" s="86"/>
      <c r="S328" s="86"/>
      <c r="T328" s="86"/>
      <c r="U328" s="86"/>
    </row>
    <row r="329">
      <c r="O329" s="86"/>
      <c r="P329" s="86"/>
      <c r="Q329" s="86"/>
      <c r="R329" s="86"/>
      <c r="S329" s="86"/>
      <c r="T329" s="86"/>
      <c r="U329" s="86"/>
    </row>
    <row r="330">
      <c r="O330" s="86"/>
      <c r="P330" s="86"/>
      <c r="Q330" s="86"/>
      <c r="R330" s="86"/>
      <c r="S330" s="86"/>
      <c r="T330" s="86"/>
      <c r="U330" s="86"/>
    </row>
    <row r="331">
      <c r="O331" s="86"/>
      <c r="P331" s="86"/>
      <c r="Q331" s="86"/>
      <c r="R331" s="86"/>
      <c r="S331" s="86"/>
      <c r="T331" s="86"/>
      <c r="U331" s="86"/>
    </row>
    <row r="332">
      <c r="O332" s="86"/>
      <c r="P332" s="86"/>
      <c r="Q332" s="86"/>
      <c r="R332" s="86"/>
      <c r="S332" s="86"/>
      <c r="T332" s="86"/>
      <c r="U332" s="86"/>
    </row>
    <row r="333">
      <c r="O333" s="86"/>
      <c r="P333" s="86"/>
      <c r="Q333" s="86"/>
      <c r="R333" s="86"/>
      <c r="S333" s="86"/>
      <c r="T333" s="86"/>
      <c r="U333" s="86"/>
    </row>
    <row r="334">
      <c r="O334" s="86"/>
      <c r="P334" s="86"/>
      <c r="Q334" s="86"/>
      <c r="R334" s="86"/>
      <c r="S334" s="86"/>
      <c r="T334" s="86"/>
      <c r="U334" s="86"/>
    </row>
    <row r="335">
      <c r="O335" s="86"/>
      <c r="P335" s="86"/>
      <c r="Q335" s="86"/>
      <c r="R335" s="86"/>
      <c r="S335" s="86"/>
      <c r="T335" s="86"/>
      <c r="U335" s="86"/>
    </row>
    <row r="336">
      <c r="O336" s="86"/>
      <c r="P336" s="86"/>
      <c r="Q336" s="86"/>
      <c r="R336" s="86"/>
      <c r="S336" s="86"/>
      <c r="T336" s="86"/>
      <c r="U336" s="86"/>
    </row>
    <row r="337">
      <c r="O337" s="86"/>
      <c r="P337" s="86"/>
      <c r="Q337" s="86"/>
      <c r="R337" s="86"/>
      <c r="S337" s="86"/>
      <c r="T337" s="86"/>
      <c r="U337" s="86"/>
    </row>
    <row r="338">
      <c r="O338" s="86"/>
      <c r="P338" s="86"/>
      <c r="Q338" s="86"/>
      <c r="R338" s="86"/>
      <c r="S338" s="86"/>
      <c r="T338" s="86"/>
      <c r="U338" s="86"/>
    </row>
    <row r="339">
      <c r="O339" s="86"/>
      <c r="P339" s="86"/>
      <c r="Q339" s="86"/>
      <c r="R339" s="86"/>
      <c r="S339" s="86"/>
      <c r="T339" s="86"/>
      <c r="U339" s="86"/>
    </row>
    <row r="340">
      <c r="O340" s="86"/>
      <c r="P340" s="86"/>
      <c r="Q340" s="86"/>
      <c r="R340" s="86"/>
      <c r="S340" s="86"/>
      <c r="T340" s="86"/>
      <c r="U340" s="86"/>
    </row>
    <row r="341">
      <c r="O341" s="86"/>
      <c r="P341" s="86"/>
      <c r="Q341" s="86"/>
      <c r="R341" s="86"/>
      <c r="S341" s="86"/>
      <c r="T341" s="86"/>
      <c r="U341" s="86"/>
    </row>
    <row r="342">
      <c r="O342" s="86"/>
      <c r="P342" s="86"/>
      <c r="Q342" s="86"/>
      <c r="R342" s="86"/>
      <c r="S342" s="86"/>
      <c r="T342" s="86"/>
      <c r="U342" s="86"/>
    </row>
    <row r="343">
      <c r="O343" s="86"/>
      <c r="P343" s="86"/>
      <c r="Q343" s="86"/>
      <c r="R343" s="86"/>
      <c r="S343" s="86"/>
      <c r="T343" s="86"/>
      <c r="U343" s="86"/>
    </row>
    <row r="344">
      <c r="O344" s="86"/>
      <c r="P344" s="86"/>
      <c r="Q344" s="86"/>
      <c r="R344" s="86"/>
      <c r="S344" s="86"/>
      <c r="T344" s="86"/>
      <c r="U344" s="86"/>
    </row>
    <row r="345">
      <c r="O345" s="86"/>
      <c r="P345" s="86"/>
      <c r="Q345" s="86"/>
      <c r="R345" s="86"/>
      <c r="S345" s="86"/>
      <c r="T345" s="86"/>
      <c r="U345" s="86"/>
    </row>
    <row r="346">
      <c r="O346" s="86"/>
      <c r="P346" s="86"/>
      <c r="Q346" s="86"/>
      <c r="R346" s="86"/>
      <c r="S346" s="86"/>
      <c r="T346" s="86"/>
      <c r="U346" s="86"/>
    </row>
    <row r="347">
      <c r="O347" s="86"/>
      <c r="P347" s="86"/>
      <c r="Q347" s="86"/>
      <c r="R347" s="86"/>
      <c r="S347" s="86"/>
      <c r="T347" s="86"/>
      <c r="U347" s="86"/>
    </row>
    <row r="348">
      <c r="O348" s="86"/>
      <c r="P348" s="86"/>
      <c r="Q348" s="86"/>
      <c r="R348" s="86"/>
      <c r="S348" s="86"/>
      <c r="T348" s="86"/>
      <c r="U348" s="86"/>
    </row>
    <row r="349">
      <c r="O349" s="86"/>
      <c r="P349" s="86"/>
      <c r="Q349" s="86"/>
      <c r="R349" s="86"/>
      <c r="S349" s="86"/>
      <c r="T349" s="86"/>
      <c r="U349" s="86"/>
    </row>
    <row r="350">
      <c r="O350" s="86"/>
      <c r="P350" s="86"/>
      <c r="Q350" s="86"/>
      <c r="R350" s="86"/>
      <c r="S350" s="86"/>
      <c r="T350" s="86"/>
      <c r="U350" s="86"/>
    </row>
    <row r="351">
      <c r="O351" s="86"/>
      <c r="P351" s="86"/>
      <c r="Q351" s="86"/>
      <c r="R351" s="86"/>
      <c r="S351" s="86"/>
      <c r="T351" s="86"/>
      <c r="U351" s="86"/>
    </row>
    <row r="352">
      <c r="O352" s="86"/>
      <c r="P352" s="86"/>
      <c r="Q352" s="86"/>
      <c r="R352" s="86"/>
      <c r="S352" s="86"/>
      <c r="T352" s="86"/>
      <c r="U352" s="86"/>
    </row>
    <row r="353">
      <c r="O353" s="86"/>
      <c r="P353" s="86"/>
      <c r="Q353" s="86"/>
      <c r="R353" s="86"/>
      <c r="S353" s="86"/>
      <c r="T353" s="86"/>
      <c r="U353" s="86"/>
    </row>
    <row r="354">
      <c r="O354" s="86"/>
      <c r="P354" s="86"/>
      <c r="Q354" s="86"/>
      <c r="R354" s="86"/>
      <c r="S354" s="86"/>
      <c r="T354" s="86"/>
      <c r="U354" s="86"/>
    </row>
    <row r="355">
      <c r="O355" s="86"/>
      <c r="P355" s="86"/>
      <c r="Q355" s="86"/>
      <c r="R355" s="86"/>
      <c r="S355" s="86"/>
      <c r="T355" s="86"/>
      <c r="U355" s="86"/>
    </row>
    <row r="356">
      <c r="O356" s="86"/>
      <c r="P356" s="86"/>
      <c r="Q356" s="86"/>
      <c r="R356" s="86"/>
      <c r="S356" s="86"/>
      <c r="T356" s="86"/>
      <c r="U356" s="86"/>
    </row>
    <row r="357">
      <c r="O357" s="86"/>
      <c r="P357" s="86"/>
      <c r="Q357" s="86"/>
      <c r="R357" s="86"/>
      <c r="S357" s="86"/>
      <c r="T357" s="86"/>
      <c r="U357" s="86"/>
    </row>
    <row r="358">
      <c r="O358" s="86"/>
      <c r="P358" s="86"/>
      <c r="Q358" s="86"/>
      <c r="R358" s="86"/>
      <c r="S358" s="86"/>
      <c r="T358" s="86"/>
      <c r="U358" s="86"/>
    </row>
    <row r="359">
      <c r="O359" s="86"/>
      <c r="P359" s="86"/>
      <c r="Q359" s="86"/>
      <c r="R359" s="86"/>
      <c r="S359" s="86"/>
      <c r="T359" s="86"/>
      <c r="U359" s="86"/>
    </row>
    <row r="360">
      <c r="O360" s="86"/>
      <c r="P360" s="86"/>
      <c r="Q360" s="86"/>
      <c r="R360" s="86"/>
      <c r="S360" s="86"/>
      <c r="T360" s="86"/>
      <c r="U360" s="86"/>
    </row>
    <row r="361">
      <c r="O361" s="86"/>
      <c r="P361" s="86"/>
      <c r="Q361" s="86"/>
      <c r="R361" s="86"/>
      <c r="S361" s="86"/>
      <c r="T361" s="86"/>
      <c r="U361" s="86"/>
    </row>
    <row r="362">
      <c r="O362" s="86"/>
      <c r="P362" s="86"/>
      <c r="Q362" s="86"/>
      <c r="R362" s="86"/>
      <c r="S362" s="86"/>
      <c r="T362" s="86"/>
      <c r="U362" s="86"/>
    </row>
    <row r="363">
      <c r="O363" s="86"/>
      <c r="P363" s="86"/>
      <c r="Q363" s="86"/>
      <c r="R363" s="86"/>
      <c r="S363" s="86"/>
      <c r="T363" s="86"/>
      <c r="U363" s="86"/>
    </row>
    <row r="364">
      <c r="O364" s="86"/>
      <c r="P364" s="86"/>
      <c r="Q364" s="86"/>
      <c r="R364" s="86"/>
      <c r="S364" s="86"/>
      <c r="T364" s="86"/>
      <c r="U364" s="86"/>
    </row>
    <row r="365">
      <c r="O365" s="86"/>
      <c r="P365" s="86"/>
      <c r="Q365" s="86"/>
      <c r="R365" s="86"/>
      <c r="S365" s="86"/>
      <c r="T365" s="86"/>
      <c r="U365" s="86"/>
    </row>
    <row r="366">
      <c r="O366" s="86"/>
      <c r="P366" s="86"/>
      <c r="Q366" s="86"/>
      <c r="R366" s="86"/>
      <c r="S366" s="86"/>
      <c r="T366" s="86"/>
      <c r="U366" s="86"/>
    </row>
    <row r="367">
      <c r="O367" s="86"/>
      <c r="P367" s="86"/>
      <c r="Q367" s="86"/>
      <c r="R367" s="86"/>
      <c r="S367" s="86"/>
      <c r="T367" s="86"/>
      <c r="U367" s="86"/>
    </row>
    <row r="368">
      <c r="O368" s="86"/>
      <c r="P368" s="86"/>
      <c r="Q368" s="86"/>
      <c r="R368" s="86"/>
      <c r="S368" s="86"/>
      <c r="T368" s="86"/>
      <c r="U368" s="86"/>
    </row>
    <row r="369">
      <c r="O369" s="86"/>
      <c r="P369" s="86"/>
      <c r="Q369" s="86"/>
      <c r="R369" s="86"/>
      <c r="S369" s="86"/>
      <c r="T369" s="86"/>
      <c r="U369" s="86"/>
    </row>
    <row r="370">
      <c r="O370" s="86"/>
      <c r="P370" s="86"/>
      <c r="Q370" s="86"/>
      <c r="R370" s="86"/>
      <c r="S370" s="86"/>
      <c r="T370" s="86"/>
      <c r="U370" s="86"/>
    </row>
    <row r="371">
      <c r="O371" s="86"/>
      <c r="P371" s="86"/>
      <c r="Q371" s="86"/>
      <c r="R371" s="86"/>
      <c r="S371" s="86"/>
      <c r="T371" s="86"/>
      <c r="U371" s="86"/>
    </row>
    <row r="372">
      <c r="O372" s="86"/>
      <c r="P372" s="86"/>
      <c r="Q372" s="86"/>
      <c r="R372" s="86"/>
      <c r="S372" s="86"/>
      <c r="T372" s="86"/>
      <c r="U372" s="86"/>
    </row>
    <row r="373">
      <c r="O373" s="86"/>
      <c r="P373" s="86"/>
      <c r="Q373" s="86"/>
      <c r="R373" s="86"/>
      <c r="S373" s="86"/>
      <c r="T373" s="86"/>
      <c r="U373" s="86"/>
    </row>
    <row r="374">
      <c r="O374" s="86"/>
      <c r="P374" s="86"/>
      <c r="Q374" s="86"/>
      <c r="R374" s="86"/>
      <c r="S374" s="86"/>
      <c r="T374" s="86"/>
      <c r="U374" s="86"/>
    </row>
    <row r="375">
      <c r="O375" s="86"/>
      <c r="P375" s="86"/>
      <c r="Q375" s="86"/>
      <c r="R375" s="86"/>
      <c r="S375" s="86"/>
      <c r="T375" s="86"/>
      <c r="U375" s="86"/>
    </row>
    <row r="376">
      <c r="O376" s="86"/>
      <c r="P376" s="86"/>
      <c r="Q376" s="86"/>
      <c r="R376" s="86"/>
      <c r="S376" s="86"/>
      <c r="T376" s="86"/>
      <c r="U376" s="86"/>
    </row>
    <row r="377">
      <c r="O377" s="86"/>
      <c r="P377" s="86"/>
      <c r="Q377" s="86"/>
      <c r="R377" s="86"/>
      <c r="S377" s="86"/>
      <c r="T377" s="86"/>
      <c r="U377" s="86"/>
    </row>
    <row r="378">
      <c r="O378" s="86"/>
      <c r="P378" s="86"/>
      <c r="Q378" s="86"/>
      <c r="R378" s="86"/>
      <c r="S378" s="86"/>
      <c r="T378" s="86"/>
      <c r="U378" s="86"/>
    </row>
    <row r="379">
      <c r="O379" s="86"/>
      <c r="P379" s="86"/>
      <c r="Q379" s="86"/>
      <c r="R379" s="86"/>
      <c r="S379" s="86"/>
      <c r="T379" s="86"/>
      <c r="U379" s="86"/>
    </row>
    <row r="380">
      <c r="O380" s="86"/>
      <c r="P380" s="86"/>
      <c r="Q380" s="86"/>
      <c r="R380" s="86"/>
      <c r="S380" s="86"/>
      <c r="T380" s="86"/>
      <c r="U380" s="86"/>
    </row>
    <row r="381">
      <c r="O381" s="86"/>
      <c r="P381" s="86"/>
      <c r="Q381" s="86"/>
      <c r="R381" s="86"/>
      <c r="S381" s="86"/>
      <c r="T381" s="86"/>
      <c r="U381" s="86"/>
    </row>
    <row r="382">
      <c r="O382" s="86"/>
      <c r="P382" s="86"/>
      <c r="Q382" s="86"/>
      <c r="R382" s="86"/>
      <c r="S382" s="86"/>
      <c r="T382" s="86"/>
      <c r="U382" s="86"/>
    </row>
    <row r="383">
      <c r="O383" s="86"/>
      <c r="P383" s="86"/>
      <c r="Q383" s="86"/>
      <c r="R383" s="86"/>
      <c r="S383" s="86"/>
      <c r="T383" s="86"/>
      <c r="U383" s="86"/>
    </row>
    <row r="384">
      <c r="O384" s="86"/>
      <c r="P384" s="86"/>
      <c r="Q384" s="86"/>
      <c r="R384" s="86"/>
      <c r="S384" s="86"/>
      <c r="T384" s="86"/>
      <c r="U384" s="86"/>
    </row>
    <row r="385">
      <c r="O385" s="86"/>
      <c r="P385" s="86"/>
      <c r="Q385" s="86"/>
      <c r="R385" s="86"/>
      <c r="S385" s="86"/>
      <c r="T385" s="86"/>
      <c r="U385" s="86"/>
    </row>
    <row r="386">
      <c r="O386" s="86"/>
      <c r="P386" s="86"/>
      <c r="Q386" s="86"/>
      <c r="R386" s="86"/>
      <c r="S386" s="86"/>
      <c r="T386" s="86"/>
      <c r="U386" s="86"/>
    </row>
    <row r="387">
      <c r="O387" s="86"/>
      <c r="P387" s="86"/>
      <c r="Q387" s="86"/>
      <c r="R387" s="86"/>
      <c r="S387" s="86"/>
      <c r="T387" s="86"/>
      <c r="U387" s="86"/>
    </row>
    <row r="388">
      <c r="O388" s="86"/>
      <c r="P388" s="86"/>
      <c r="Q388" s="86"/>
      <c r="R388" s="86"/>
      <c r="S388" s="86"/>
      <c r="T388" s="86"/>
      <c r="U388" s="86"/>
    </row>
    <row r="389">
      <c r="O389" s="86"/>
      <c r="P389" s="86"/>
      <c r="Q389" s="86"/>
      <c r="R389" s="86"/>
      <c r="S389" s="86"/>
      <c r="T389" s="86"/>
      <c r="U389" s="86"/>
    </row>
    <row r="390">
      <c r="O390" s="86"/>
      <c r="P390" s="86"/>
      <c r="Q390" s="86"/>
      <c r="R390" s="86"/>
      <c r="S390" s="86"/>
      <c r="T390" s="86"/>
      <c r="U390" s="86"/>
    </row>
    <row r="391">
      <c r="O391" s="86"/>
      <c r="P391" s="86"/>
      <c r="Q391" s="86"/>
      <c r="R391" s="86"/>
      <c r="S391" s="86"/>
      <c r="T391" s="86"/>
      <c r="U391" s="86"/>
    </row>
    <row r="392">
      <c r="O392" s="86"/>
      <c r="P392" s="86"/>
      <c r="Q392" s="86"/>
      <c r="R392" s="86"/>
      <c r="S392" s="86"/>
      <c r="T392" s="86"/>
      <c r="U392" s="86"/>
    </row>
    <row r="393">
      <c r="O393" s="86"/>
      <c r="P393" s="86"/>
      <c r="Q393" s="86"/>
      <c r="R393" s="86"/>
      <c r="S393" s="86"/>
      <c r="T393" s="86"/>
      <c r="U393" s="86"/>
    </row>
    <row r="394">
      <c r="O394" s="86"/>
      <c r="P394" s="86"/>
      <c r="Q394" s="86"/>
      <c r="R394" s="86"/>
      <c r="S394" s="86"/>
      <c r="T394" s="86"/>
      <c r="U394" s="86"/>
    </row>
    <row r="395">
      <c r="O395" s="86"/>
      <c r="P395" s="86"/>
      <c r="Q395" s="86"/>
      <c r="R395" s="86"/>
      <c r="S395" s="86"/>
      <c r="T395" s="86"/>
      <c r="U395" s="86"/>
    </row>
    <row r="396">
      <c r="O396" s="86"/>
      <c r="P396" s="86"/>
      <c r="Q396" s="86"/>
      <c r="R396" s="86"/>
      <c r="S396" s="86"/>
      <c r="T396" s="86"/>
      <c r="U396" s="86"/>
    </row>
    <row r="397">
      <c r="O397" s="86"/>
      <c r="P397" s="86"/>
      <c r="Q397" s="86"/>
      <c r="R397" s="86"/>
      <c r="S397" s="86"/>
      <c r="T397" s="86"/>
      <c r="U397" s="86"/>
    </row>
    <row r="398">
      <c r="O398" s="86"/>
      <c r="P398" s="86"/>
      <c r="Q398" s="86"/>
      <c r="R398" s="86"/>
      <c r="S398" s="86"/>
      <c r="T398" s="86"/>
      <c r="U398" s="86"/>
    </row>
    <row r="399">
      <c r="O399" s="86"/>
      <c r="P399" s="86"/>
      <c r="Q399" s="86"/>
      <c r="R399" s="86"/>
      <c r="S399" s="86"/>
      <c r="T399" s="86"/>
      <c r="U399" s="86"/>
    </row>
    <row r="400">
      <c r="O400" s="86"/>
      <c r="P400" s="86"/>
      <c r="Q400" s="86"/>
      <c r="R400" s="86"/>
      <c r="S400" s="86"/>
      <c r="T400" s="86"/>
      <c r="U400" s="86"/>
    </row>
    <row r="401">
      <c r="O401" s="86"/>
      <c r="P401" s="86"/>
      <c r="Q401" s="86"/>
      <c r="R401" s="86"/>
      <c r="S401" s="86"/>
      <c r="T401" s="86"/>
      <c r="U401" s="86"/>
    </row>
    <row r="402">
      <c r="O402" s="86"/>
      <c r="P402" s="86"/>
      <c r="Q402" s="86"/>
      <c r="R402" s="86"/>
      <c r="S402" s="86"/>
      <c r="T402" s="86"/>
      <c r="U402" s="86"/>
    </row>
    <row r="403">
      <c r="O403" s="86"/>
      <c r="P403" s="86"/>
      <c r="Q403" s="86"/>
      <c r="R403" s="86"/>
      <c r="S403" s="86"/>
      <c r="T403" s="86"/>
      <c r="U403" s="86"/>
    </row>
    <row r="404">
      <c r="O404" s="86"/>
      <c r="P404" s="86"/>
      <c r="Q404" s="86"/>
      <c r="R404" s="86"/>
      <c r="S404" s="86"/>
      <c r="T404" s="86"/>
      <c r="U404" s="86"/>
    </row>
    <row r="405">
      <c r="O405" s="86"/>
      <c r="P405" s="86"/>
      <c r="Q405" s="86"/>
      <c r="R405" s="86"/>
      <c r="S405" s="86"/>
      <c r="T405" s="86"/>
      <c r="U405" s="86"/>
    </row>
    <row r="406">
      <c r="O406" s="86"/>
      <c r="P406" s="86"/>
      <c r="Q406" s="86"/>
      <c r="R406" s="86"/>
      <c r="S406" s="86"/>
      <c r="T406" s="86"/>
      <c r="U406" s="86"/>
    </row>
    <row r="407">
      <c r="O407" s="86"/>
      <c r="P407" s="86"/>
      <c r="Q407" s="86"/>
      <c r="R407" s="86"/>
      <c r="S407" s="86"/>
      <c r="T407" s="86"/>
      <c r="U407" s="86"/>
    </row>
    <row r="408">
      <c r="O408" s="86"/>
      <c r="P408" s="86"/>
      <c r="Q408" s="86"/>
      <c r="R408" s="86"/>
      <c r="S408" s="86"/>
      <c r="T408" s="86"/>
      <c r="U408" s="86"/>
    </row>
    <row r="409">
      <c r="O409" s="86"/>
      <c r="P409" s="86"/>
      <c r="Q409" s="86"/>
      <c r="R409" s="86"/>
      <c r="S409" s="86"/>
      <c r="T409" s="86"/>
      <c r="U409" s="86"/>
    </row>
    <row r="410">
      <c r="O410" s="86"/>
      <c r="P410" s="86"/>
      <c r="Q410" s="86"/>
      <c r="R410" s="86"/>
      <c r="S410" s="86"/>
      <c r="T410" s="86"/>
      <c r="U410" s="86"/>
    </row>
    <row r="411">
      <c r="O411" s="86"/>
      <c r="P411" s="86"/>
      <c r="Q411" s="86"/>
      <c r="R411" s="86"/>
      <c r="S411" s="86"/>
      <c r="T411" s="86"/>
      <c r="U411" s="86"/>
    </row>
    <row r="412">
      <c r="O412" s="86"/>
      <c r="P412" s="86"/>
      <c r="Q412" s="86"/>
      <c r="R412" s="86"/>
      <c r="S412" s="86"/>
      <c r="T412" s="86"/>
      <c r="U412" s="86"/>
    </row>
    <row r="413">
      <c r="O413" s="86"/>
      <c r="P413" s="86"/>
      <c r="Q413" s="86"/>
      <c r="R413" s="86"/>
      <c r="S413" s="86"/>
      <c r="T413" s="86"/>
      <c r="U413" s="86"/>
    </row>
    <row r="414">
      <c r="O414" s="86"/>
      <c r="P414" s="86"/>
      <c r="Q414" s="86"/>
      <c r="R414" s="86"/>
      <c r="S414" s="86"/>
      <c r="T414" s="86"/>
      <c r="U414" s="86"/>
    </row>
    <row r="415">
      <c r="O415" s="86"/>
      <c r="P415" s="86"/>
      <c r="Q415" s="86"/>
      <c r="R415" s="86"/>
      <c r="S415" s="86"/>
      <c r="T415" s="86"/>
      <c r="U415" s="86"/>
    </row>
    <row r="416">
      <c r="O416" s="86"/>
      <c r="P416" s="86"/>
      <c r="Q416" s="86"/>
      <c r="R416" s="86"/>
      <c r="S416" s="86"/>
      <c r="T416" s="86"/>
      <c r="U416" s="86"/>
    </row>
    <row r="417">
      <c r="O417" s="86"/>
      <c r="P417" s="86"/>
      <c r="Q417" s="86"/>
      <c r="R417" s="86"/>
      <c r="S417" s="86"/>
      <c r="T417" s="86"/>
      <c r="U417" s="86"/>
    </row>
    <row r="418">
      <c r="O418" s="86"/>
      <c r="P418" s="86"/>
      <c r="Q418" s="86"/>
      <c r="R418" s="86"/>
      <c r="S418" s="86"/>
      <c r="T418" s="86"/>
      <c r="U418" s="86"/>
    </row>
    <row r="419">
      <c r="O419" s="86"/>
      <c r="P419" s="86"/>
      <c r="Q419" s="86"/>
      <c r="R419" s="86"/>
      <c r="S419" s="86"/>
      <c r="T419" s="86"/>
      <c r="U419" s="86"/>
    </row>
    <row r="420">
      <c r="O420" s="86"/>
      <c r="P420" s="86"/>
      <c r="Q420" s="86"/>
      <c r="R420" s="86"/>
      <c r="S420" s="86"/>
      <c r="T420" s="86"/>
      <c r="U420" s="86"/>
    </row>
    <row r="421">
      <c r="O421" s="86"/>
      <c r="P421" s="86"/>
      <c r="Q421" s="86"/>
      <c r="R421" s="86"/>
      <c r="S421" s="86"/>
      <c r="T421" s="86"/>
      <c r="U421" s="86"/>
    </row>
    <row r="422">
      <c r="O422" s="86"/>
      <c r="P422" s="86"/>
      <c r="Q422" s="86"/>
      <c r="R422" s="86"/>
      <c r="S422" s="86"/>
      <c r="T422" s="86"/>
      <c r="U422" s="86"/>
    </row>
    <row r="423">
      <c r="O423" s="86"/>
      <c r="P423" s="86"/>
      <c r="Q423" s="86"/>
      <c r="R423" s="86"/>
      <c r="S423" s="86"/>
      <c r="T423" s="86"/>
      <c r="U423" s="86"/>
    </row>
    <row r="424">
      <c r="O424" s="86"/>
      <c r="P424" s="86"/>
      <c r="Q424" s="86"/>
      <c r="R424" s="86"/>
      <c r="S424" s="86"/>
      <c r="T424" s="86"/>
      <c r="U424" s="86"/>
    </row>
    <row r="425">
      <c r="O425" s="86"/>
      <c r="P425" s="86"/>
      <c r="Q425" s="86"/>
      <c r="R425" s="86"/>
      <c r="S425" s="86"/>
      <c r="T425" s="86"/>
      <c r="U425" s="86"/>
    </row>
    <row r="426">
      <c r="O426" s="86"/>
      <c r="P426" s="86"/>
      <c r="Q426" s="86"/>
      <c r="R426" s="86"/>
      <c r="S426" s="86"/>
      <c r="T426" s="86"/>
      <c r="U426" s="86"/>
    </row>
    <row r="427">
      <c r="O427" s="86"/>
      <c r="P427" s="86"/>
      <c r="Q427" s="86"/>
      <c r="R427" s="86"/>
      <c r="S427" s="86"/>
      <c r="T427" s="86"/>
      <c r="U427" s="86"/>
    </row>
    <row r="428">
      <c r="O428" s="86"/>
      <c r="P428" s="86"/>
      <c r="Q428" s="86"/>
      <c r="R428" s="86"/>
      <c r="S428" s="86"/>
      <c r="T428" s="86"/>
      <c r="U428" s="86"/>
    </row>
    <row r="429">
      <c r="O429" s="86"/>
      <c r="P429" s="86"/>
      <c r="Q429" s="86"/>
      <c r="R429" s="86"/>
      <c r="S429" s="86"/>
      <c r="T429" s="86"/>
      <c r="U429" s="86"/>
    </row>
    <row r="430">
      <c r="O430" s="86"/>
      <c r="P430" s="86"/>
      <c r="Q430" s="86"/>
      <c r="R430" s="86"/>
      <c r="S430" s="86"/>
      <c r="T430" s="86"/>
      <c r="U430" s="86"/>
    </row>
    <row r="431">
      <c r="O431" s="86"/>
      <c r="P431" s="86"/>
      <c r="Q431" s="86"/>
      <c r="R431" s="86"/>
      <c r="S431" s="86"/>
      <c r="T431" s="86"/>
      <c r="U431" s="86"/>
    </row>
    <row r="432">
      <c r="O432" s="86"/>
      <c r="P432" s="86"/>
      <c r="Q432" s="86"/>
      <c r="R432" s="86"/>
      <c r="S432" s="86"/>
      <c r="T432" s="86"/>
      <c r="U432" s="86"/>
    </row>
    <row r="433">
      <c r="O433" s="86"/>
      <c r="P433" s="86"/>
      <c r="Q433" s="86"/>
      <c r="R433" s="86"/>
      <c r="S433" s="86"/>
      <c r="T433" s="86"/>
      <c r="U433" s="86"/>
    </row>
    <row r="434">
      <c r="O434" s="86"/>
      <c r="P434" s="86"/>
      <c r="Q434" s="86"/>
      <c r="R434" s="86"/>
      <c r="S434" s="86"/>
      <c r="T434" s="86"/>
      <c r="U434" s="86"/>
    </row>
    <row r="435">
      <c r="O435" s="86"/>
      <c r="P435" s="86"/>
      <c r="Q435" s="86"/>
      <c r="R435" s="86"/>
      <c r="S435" s="86"/>
      <c r="T435" s="86"/>
      <c r="U435" s="86"/>
    </row>
    <row r="436">
      <c r="O436" s="86"/>
      <c r="P436" s="86"/>
      <c r="Q436" s="86"/>
      <c r="R436" s="86"/>
      <c r="S436" s="86"/>
      <c r="T436" s="86"/>
      <c r="U436" s="86"/>
    </row>
    <row r="437">
      <c r="O437" s="86"/>
      <c r="P437" s="86"/>
      <c r="Q437" s="86"/>
      <c r="R437" s="86"/>
      <c r="S437" s="86"/>
      <c r="T437" s="86"/>
      <c r="U437" s="86"/>
    </row>
    <row r="438">
      <c r="O438" s="86"/>
      <c r="P438" s="86"/>
      <c r="Q438" s="86"/>
      <c r="R438" s="86"/>
      <c r="S438" s="86"/>
      <c r="T438" s="86"/>
      <c r="U438" s="86"/>
    </row>
    <row r="439">
      <c r="O439" s="86"/>
      <c r="P439" s="86"/>
      <c r="Q439" s="86"/>
      <c r="R439" s="86"/>
      <c r="S439" s="86"/>
      <c r="T439" s="86"/>
      <c r="U439" s="86"/>
    </row>
    <row r="440">
      <c r="O440" s="86"/>
      <c r="P440" s="86"/>
      <c r="Q440" s="86"/>
      <c r="R440" s="86"/>
      <c r="S440" s="86"/>
      <c r="T440" s="86"/>
      <c r="U440" s="86"/>
    </row>
    <row r="441">
      <c r="O441" s="86"/>
      <c r="P441" s="86"/>
      <c r="Q441" s="86"/>
      <c r="R441" s="86"/>
      <c r="S441" s="86"/>
      <c r="T441" s="86"/>
      <c r="U441" s="86"/>
    </row>
    <row r="442">
      <c r="O442" s="86"/>
      <c r="P442" s="86"/>
      <c r="Q442" s="86"/>
      <c r="R442" s="86"/>
      <c r="S442" s="86"/>
      <c r="T442" s="86"/>
      <c r="U442" s="86"/>
    </row>
    <row r="443">
      <c r="O443" s="86"/>
      <c r="P443" s="86"/>
      <c r="Q443" s="86"/>
      <c r="R443" s="86"/>
      <c r="S443" s="86"/>
      <c r="T443" s="86"/>
      <c r="U443" s="86"/>
    </row>
    <row r="444">
      <c r="O444" s="86"/>
      <c r="P444" s="86"/>
      <c r="Q444" s="86"/>
      <c r="R444" s="86"/>
      <c r="S444" s="86"/>
      <c r="T444" s="86"/>
      <c r="U444" s="86"/>
    </row>
    <row r="445">
      <c r="O445" s="86"/>
      <c r="P445" s="86"/>
      <c r="Q445" s="86"/>
      <c r="R445" s="86"/>
      <c r="S445" s="86"/>
      <c r="T445" s="86"/>
      <c r="U445" s="86"/>
    </row>
    <row r="446">
      <c r="O446" s="86"/>
      <c r="P446" s="86"/>
      <c r="Q446" s="86"/>
      <c r="R446" s="86"/>
      <c r="S446" s="86"/>
      <c r="T446" s="86"/>
      <c r="U446" s="86"/>
    </row>
    <row r="447">
      <c r="O447" s="86"/>
      <c r="P447" s="86"/>
      <c r="Q447" s="86"/>
      <c r="R447" s="86"/>
      <c r="S447" s="86"/>
      <c r="T447" s="86"/>
      <c r="U447" s="86"/>
    </row>
    <row r="448">
      <c r="O448" s="86"/>
      <c r="P448" s="86"/>
      <c r="Q448" s="86"/>
      <c r="R448" s="86"/>
      <c r="S448" s="86"/>
      <c r="T448" s="86"/>
      <c r="U448" s="86"/>
    </row>
    <row r="449">
      <c r="O449" s="86"/>
      <c r="P449" s="86"/>
      <c r="Q449" s="86"/>
      <c r="R449" s="86"/>
      <c r="S449" s="86"/>
      <c r="T449" s="86"/>
      <c r="U449" s="86"/>
    </row>
    <row r="450">
      <c r="O450" s="86"/>
      <c r="P450" s="86"/>
      <c r="Q450" s="86"/>
      <c r="R450" s="86"/>
      <c r="S450" s="86"/>
      <c r="T450" s="86"/>
      <c r="U450" s="86"/>
    </row>
    <row r="451">
      <c r="O451" s="86"/>
      <c r="P451" s="86"/>
      <c r="Q451" s="86"/>
      <c r="R451" s="86"/>
      <c r="S451" s="86"/>
      <c r="T451" s="86"/>
      <c r="U451" s="86"/>
    </row>
    <row r="452">
      <c r="O452" s="86"/>
      <c r="P452" s="86"/>
      <c r="Q452" s="86"/>
      <c r="R452" s="86"/>
      <c r="S452" s="86"/>
      <c r="T452" s="86"/>
      <c r="U452" s="86"/>
    </row>
    <row r="453">
      <c r="O453" s="86"/>
      <c r="P453" s="86"/>
      <c r="Q453" s="86"/>
      <c r="R453" s="86"/>
      <c r="S453" s="86"/>
      <c r="T453" s="86"/>
      <c r="U453" s="86"/>
    </row>
    <row r="454">
      <c r="O454" s="86"/>
      <c r="P454" s="86"/>
      <c r="Q454" s="86"/>
      <c r="R454" s="86"/>
      <c r="S454" s="86"/>
      <c r="T454" s="86"/>
      <c r="U454" s="86"/>
    </row>
    <row r="455">
      <c r="O455" s="86"/>
      <c r="P455" s="86"/>
      <c r="Q455" s="86"/>
      <c r="R455" s="86"/>
      <c r="S455" s="86"/>
      <c r="T455" s="86"/>
      <c r="U455" s="86"/>
    </row>
    <row r="456">
      <c r="O456" s="86"/>
      <c r="P456" s="86"/>
      <c r="Q456" s="86"/>
      <c r="R456" s="86"/>
      <c r="S456" s="86"/>
      <c r="T456" s="86"/>
      <c r="U456" s="86"/>
    </row>
    <row r="457">
      <c r="O457" s="86"/>
      <c r="P457" s="86"/>
      <c r="Q457" s="86"/>
      <c r="R457" s="86"/>
      <c r="S457" s="86"/>
      <c r="T457" s="86"/>
      <c r="U457" s="86"/>
    </row>
    <row r="458">
      <c r="O458" s="86"/>
      <c r="P458" s="86"/>
      <c r="Q458" s="86"/>
      <c r="R458" s="86"/>
      <c r="S458" s="86"/>
      <c r="T458" s="86"/>
      <c r="U458" s="86"/>
    </row>
    <row r="459">
      <c r="O459" s="86"/>
      <c r="P459" s="86"/>
      <c r="Q459" s="86"/>
      <c r="R459" s="86"/>
      <c r="S459" s="86"/>
      <c r="T459" s="86"/>
      <c r="U459" s="86"/>
    </row>
    <row r="460">
      <c r="O460" s="86"/>
      <c r="P460" s="86"/>
      <c r="Q460" s="86"/>
      <c r="R460" s="86"/>
      <c r="S460" s="86"/>
      <c r="T460" s="86"/>
      <c r="U460" s="86"/>
    </row>
    <row r="461">
      <c r="O461" s="86"/>
      <c r="P461" s="86"/>
      <c r="Q461" s="86"/>
      <c r="R461" s="86"/>
      <c r="S461" s="86"/>
      <c r="T461" s="86"/>
      <c r="U461" s="86"/>
    </row>
    <row r="462">
      <c r="O462" s="86"/>
      <c r="P462" s="86"/>
      <c r="Q462" s="86"/>
      <c r="R462" s="86"/>
      <c r="S462" s="86"/>
      <c r="T462" s="86"/>
      <c r="U462" s="86"/>
    </row>
    <row r="463">
      <c r="O463" s="86"/>
      <c r="P463" s="86"/>
      <c r="Q463" s="86"/>
      <c r="R463" s="86"/>
      <c r="S463" s="86"/>
      <c r="T463" s="86"/>
      <c r="U463" s="86"/>
    </row>
    <row r="464">
      <c r="O464" s="86"/>
      <c r="P464" s="86"/>
      <c r="Q464" s="86"/>
      <c r="R464" s="86"/>
      <c r="S464" s="86"/>
      <c r="T464" s="86"/>
      <c r="U464" s="86"/>
    </row>
    <row r="465">
      <c r="O465" s="86"/>
      <c r="P465" s="86"/>
      <c r="Q465" s="86"/>
      <c r="R465" s="86"/>
      <c r="S465" s="86"/>
      <c r="T465" s="86"/>
      <c r="U465" s="86"/>
    </row>
    <row r="466">
      <c r="O466" s="86"/>
      <c r="P466" s="86"/>
      <c r="Q466" s="86"/>
      <c r="R466" s="86"/>
      <c r="S466" s="86"/>
      <c r="T466" s="86"/>
      <c r="U466" s="86"/>
    </row>
    <row r="467">
      <c r="O467" s="86"/>
      <c r="P467" s="86"/>
      <c r="Q467" s="86"/>
      <c r="R467" s="86"/>
      <c r="S467" s="86"/>
      <c r="T467" s="86"/>
      <c r="U467" s="86"/>
    </row>
    <row r="468">
      <c r="O468" s="86"/>
      <c r="P468" s="86"/>
      <c r="Q468" s="86"/>
      <c r="R468" s="86"/>
      <c r="S468" s="86"/>
      <c r="T468" s="86"/>
      <c r="U468" s="86"/>
    </row>
    <row r="469">
      <c r="O469" s="86"/>
      <c r="P469" s="86"/>
      <c r="Q469" s="86"/>
      <c r="R469" s="86"/>
      <c r="S469" s="86"/>
      <c r="T469" s="86"/>
      <c r="U469" s="86"/>
    </row>
    <row r="470">
      <c r="O470" s="86"/>
      <c r="P470" s="86"/>
      <c r="Q470" s="86"/>
      <c r="R470" s="86"/>
      <c r="S470" s="86"/>
      <c r="T470" s="86"/>
      <c r="U470" s="86"/>
    </row>
    <row r="471">
      <c r="O471" s="86"/>
      <c r="P471" s="86"/>
      <c r="Q471" s="86"/>
      <c r="R471" s="86"/>
      <c r="S471" s="86"/>
      <c r="T471" s="86"/>
      <c r="U471" s="86"/>
    </row>
    <row r="472">
      <c r="O472" s="86"/>
      <c r="P472" s="86"/>
      <c r="Q472" s="86"/>
      <c r="R472" s="86"/>
      <c r="S472" s="86"/>
      <c r="T472" s="86"/>
      <c r="U472" s="86"/>
    </row>
    <row r="473">
      <c r="O473" s="86"/>
      <c r="P473" s="86"/>
      <c r="Q473" s="86"/>
      <c r="R473" s="86"/>
      <c r="S473" s="86"/>
      <c r="T473" s="86"/>
      <c r="U473" s="86"/>
    </row>
    <row r="474">
      <c r="O474" s="86"/>
      <c r="P474" s="86"/>
      <c r="Q474" s="86"/>
      <c r="R474" s="86"/>
      <c r="S474" s="86"/>
      <c r="T474" s="86"/>
      <c r="U474" s="86"/>
    </row>
    <row r="475">
      <c r="O475" s="86"/>
      <c r="P475" s="86"/>
      <c r="Q475" s="86"/>
      <c r="R475" s="86"/>
      <c r="S475" s="86"/>
      <c r="T475" s="86"/>
      <c r="U475" s="86"/>
    </row>
    <row r="476">
      <c r="O476" s="86"/>
      <c r="P476" s="86"/>
      <c r="Q476" s="86"/>
      <c r="R476" s="86"/>
      <c r="S476" s="86"/>
      <c r="T476" s="86"/>
      <c r="U476" s="86"/>
    </row>
    <row r="477">
      <c r="O477" s="86"/>
      <c r="P477" s="86"/>
      <c r="Q477" s="86"/>
      <c r="R477" s="86"/>
      <c r="S477" s="86"/>
      <c r="T477" s="86"/>
      <c r="U477" s="86"/>
    </row>
    <row r="478">
      <c r="O478" s="86"/>
      <c r="P478" s="86"/>
      <c r="Q478" s="86"/>
      <c r="R478" s="86"/>
      <c r="S478" s="86"/>
      <c r="T478" s="86"/>
      <c r="U478" s="86"/>
    </row>
    <row r="479">
      <c r="O479" s="86"/>
      <c r="P479" s="86"/>
      <c r="Q479" s="86"/>
      <c r="R479" s="86"/>
      <c r="S479" s="86"/>
      <c r="T479" s="86"/>
      <c r="U479" s="86"/>
    </row>
    <row r="480">
      <c r="O480" s="86"/>
      <c r="P480" s="86"/>
      <c r="Q480" s="86"/>
      <c r="R480" s="86"/>
      <c r="S480" s="86"/>
      <c r="T480" s="86"/>
      <c r="U480" s="86"/>
    </row>
    <row r="481">
      <c r="O481" s="86"/>
      <c r="P481" s="86"/>
      <c r="Q481" s="86"/>
      <c r="R481" s="86"/>
      <c r="S481" s="86"/>
      <c r="T481" s="86"/>
      <c r="U481" s="86"/>
    </row>
    <row r="482">
      <c r="O482" s="86"/>
      <c r="P482" s="86"/>
      <c r="Q482" s="86"/>
      <c r="R482" s="86"/>
      <c r="S482" s="86"/>
      <c r="T482" s="86"/>
      <c r="U482" s="86"/>
    </row>
    <row r="483">
      <c r="O483" s="86"/>
      <c r="P483" s="86"/>
      <c r="Q483" s="86"/>
      <c r="R483" s="86"/>
      <c r="S483" s="86"/>
      <c r="T483" s="86"/>
      <c r="U483" s="86"/>
    </row>
    <row r="484">
      <c r="O484" s="86"/>
      <c r="P484" s="86"/>
      <c r="Q484" s="86"/>
      <c r="R484" s="86"/>
      <c r="S484" s="86"/>
      <c r="T484" s="86"/>
      <c r="U484" s="86"/>
    </row>
    <row r="485">
      <c r="O485" s="86"/>
      <c r="P485" s="86"/>
      <c r="Q485" s="86"/>
      <c r="R485" s="86"/>
      <c r="S485" s="86"/>
      <c r="T485" s="86"/>
      <c r="U485" s="86"/>
    </row>
    <row r="486">
      <c r="O486" s="86"/>
      <c r="P486" s="86"/>
      <c r="Q486" s="86"/>
      <c r="R486" s="86"/>
      <c r="S486" s="86"/>
      <c r="T486" s="86"/>
      <c r="U486" s="86"/>
    </row>
    <row r="487">
      <c r="O487" s="86"/>
      <c r="P487" s="86"/>
      <c r="Q487" s="86"/>
      <c r="R487" s="86"/>
      <c r="S487" s="86"/>
      <c r="T487" s="86"/>
      <c r="U487" s="86"/>
    </row>
    <row r="488">
      <c r="O488" s="86"/>
      <c r="P488" s="86"/>
      <c r="Q488" s="86"/>
      <c r="R488" s="86"/>
      <c r="S488" s="86"/>
      <c r="T488" s="86"/>
      <c r="U488" s="86"/>
    </row>
    <row r="489">
      <c r="O489" s="86"/>
      <c r="P489" s="86"/>
      <c r="Q489" s="86"/>
      <c r="R489" s="86"/>
      <c r="S489" s="86"/>
      <c r="T489" s="86"/>
      <c r="U489" s="86"/>
    </row>
    <row r="490">
      <c r="O490" s="86"/>
      <c r="P490" s="86"/>
      <c r="Q490" s="86"/>
      <c r="R490" s="86"/>
      <c r="S490" s="86"/>
      <c r="T490" s="86"/>
      <c r="U490" s="86"/>
    </row>
    <row r="491">
      <c r="O491" s="86"/>
      <c r="P491" s="86"/>
      <c r="Q491" s="86"/>
      <c r="R491" s="86"/>
      <c r="S491" s="86"/>
      <c r="T491" s="86"/>
      <c r="U491" s="86"/>
    </row>
    <row r="492">
      <c r="O492" s="86"/>
      <c r="P492" s="86"/>
      <c r="Q492" s="86"/>
      <c r="R492" s="86"/>
      <c r="S492" s="86"/>
      <c r="T492" s="86"/>
      <c r="U492" s="86"/>
    </row>
    <row r="493">
      <c r="O493" s="86"/>
      <c r="P493" s="86"/>
      <c r="Q493" s="86"/>
      <c r="R493" s="86"/>
      <c r="S493" s="86"/>
      <c r="T493" s="86"/>
      <c r="U493" s="86"/>
    </row>
    <row r="494">
      <c r="O494" s="86"/>
      <c r="P494" s="86"/>
      <c r="Q494" s="86"/>
      <c r="R494" s="86"/>
      <c r="S494" s="86"/>
      <c r="T494" s="86"/>
      <c r="U494" s="86"/>
    </row>
    <row r="495">
      <c r="O495" s="86"/>
      <c r="P495" s="86"/>
      <c r="Q495" s="86"/>
      <c r="R495" s="86"/>
      <c r="S495" s="86"/>
      <c r="T495" s="86"/>
      <c r="U495" s="86"/>
    </row>
    <row r="496">
      <c r="O496" s="86"/>
      <c r="P496" s="86"/>
      <c r="Q496" s="86"/>
      <c r="R496" s="86"/>
      <c r="S496" s="86"/>
      <c r="T496" s="86"/>
      <c r="U496" s="86"/>
    </row>
    <row r="497">
      <c r="O497" s="86"/>
      <c r="P497" s="86"/>
      <c r="Q497" s="86"/>
      <c r="R497" s="86"/>
      <c r="S497" s="86"/>
      <c r="T497" s="86"/>
      <c r="U497" s="86"/>
    </row>
    <row r="498">
      <c r="O498" s="86"/>
      <c r="P498" s="86"/>
      <c r="Q498" s="86"/>
      <c r="R498" s="86"/>
      <c r="S498" s="86"/>
      <c r="T498" s="86"/>
      <c r="U498" s="86"/>
    </row>
    <row r="499">
      <c r="O499" s="86"/>
      <c r="P499" s="86"/>
      <c r="Q499" s="86"/>
      <c r="R499" s="86"/>
      <c r="S499" s="86"/>
      <c r="T499" s="86"/>
      <c r="U499" s="86"/>
    </row>
    <row r="500">
      <c r="O500" s="86"/>
      <c r="P500" s="86"/>
      <c r="Q500" s="86"/>
      <c r="R500" s="86"/>
      <c r="S500" s="86"/>
      <c r="T500" s="86"/>
      <c r="U500" s="86"/>
    </row>
    <row r="501">
      <c r="O501" s="86"/>
      <c r="P501" s="86"/>
      <c r="Q501" s="86"/>
      <c r="R501" s="86"/>
      <c r="S501" s="86"/>
      <c r="T501" s="86"/>
      <c r="U501" s="86"/>
    </row>
    <row r="502">
      <c r="O502" s="86"/>
      <c r="P502" s="86"/>
      <c r="Q502" s="86"/>
      <c r="R502" s="86"/>
      <c r="S502" s="86"/>
      <c r="T502" s="86"/>
      <c r="U502" s="86"/>
    </row>
    <row r="503">
      <c r="O503" s="86"/>
      <c r="P503" s="86"/>
      <c r="Q503" s="86"/>
      <c r="R503" s="86"/>
      <c r="S503" s="86"/>
      <c r="T503" s="86"/>
      <c r="U503" s="86"/>
    </row>
    <row r="504">
      <c r="O504" s="86"/>
      <c r="P504" s="86"/>
      <c r="Q504" s="86"/>
      <c r="R504" s="86"/>
      <c r="S504" s="86"/>
      <c r="T504" s="86"/>
      <c r="U504" s="86"/>
    </row>
    <row r="505">
      <c r="O505" s="86"/>
      <c r="P505" s="86"/>
      <c r="Q505" s="86"/>
      <c r="R505" s="86"/>
      <c r="S505" s="86"/>
      <c r="T505" s="86"/>
      <c r="U505" s="86"/>
    </row>
    <row r="506">
      <c r="O506" s="86"/>
      <c r="P506" s="86"/>
      <c r="Q506" s="86"/>
      <c r="R506" s="86"/>
      <c r="S506" s="86"/>
      <c r="T506" s="86"/>
      <c r="U506" s="86"/>
    </row>
    <row r="507">
      <c r="O507" s="86"/>
      <c r="P507" s="86"/>
      <c r="Q507" s="86"/>
      <c r="R507" s="86"/>
      <c r="S507" s="86"/>
      <c r="T507" s="86"/>
      <c r="U507" s="86"/>
    </row>
    <row r="508">
      <c r="O508" s="86"/>
      <c r="P508" s="86"/>
      <c r="Q508" s="86"/>
      <c r="R508" s="86"/>
      <c r="S508" s="86"/>
      <c r="T508" s="86"/>
      <c r="U508" s="86"/>
    </row>
    <row r="509">
      <c r="O509" s="86"/>
      <c r="P509" s="86"/>
      <c r="Q509" s="86"/>
      <c r="R509" s="86"/>
      <c r="S509" s="86"/>
      <c r="T509" s="86"/>
      <c r="U509" s="86"/>
    </row>
    <row r="510">
      <c r="O510" s="86"/>
      <c r="P510" s="86"/>
      <c r="Q510" s="86"/>
      <c r="R510" s="86"/>
      <c r="S510" s="86"/>
      <c r="T510" s="86"/>
      <c r="U510" s="86"/>
    </row>
    <row r="511">
      <c r="O511" s="86"/>
      <c r="P511" s="86"/>
      <c r="Q511" s="86"/>
      <c r="R511" s="86"/>
      <c r="S511" s="86"/>
      <c r="T511" s="86"/>
      <c r="U511" s="86"/>
    </row>
    <row r="512">
      <c r="O512" s="86"/>
      <c r="P512" s="86"/>
      <c r="Q512" s="86"/>
      <c r="R512" s="86"/>
      <c r="S512" s="86"/>
      <c r="T512" s="86"/>
      <c r="U512" s="86"/>
    </row>
    <row r="513">
      <c r="O513" s="86"/>
      <c r="P513" s="86"/>
      <c r="Q513" s="86"/>
      <c r="R513" s="86"/>
      <c r="S513" s="86"/>
      <c r="T513" s="86"/>
      <c r="U513" s="86"/>
    </row>
    <row r="514">
      <c r="O514" s="86"/>
      <c r="P514" s="86"/>
      <c r="Q514" s="86"/>
      <c r="R514" s="86"/>
      <c r="S514" s="86"/>
      <c r="T514" s="86"/>
      <c r="U514" s="86"/>
    </row>
    <row r="515">
      <c r="O515" s="86"/>
      <c r="P515" s="86"/>
      <c r="Q515" s="86"/>
      <c r="R515" s="86"/>
      <c r="S515" s="86"/>
      <c r="T515" s="86"/>
      <c r="U515" s="86"/>
    </row>
    <row r="516">
      <c r="O516" s="86"/>
      <c r="P516" s="86"/>
      <c r="Q516" s="86"/>
      <c r="R516" s="86"/>
      <c r="S516" s="86"/>
      <c r="T516" s="86"/>
      <c r="U516" s="86"/>
    </row>
    <row r="517">
      <c r="O517" s="86"/>
      <c r="P517" s="86"/>
      <c r="Q517" s="86"/>
      <c r="R517" s="86"/>
      <c r="S517" s="86"/>
      <c r="T517" s="86"/>
      <c r="U517" s="86"/>
    </row>
    <row r="518">
      <c r="O518" s="86"/>
      <c r="P518" s="86"/>
      <c r="Q518" s="86"/>
      <c r="R518" s="86"/>
      <c r="S518" s="86"/>
      <c r="T518" s="86"/>
      <c r="U518" s="86"/>
    </row>
    <row r="519">
      <c r="O519" s="86"/>
      <c r="P519" s="86"/>
      <c r="Q519" s="86"/>
      <c r="R519" s="86"/>
      <c r="S519" s="86"/>
      <c r="T519" s="86"/>
      <c r="U519" s="86"/>
    </row>
    <row r="520">
      <c r="O520" s="86"/>
      <c r="P520" s="86"/>
      <c r="Q520" s="86"/>
      <c r="R520" s="86"/>
      <c r="S520" s="86"/>
      <c r="T520" s="86"/>
      <c r="U520" s="86"/>
    </row>
    <row r="521">
      <c r="O521" s="86"/>
      <c r="P521" s="86"/>
      <c r="Q521" s="86"/>
      <c r="R521" s="86"/>
      <c r="S521" s="86"/>
      <c r="T521" s="86"/>
      <c r="U521" s="86"/>
    </row>
    <row r="522">
      <c r="O522" s="86"/>
      <c r="P522" s="86"/>
      <c r="Q522" s="86"/>
      <c r="R522" s="86"/>
      <c r="S522" s="86"/>
      <c r="T522" s="86"/>
      <c r="U522" s="86"/>
    </row>
    <row r="523">
      <c r="O523" s="86"/>
      <c r="P523" s="86"/>
      <c r="Q523" s="86"/>
      <c r="R523" s="86"/>
      <c r="S523" s="86"/>
      <c r="T523" s="86"/>
      <c r="U523" s="86"/>
    </row>
    <row r="524">
      <c r="O524" s="86"/>
      <c r="P524" s="86"/>
      <c r="Q524" s="86"/>
      <c r="R524" s="86"/>
      <c r="S524" s="86"/>
      <c r="T524" s="86"/>
      <c r="U524" s="86"/>
    </row>
    <row r="525">
      <c r="O525" s="86"/>
      <c r="P525" s="86"/>
      <c r="Q525" s="86"/>
      <c r="R525" s="86"/>
      <c r="S525" s="86"/>
      <c r="T525" s="86"/>
      <c r="U525" s="86"/>
    </row>
    <row r="526">
      <c r="O526" s="86"/>
      <c r="P526" s="86"/>
      <c r="Q526" s="86"/>
      <c r="R526" s="86"/>
      <c r="S526" s="86"/>
      <c r="T526" s="86"/>
      <c r="U526" s="86"/>
    </row>
    <row r="527">
      <c r="O527" s="86"/>
      <c r="P527" s="86"/>
      <c r="Q527" s="86"/>
      <c r="R527" s="86"/>
      <c r="S527" s="86"/>
      <c r="T527" s="86"/>
      <c r="U527" s="86"/>
    </row>
    <row r="528">
      <c r="O528" s="86"/>
      <c r="P528" s="86"/>
      <c r="Q528" s="86"/>
      <c r="R528" s="86"/>
      <c r="S528" s="86"/>
      <c r="T528" s="86"/>
      <c r="U528" s="86"/>
    </row>
    <row r="529">
      <c r="O529" s="86"/>
      <c r="P529" s="86"/>
      <c r="Q529" s="86"/>
      <c r="R529" s="86"/>
      <c r="S529" s="86"/>
      <c r="T529" s="86"/>
      <c r="U529" s="86"/>
    </row>
    <row r="530">
      <c r="O530" s="86"/>
      <c r="P530" s="86"/>
      <c r="Q530" s="86"/>
      <c r="R530" s="86"/>
      <c r="S530" s="86"/>
      <c r="T530" s="86"/>
      <c r="U530" s="86"/>
    </row>
    <row r="531">
      <c r="O531" s="86"/>
      <c r="P531" s="86"/>
      <c r="Q531" s="86"/>
      <c r="R531" s="86"/>
      <c r="S531" s="86"/>
      <c r="T531" s="86"/>
      <c r="U531" s="86"/>
    </row>
    <row r="532">
      <c r="O532" s="86"/>
      <c r="P532" s="86"/>
      <c r="Q532" s="86"/>
      <c r="R532" s="86"/>
      <c r="S532" s="86"/>
      <c r="T532" s="86"/>
      <c r="U532" s="86"/>
    </row>
    <row r="533">
      <c r="O533" s="86"/>
      <c r="P533" s="86"/>
      <c r="Q533" s="86"/>
      <c r="R533" s="86"/>
      <c r="S533" s="86"/>
      <c r="T533" s="86"/>
      <c r="U533" s="86"/>
    </row>
    <row r="534">
      <c r="O534" s="86"/>
      <c r="P534" s="86"/>
      <c r="Q534" s="86"/>
      <c r="R534" s="86"/>
      <c r="S534" s="86"/>
      <c r="T534" s="86"/>
      <c r="U534" s="86"/>
    </row>
    <row r="535">
      <c r="O535" s="86"/>
      <c r="P535" s="86"/>
      <c r="Q535" s="86"/>
      <c r="R535" s="86"/>
      <c r="S535" s="86"/>
      <c r="T535" s="86"/>
      <c r="U535" s="86"/>
    </row>
    <row r="536">
      <c r="O536" s="86"/>
      <c r="P536" s="86"/>
      <c r="Q536" s="86"/>
      <c r="R536" s="86"/>
      <c r="S536" s="86"/>
      <c r="T536" s="86"/>
      <c r="U536" s="86"/>
    </row>
    <row r="537">
      <c r="O537" s="86"/>
      <c r="P537" s="86"/>
      <c r="Q537" s="86"/>
      <c r="R537" s="86"/>
      <c r="S537" s="86"/>
      <c r="T537" s="86"/>
      <c r="U537" s="86"/>
    </row>
    <row r="538">
      <c r="O538" s="86"/>
      <c r="P538" s="86"/>
      <c r="Q538" s="86"/>
      <c r="R538" s="86"/>
      <c r="S538" s="86"/>
      <c r="T538" s="86"/>
      <c r="U538" s="86"/>
    </row>
    <row r="539">
      <c r="O539" s="86"/>
      <c r="P539" s="86"/>
      <c r="Q539" s="86"/>
      <c r="R539" s="86"/>
      <c r="S539" s="86"/>
      <c r="T539" s="86"/>
      <c r="U539" s="86"/>
    </row>
    <row r="540">
      <c r="O540" s="86"/>
      <c r="P540" s="86"/>
      <c r="Q540" s="86"/>
      <c r="R540" s="86"/>
      <c r="S540" s="86"/>
      <c r="T540" s="86"/>
      <c r="U540" s="86"/>
    </row>
    <row r="541">
      <c r="O541" s="86"/>
      <c r="P541" s="86"/>
      <c r="Q541" s="86"/>
      <c r="R541" s="86"/>
      <c r="S541" s="86"/>
      <c r="T541" s="86"/>
      <c r="U541" s="86"/>
    </row>
    <row r="542">
      <c r="O542" s="86"/>
      <c r="P542" s="86"/>
      <c r="Q542" s="86"/>
      <c r="R542" s="86"/>
      <c r="S542" s="86"/>
      <c r="T542" s="86"/>
      <c r="U542" s="86"/>
    </row>
    <row r="543">
      <c r="O543" s="86"/>
      <c r="P543" s="86"/>
      <c r="Q543" s="86"/>
      <c r="R543" s="86"/>
      <c r="S543" s="86"/>
      <c r="T543" s="86"/>
      <c r="U543" s="86"/>
    </row>
    <row r="544">
      <c r="O544" s="86"/>
      <c r="P544" s="86"/>
      <c r="Q544" s="86"/>
      <c r="R544" s="86"/>
      <c r="S544" s="86"/>
      <c r="T544" s="86"/>
      <c r="U544" s="86"/>
    </row>
    <row r="545">
      <c r="O545" s="86"/>
      <c r="P545" s="86"/>
      <c r="Q545" s="86"/>
      <c r="R545" s="86"/>
      <c r="S545" s="86"/>
      <c r="T545" s="86"/>
      <c r="U545" s="86"/>
    </row>
    <row r="546">
      <c r="O546" s="86"/>
      <c r="P546" s="86"/>
      <c r="Q546" s="86"/>
      <c r="R546" s="86"/>
      <c r="S546" s="86"/>
      <c r="T546" s="86"/>
      <c r="U546" s="86"/>
    </row>
    <row r="547">
      <c r="O547" s="86"/>
      <c r="P547" s="86"/>
      <c r="Q547" s="86"/>
      <c r="R547" s="86"/>
      <c r="S547" s="86"/>
      <c r="T547" s="86"/>
      <c r="U547" s="86"/>
    </row>
    <row r="548">
      <c r="O548" s="86"/>
      <c r="P548" s="86"/>
      <c r="Q548" s="86"/>
      <c r="R548" s="86"/>
      <c r="S548" s="86"/>
      <c r="T548" s="86"/>
      <c r="U548" s="86"/>
    </row>
    <row r="549">
      <c r="O549" s="86"/>
      <c r="P549" s="86"/>
      <c r="Q549" s="86"/>
      <c r="R549" s="86"/>
      <c r="S549" s="86"/>
      <c r="T549" s="86"/>
      <c r="U549" s="86"/>
    </row>
    <row r="550">
      <c r="O550" s="86"/>
      <c r="P550" s="86"/>
      <c r="Q550" s="86"/>
      <c r="R550" s="86"/>
      <c r="S550" s="86"/>
      <c r="T550" s="86"/>
      <c r="U550" s="86"/>
    </row>
    <row r="551">
      <c r="O551" s="86"/>
      <c r="P551" s="86"/>
      <c r="Q551" s="86"/>
      <c r="R551" s="86"/>
      <c r="S551" s="86"/>
      <c r="T551" s="86"/>
      <c r="U551" s="86"/>
    </row>
    <row r="552">
      <c r="O552" s="86"/>
      <c r="P552" s="86"/>
      <c r="Q552" s="86"/>
      <c r="R552" s="86"/>
      <c r="S552" s="86"/>
      <c r="T552" s="86"/>
      <c r="U552" s="86"/>
    </row>
    <row r="553">
      <c r="O553" s="86"/>
      <c r="P553" s="86"/>
      <c r="Q553" s="86"/>
      <c r="R553" s="86"/>
      <c r="S553" s="86"/>
      <c r="T553" s="86"/>
      <c r="U553" s="86"/>
    </row>
    <row r="554">
      <c r="O554" s="86"/>
      <c r="P554" s="86"/>
      <c r="Q554" s="86"/>
      <c r="R554" s="86"/>
      <c r="S554" s="86"/>
      <c r="T554" s="86"/>
      <c r="U554" s="86"/>
    </row>
    <row r="555">
      <c r="O555" s="86"/>
      <c r="P555" s="86"/>
      <c r="Q555" s="86"/>
      <c r="R555" s="86"/>
      <c r="S555" s="86"/>
      <c r="T555" s="86"/>
      <c r="U555" s="86"/>
    </row>
    <row r="556">
      <c r="O556" s="86"/>
      <c r="P556" s="86"/>
      <c r="Q556" s="86"/>
      <c r="R556" s="86"/>
      <c r="S556" s="86"/>
      <c r="T556" s="86"/>
      <c r="U556" s="86"/>
    </row>
    <row r="557">
      <c r="O557" s="86"/>
      <c r="P557" s="86"/>
      <c r="Q557" s="86"/>
      <c r="R557" s="86"/>
      <c r="S557" s="86"/>
      <c r="T557" s="86"/>
      <c r="U557" s="86"/>
    </row>
    <row r="558">
      <c r="O558" s="86"/>
      <c r="P558" s="86"/>
      <c r="Q558" s="86"/>
      <c r="R558" s="86"/>
      <c r="S558" s="86"/>
      <c r="T558" s="86"/>
      <c r="U558" s="86"/>
    </row>
    <row r="559">
      <c r="O559" s="86"/>
      <c r="P559" s="86"/>
      <c r="Q559" s="86"/>
      <c r="R559" s="86"/>
      <c r="S559" s="86"/>
      <c r="T559" s="86"/>
      <c r="U559" s="86"/>
    </row>
    <row r="560">
      <c r="O560" s="86"/>
      <c r="P560" s="86"/>
      <c r="Q560" s="86"/>
      <c r="R560" s="86"/>
      <c r="S560" s="86"/>
      <c r="T560" s="86"/>
      <c r="U560" s="86"/>
    </row>
    <row r="561">
      <c r="O561" s="86"/>
      <c r="P561" s="86"/>
      <c r="Q561" s="86"/>
      <c r="R561" s="86"/>
      <c r="S561" s="86"/>
      <c r="T561" s="86"/>
      <c r="U561" s="86"/>
    </row>
    <row r="562">
      <c r="O562" s="86"/>
      <c r="P562" s="86"/>
      <c r="Q562" s="86"/>
      <c r="R562" s="86"/>
      <c r="S562" s="86"/>
      <c r="T562" s="86"/>
      <c r="U562" s="86"/>
    </row>
    <row r="563">
      <c r="O563" s="86"/>
      <c r="P563" s="86"/>
      <c r="Q563" s="86"/>
      <c r="R563" s="86"/>
      <c r="S563" s="86"/>
      <c r="T563" s="86"/>
      <c r="U563" s="86"/>
    </row>
    <row r="564">
      <c r="O564" s="86"/>
      <c r="P564" s="86"/>
      <c r="Q564" s="86"/>
      <c r="R564" s="86"/>
      <c r="S564" s="86"/>
      <c r="T564" s="86"/>
      <c r="U564" s="86"/>
    </row>
    <row r="565">
      <c r="O565" s="86"/>
      <c r="P565" s="86"/>
      <c r="Q565" s="86"/>
      <c r="R565" s="86"/>
      <c r="S565" s="86"/>
      <c r="T565" s="86"/>
      <c r="U565" s="86"/>
    </row>
    <row r="566">
      <c r="O566" s="86"/>
      <c r="P566" s="86"/>
      <c r="Q566" s="86"/>
      <c r="R566" s="86"/>
      <c r="S566" s="86"/>
      <c r="T566" s="86"/>
      <c r="U566" s="86"/>
    </row>
    <row r="567">
      <c r="O567" s="86"/>
      <c r="P567" s="86"/>
      <c r="Q567" s="86"/>
      <c r="R567" s="86"/>
      <c r="S567" s="86"/>
      <c r="T567" s="86"/>
      <c r="U567" s="86"/>
    </row>
    <row r="568">
      <c r="O568" s="86"/>
      <c r="P568" s="86"/>
      <c r="Q568" s="86"/>
      <c r="R568" s="86"/>
      <c r="S568" s="86"/>
      <c r="T568" s="86"/>
      <c r="U568" s="86"/>
    </row>
    <row r="569">
      <c r="O569" s="86"/>
      <c r="P569" s="86"/>
      <c r="Q569" s="86"/>
      <c r="R569" s="86"/>
      <c r="S569" s="86"/>
      <c r="T569" s="86"/>
      <c r="U569" s="86"/>
    </row>
    <row r="570">
      <c r="O570" s="86"/>
      <c r="P570" s="86"/>
      <c r="Q570" s="86"/>
      <c r="R570" s="86"/>
      <c r="S570" s="86"/>
      <c r="T570" s="86"/>
      <c r="U570" s="86"/>
    </row>
    <row r="571">
      <c r="O571" s="86"/>
      <c r="P571" s="86"/>
      <c r="Q571" s="86"/>
      <c r="R571" s="86"/>
      <c r="S571" s="86"/>
      <c r="T571" s="86"/>
      <c r="U571" s="86"/>
    </row>
    <row r="572">
      <c r="O572" s="86"/>
      <c r="P572" s="86"/>
      <c r="Q572" s="86"/>
      <c r="R572" s="86"/>
      <c r="S572" s="86"/>
      <c r="T572" s="86"/>
      <c r="U572" s="86"/>
    </row>
    <row r="573">
      <c r="O573" s="86"/>
      <c r="P573" s="86"/>
      <c r="Q573" s="86"/>
      <c r="R573" s="86"/>
      <c r="S573" s="86"/>
      <c r="T573" s="86"/>
      <c r="U573" s="86"/>
    </row>
    <row r="574">
      <c r="O574" s="86"/>
      <c r="P574" s="86"/>
      <c r="Q574" s="86"/>
      <c r="R574" s="86"/>
      <c r="S574" s="86"/>
      <c r="T574" s="86"/>
      <c r="U574" s="86"/>
    </row>
    <row r="575">
      <c r="O575" s="86"/>
      <c r="P575" s="86"/>
      <c r="Q575" s="86"/>
      <c r="R575" s="86"/>
      <c r="S575" s="86"/>
      <c r="T575" s="86"/>
      <c r="U575" s="86"/>
    </row>
    <row r="576">
      <c r="O576" s="86"/>
      <c r="P576" s="86"/>
      <c r="Q576" s="86"/>
      <c r="R576" s="86"/>
      <c r="S576" s="86"/>
      <c r="T576" s="86"/>
      <c r="U576" s="86"/>
    </row>
    <row r="577">
      <c r="O577" s="86"/>
      <c r="P577" s="86"/>
      <c r="Q577" s="86"/>
      <c r="R577" s="86"/>
      <c r="S577" s="86"/>
      <c r="T577" s="86"/>
      <c r="U577" s="86"/>
    </row>
    <row r="578">
      <c r="O578" s="86"/>
      <c r="P578" s="86"/>
      <c r="Q578" s="86"/>
      <c r="R578" s="86"/>
      <c r="S578" s="86"/>
      <c r="T578" s="86"/>
      <c r="U578" s="86"/>
    </row>
    <row r="579">
      <c r="O579" s="86"/>
      <c r="P579" s="86"/>
      <c r="Q579" s="86"/>
      <c r="R579" s="86"/>
      <c r="S579" s="86"/>
      <c r="T579" s="86"/>
      <c r="U579" s="86"/>
    </row>
    <row r="580">
      <c r="O580" s="86"/>
      <c r="P580" s="86"/>
      <c r="Q580" s="86"/>
      <c r="R580" s="86"/>
      <c r="S580" s="86"/>
      <c r="T580" s="86"/>
      <c r="U580" s="86"/>
    </row>
    <row r="581">
      <c r="O581" s="86"/>
      <c r="P581" s="86"/>
      <c r="Q581" s="86"/>
      <c r="R581" s="86"/>
      <c r="S581" s="86"/>
      <c r="T581" s="86"/>
      <c r="U581" s="86"/>
    </row>
    <row r="582">
      <c r="O582" s="86"/>
      <c r="P582" s="86"/>
      <c r="Q582" s="86"/>
      <c r="R582" s="86"/>
      <c r="S582" s="86"/>
      <c r="T582" s="86"/>
      <c r="U582" s="86"/>
    </row>
    <row r="583">
      <c r="O583" s="86"/>
      <c r="P583" s="86"/>
      <c r="Q583" s="86"/>
      <c r="R583" s="86"/>
      <c r="S583" s="86"/>
      <c r="T583" s="86"/>
      <c r="U583" s="86"/>
    </row>
    <row r="584">
      <c r="O584" s="86"/>
      <c r="P584" s="86"/>
      <c r="Q584" s="86"/>
      <c r="R584" s="86"/>
      <c r="S584" s="86"/>
      <c r="T584" s="86"/>
      <c r="U584" s="86"/>
    </row>
    <row r="585">
      <c r="O585" s="86"/>
      <c r="P585" s="86"/>
      <c r="Q585" s="86"/>
      <c r="R585" s="86"/>
      <c r="S585" s="86"/>
      <c r="T585" s="86"/>
      <c r="U585" s="86"/>
    </row>
    <row r="586">
      <c r="O586" s="86"/>
      <c r="P586" s="86"/>
      <c r="Q586" s="86"/>
      <c r="R586" s="86"/>
      <c r="S586" s="86"/>
      <c r="T586" s="86"/>
      <c r="U586" s="86"/>
    </row>
    <row r="587">
      <c r="O587" s="86"/>
      <c r="P587" s="86"/>
      <c r="Q587" s="86"/>
      <c r="R587" s="86"/>
      <c r="S587" s="86"/>
      <c r="T587" s="86"/>
      <c r="U587" s="86"/>
    </row>
    <row r="588">
      <c r="O588" s="86"/>
      <c r="P588" s="86"/>
      <c r="Q588" s="86"/>
      <c r="R588" s="86"/>
      <c r="S588" s="86"/>
      <c r="T588" s="86"/>
      <c r="U588" s="86"/>
    </row>
    <row r="589">
      <c r="O589" s="86"/>
      <c r="P589" s="86"/>
      <c r="Q589" s="86"/>
      <c r="R589" s="86"/>
      <c r="S589" s="86"/>
      <c r="T589" s="86"/>
      <c r="U589" s="86"/>
    </row>
    <row r="590">
      <c r="O590" s="86"/>
      <c r="P590" s="86"/>
      <c r="Q590" s="86"/>
      <c r="R590" s="86"/>
      <c r="S590" s="86"/>
      <c r="T590" s="86"/>
      <c r="U590" s="86"/>
    </row>
    <row r="591">
      <c r="O591" s="86"/>
      <c r="P591" s="86"/>
      <c r="Q591" s="86"/>
      <c r="R591" s="86"/>
      <c r="S591" s="86"/>
      <c r="T591" s="86"/>
      <c r="U591" s="86"/>
    </row>
    <row r="592">
      <c r="O592" s="86"/>
      <c r="P592" s="86"/>
      <c r="Q592" s="86"/>
      <c r="R592" s="86"/>
      <c r="S592" s="86"/>
      <c r="T592" s="86"/>
      <c r="U592" s="86"/>
    </row>
    <row r="593">
      <c r="O593" s="86"/>
      <c r="P593" s="86"/>
      <c r="Q593" s="86"/>
      <c r="R593" s="86"/>
      <c r="S593" s="86"/>
      <c r="T593" s="86"/>
      <c r="U593" s="86"/>
    </row>
    <row r="594">
      <c r="O594" s="86"/>
      <c r="P594" s="86"/>
      <c r="Q594" s="86"/>
      <c r="R594" s="86"/>
      <c r="S594" s="86"/>
      <c r="T594" s="86"/>
      <c r="U594" s="86"/>
    </row>
    <row r="595">
      <c r="O595" s="86"/>
      <c r="P595" s="86"/>
      <c r="Q595" s="86"/>
      <c r="R595" s="86"/>
      <c r="S595" s="86"/>
      <c r="T595" s="86"/>
      <c r="U595" s="86"/>
    </row>
    <row r="596">
      <c r="O596" s="86"/>
      <c r="P596" s="86"/>
      <c r="Q596" s="86"/>
      <c r="R596" s="86"/>
      <c r="S596" s="86"/>
      <c r="T596" s="86"/>
      <c r="U596" s="86"/>
    </row>
    <row r="597">
      <c r="O597" s="86"/>
      <c r="P597" s="86"/>
      <c r="Q597" s="86"/>
      <c r="R597" s="86"/>
      <c r="S597" s="86"/>
      <c r="T597" s="86"/>
      <c r="U597" s="86"/>
    </row>
    <row r="598">
      <c r="O598" s="86"/>
      <c r="P598" s="86"/>
      <c r="Q598" s="86"/>
      <c r="R598" s="86"/>
      <c r="S598" s="86"/>
      <c r="T598" s="86"/>
      <c r="U598" s="86"/>
    </row>
    <row r="599">
      <c r="O599" s="86"/>
      <c r="P599" s="86"/>
      <c r="Q599" s="86"/>
      <c r="R599" s="86"/>
      <c r="S599" s="86"/>
      <c r="T599" s="86"/>
      <c r="U599" s="86"/>
    </row>
    <row r="600">
      <c r="O600" s="86"/>
      <c r="P600" s="86"/>
      <c r="Q600" s="86"/>
      <c r="R600" s="86"/>
      <c r="S600" s="86"/>
      <c r="T600" s="86"/>
      <c r="U600" s="86"/>
    </row>
    <row r="601">
      <c r="O601" s="86"/>
      <c r="P601" s="86"/>
      <c r="Q601" s="86"/>
      <c r="R601" s="86"/>
      <c r="S601" s="86"/>
      <c r="T601" s="86"/>
      <c r="U601" s="86"/>
    </row>
    <row r="602">
      <c r="O602" s="86"/>
      <c r="P602" s="86"/>
      <c r="Q602" s="86"/>
      <c r="R602" s="86"/>
      <c r="S602" s="86"/>
      <c r="T602" s="86"/>
      <c r="U602" s="86"/>
    </row>
    <row r="603">
      <c r="O603" s="86"/>
      <c r="P603" s="86"/>
      <c r="Q603" s="86"/>
      <c r="R603" s="86"/>
      <c r="S603" s="86"/>
      <c r="T603" s="86"/>
      <c r="U603" s="86"/>
    </row>
    <row r="604">
      <c r="O604" s="86"/>
      <c r="P604" s="86"/>
      <c r="Q604" s="86"/>
      <c r="R604" s="86"/>
      <c r="S604" s="86"/>
      <c r="T604" s="86"/>
      <c r="U604" s="86"/>
    </row>
    <row r="605">
      <c r="O605" s="86"/>
      <c r="P605" s="86"/>
      <c r="Q605" s="86"/>
      <c r="R605" s="86"/>
      <c r="S605" s="86"/>
      <c r="T605" s="86"/>
      <c r="U605" s="86"/>
    </row>
    <row r="606">
      <c r="O606" s="86"/>
      <c r="P606" s="86"/>
      <c r="Q606" s="86"/>
      <c r="R606" s="86"/>
      <c r="S606" s="86"/>
      <c r="T606" s="86"/>
      <c r="U606" s="86"/>
    </row>
    <row r="607">
      <c r="O607" s="86"/>
      <c r="P607" s="86"/>
      <c r="Q607" s="86"/>
      <c r="R607" s="86"/>
      <c r="S607" s="86"/>
      <c r="T607" s="86"/>
      <c r="U607" s="86"/>
    </row>
    <row r="608">
      <c r="O608" s="86"/>
      <c r="P608" s="86"/>
      <c r="Q608" s="86"/>
      <c r="R608" s="86"/>
      <c r="S608" s="86"/>
      <c r="T608" s="86"/>
      <c r="U608" s="86"/>
    </row>
    <row r="609">
      <c r="O609" s="86"/>
      <c r="P609" s="86"/>
      <c r="Q609" s="86"/>
      <c r="R609" s="86"/>
      <c r="S609" s="86"/>
      <c r="T609" s="86"/>
      <c r="U609" s="86"/>
    </row>
    <row r="610">
      <c r="O610" s="86"/>
      <c r="P610" s="86"/>
      <c r="Q610" s="86"/>
      <c r="R610" s="86"/>
      <c r="S610" s="86"/>
      <c r="T610" s="86"/>
      <c r="U610" s="86"/>
    </row>
    <row r="611">
      <c r="O611" s="86"/>
      <c r="P611" s="86"/>
      <c r="Q611" s="86"/>
      <c r="R611" s="86"/>
      <c r="S611" s="86"/>
      <c r="T611" s="86"/>
      <c r="U611" s="86"/>
    </row>
    <row r="612">
      <c r="O612" s="86"/>
      <c r="P612" s="86"/>
      <c r="Q612" s="86"/>
      <c r="R612" s="86"/>
      <c r="S612" s="86"/>
      <c r="T612" s="86"/>
      <c r="U612" s="86"/>
    </row>
    <row r="613">
      <c r="O613" s="86"/>
      <c r="P613" s="86"/>
      <c r="Q613" s="86"/>
      <c r="R613" s="86"/>
      <c r="S613" s="86"/>
      <c r="T613" s="86"/>
      <c r="U613" s="86"/>
    </row>
    <row r="614">
      <c r="O614" s="86"/>
      <c r="P614" s="86"/>
      <c r="Q614" s="86"/>
      <c r="R614" s="86"/>
      <c r="S614" s="86"/>
      <c r="T614" s="86"/>
      <c r="U614" s="86"/>
    </row>
    <row r="615">
      <c r="O615" s="86"/>
      <c r="P615" s="86"/>
      <c r="Q615" s="86"/>
      <c r="R615" s="86"/>
      <c r="S615" s="86"/>
      <c r="T615" s="86"/>
      <c r="U615" s="86"/>
    </row>
    <row r="616">
      <c r="O616" s="86"/>
      <c r="P616" s="86"/>
      <c r="Q616" s="86"/>
      <c r="R616" s="86"/>
      <c r="S616" s="86"/>
      <c r="T616" s="86"/>
      <c r="U616" s="86"/>
    </row>
    <row r="617">
      <c r="O617" s="86"/>
      <c r="P617" s="86"/>
      <c r="Q617" s="86"/>
      <c r="R617" s="86"/>
      <c r="S617" s="86"/>
      <c r="T617" s="86"/>
      <c r="U617" s="86"/>
    </row>
    <row r="618">
      <c r="O618" s="86"/>
      <c r="P618" s="86"/>
      <c r="Q618" s="86"/>
      <c r="R618" s="86"/>
      <c r="S618" s="86"/>
      <c r="T618" s="86"/>
      <c r="U618" s="86"/>
    </row>
    <row r="619">
      <c r="O619" s="86"/>
      <c r="P619" s="86"/>
      <c r="Q619" s="86"/>
      <c r="R619" s="86"/>
      <c r="S619" s="86"/>
      <c r="T619" s="86"/>
      <c r="U619" s="86"/>
    </row>
    <row r="620">
      <c r="O620" s="86"/>
      <c r="P620" s="86"/>
      <c r="Q620" s="86"/>
      <c r="R620" s="86"/>
      <c r="S620" s="86"/>
      <c r="T620" s="86"/>
      <c r="U620" s="86"/>
    </row>
    <row r="621">
      <c r="O621" s="86"/>
      <c r="P621" s="86"/>
      <c r="Q621" s="86"/>
      <c r="R621" s="86"/>
      <c r="S621" s="86"/>
      <c r="T621" s="86"/>
      <c r="U621" s="86"/>
    </row>
    <row r="622">
      <c r="O622" s="86"/>
      <c r="P622" s="86"/>
      <c r="Q622" s="86"/>
      <c r="R622" s="86"/>
      <c r="S622" s="86"/>
      <c r="T622" s="86"/>
      <c r="U622" s="86"/>
    </row>
    <row r="623">
      <c r="O623" s="86"/>
      <c r="P623" s="86"/>
      <c r="Q623" s="86"/>
      <c r="R623" s="86"/>
      <c r="S623" s="86"/>
      <c r="T623" s="86"/>
      <c r="U623" s="86"/>
    </row>
    <row r="624">
      <c r="O624" s="86"/>
      <c r="P624" s="86"/>
      <c r="Q624" s="86"/>
      <c r="R624" s="86"/>
      <c r="S624" s="86"/>
      <c r="T624" s="86"/>
      <c r="U624" s="86"/>
    </row>
    <row r="625">
      <c r="O625" s="86"/>
      <c r="P625" s="86"/>
      <c r="Q625" s="86"/>
      <c r="R625" s="86"/>
      <c r="S625" s="86"/>
      <c r="T625" s="86"/>
      <c r="U625" s="86"/>
    </row>
    <row r="626">
      <c r="O626" s="86"/>
      <c r="P626" s="86"/>
      <c r="Q626" s="86"/>
      <c r="R626" s="86"/>
      <c r="S626" s="86"/>
      <c r="T626" s="86"/>
      <c r="U626" s="86"/>
    </row>
    <row r="627">
      <c r="O627" s="86"/>
      <c r="P627" s="86"/>
      <c r="Q627" s="86"/>
      <c r="R627" s="86"/>
      <c r="S627" s="86"/>
      <c r="T627" s="86"/>
      <c r="U627" s="86"/>
    </row>
    <row r="628">
      <c r="O628" s="86"/>
      <c r="P628" s="86"/>
      <c r="Q628" s="86"/>
      <c r="R628" s="86"/>
      <c r="S628" s="86"/>
      <c r="T628" s="86"/>
      <c r="U628" s="86"/>
    </row>
    <row r="629">
      <c r="O629" s="86"/>
      <c r="P629" s="86"/>
      <c r="Q629" s="86"/>
      <c r="R629" s="86"/>
      <c r="S629" s="86"/>
      <c r="T629" s="86"/>
      <c r="U629" s="86"/>
    </row>
    <row r="630">
      <c r="O630" s="86"/>
      <c r="P630" s="86"/>
      <c r="Q630" s="86"/>
      <c r="R630" s="86"/>
      <c r="S630" s="86"/>
      <c r="T630" s="86"/>
      <c r="U630" s="86"/>
    </row>
    <row r="631">
      <c r="O631" s="86"/>
      <c r="P631" s="86"/>
      <c r="Q631" s="86"/>
      <c r="R631" s="86"/>
      <c r="S631" s="86"/>
      <c r="T631" s="86"/>
      <c r="U631" s="86"/>
    </row>
    <row r="632">
      <c r="O632" s="86"/>
      <c r="P632" s="86"/>
      <c r="Q632" s="86"/>
      <c r="R632" s="86"/>
      <c r="S632" s="86"/>
      <c r="T632" s="86"/>
      <c r="U632" s="86"/>
    </row>
    <row r="633">
      <c r="O633" s="86"/>
      <c r="P633" s="86"/>
      <c r="Q633" s="86"/>
      <c r="R633" s="86"/>
      <c r="S633" s="86"/>
      <c r="T633" s="86"/>
      <c r="U633" s="86"/>
    </row>
    <row r="634">
      <c r="O634" s="86"/>
      <c r="P634" s="86"/>
      <c r="Q634" s="86"/>
      <c r="R634" s="86"/>
      <c r="S634" s="86"/>
      <c r="T634" s="86"/>
      <c r="U634" s="86"/>
    </row>
    <row r="635">
      <c r="O635" s="86"/>
      <c r="P635" s="86"/>
      <c r="Q635" s="86"/>
      <c r="R635" s="86"/>
      <c r="S635" s="86"/>
      <c r="T635" s="86"/>
      <c r="U635" s="86"/>
    </row>
    <row r="636">
      <c r="O636" s="86"/>
      <c r="P636" s="86"/>
      <c r="Q636" s="86"/>
      <c r="R636" s="86"/>
      <c r="S636" s="86"/>
      <c r="T636" s="86"/>
      <c r="U636" s="86"/>
    </row>
    <row r="637">
      <c r="O637" s="86"/>
      <c r="P637" s="86"/>
      <c r="Q637" s="86"/>
      <c r="R637" s="86"/>
      <c r="S637" s="86"/>
      <c r="T637" s="86"/>
      <c r="U637" s="86"/>
    </row>
    <row r="638">
      <c r="O638" s="86"/>
      <c r="P638" s="86"/>
      <c r="Q638" s="86"/>
      <c r="R638" s="86"/>
      <c r="S638" s="86"/>
      <c r="T638" s="86"/>
      <c r="U638" s="86"/>
    </row>
    <row r="639">
      <c r="O639" s="86"/>
      <c r="P639" s="86"/>
      <c r="Q639" s="86"/>
      <c r="R639" s="86"/>
      <c r="S639" s="86"/>
      <c r="T639" s="86"/>
      <c r="U639" s="86"/>
    </row>
    <row r="640">
      <c r="O640" s="86"/>
      <c r="P640" s="86"/>
      <c r="Q640" s="86"/>
      <c r="R640" s="86"/>
      <c r="S640" s="86"/>
      <c r="T640" s="86"/>
      <c r="U640" s="86"/>
    </row>
    <row r="641">
      <c r="O641" s="86"/>
      <c r="P641" s="86"/>
      <c r="Q641" s="86"/>
      <c r="R641" s="86"/>
      <c r="S641" s="86"/>
      <c r="T641" s="86"/>
      <c r="U641" s="86"/>
    </row>
    <row r="642">
      <c r="O642" s="86"/>
      <c r="P642" s="86"/>
      <c r="Q642" s="86"/>
      <c r="R642" s="86"/>
      <c r="S642" s="86"/>
      <c r="T642" s="86"/>
      <c r="U642" s="86"/>
    </row>
    <row r="643">
      <c r="O643" s="86"/>
      <c r="P643" s="86"/>
      <c r="Q643" s="86"/>
      <c r="R643" s="86"/>
      <c r="S643" s="86"/>
      <c r="T643" s="86"/>
      <c r="U643" s="86"/>
    </row>
    <row r="644">
      <c r="O644" s="86"/>
      <c r="P644" s="86"/>
      <c r="Q644" s="86"/>
      <c r="R644" s="86"/>
      <c r="S644" s="86"/>
      <c r="T644" s="86"/>
      <c r="U644" s="86"/>
    </row>
    <row r="645">
      <c r="O645" s="86"/>
      <c r="P645" s="86"/>
      <c r="Q645" s="86"/>
      <c r="R645" s="86"/>
      <c r="S645" s="86"/>
      <c r="T645" s="86"/>
      <c r="U645" s="86"/>
    </row>
    <row r="646">
      <c r="O646" s="86"/>
      <c r="P646" s="86"/>
      <c r="Q646" s="86"/>
      <c r="R646" s="86"/>
      <c r="S646" s="86"/>
      <c r="T646" s="86"/>
      <c r="U646" s="86"/>
    </row>
    <row r="647">
      <c r="O647" s="86"/>
      <c r="P647" s="86"/>
      <c r="Q647" s="86"/>
      <c r="R647" s="86"/>
      <c r="S647" s="86"/>
      <c r="T647" s="86"/>
      <c r="U647" s="86"/>
    </row>
    <row r="648">
      <c r="O648" s="86"/>
      <c r="P648" s="86"/>
      <c r="Q648" s="86"/>
      <c r="R648" s="86"/>
      <c r="S648" s="86"/>
      <c r="T648" s="86"/>
      <c r="U648" s="86"/>
    </row>
    <row r="649">
      <c r="O649" s="86"/>
      <c r="P649" s="86"/>
      <c r="Q649" s="86"/>
      <c r="R649" s="86"/>
      <c r="S649" s="86"/>
      <c r="T649" s="86"/>
      <c r="U649" s="86"/>
    </row>
    <row r="650">
      <c r="O650" s="86"/>
      <c r="P650" s="86"/>
      <c r="Q650" s="86"/>
      <c r="R650" s="86"/>
      <c r="S650" s="86"/>
      <c r="T650" s="86"/>
      <c r="U650" s="86"/>
    </row>
    <row r="651">
      <c r="O651" s="86"/>
      <c r="P651" s="86"/>
      <c r="Q651" s="86"/>
      <c r="R651" s="86"/>
      <c r="S651" s="86"/>
      <c r="T651" s="86"/>
      <c r="U651" s="86"/>
    </row>
    <row r="652">
      <c r="O652" s="86"/>
      <c r="P652" s="86"/>
      <c r="Q652" s="86"/>
      <c r="R652" s="86"/>
      <c r="S652" s="86"/>
      <c r="T652" s="86"/>
      <c r="U652" s="86"/>
    </row>
    <row r="653">
      <c r="O653" s="86"/>
      <c r="P653" s="86"/>
      <c r="Q653" s="86"/>
      <c r="R653" s="86"/>
      <c r="S653" s="86"/>
      <c r="T653" s="86"/>
      <c r="U653" s="86"/>
    </row>
    <row r="654">
      <c r="O654" s="86"/>
      <c r="P654" s="86"/>
      <c r="Q654" s="86"/>
      <c r="R654" s="86"/>
      <c r="S654" s="86"/>
      <c r="T654" s="86"/>
      <c r="U654" s="86"/>
    </row>
    <row r="655">
      <c r="O655" s="86"/>
      <c r="P655" s="86"/>
      <c r="Q655" s="86"/>
      <c r="R655" s="86"/>
      <c r="S655" s="86"/>
      <c r="T655" s="86"/>
      <c r="U655" s="86"/>
    </row>
    <row r="656">
      <c r="O656" s="86"/>
      <c r="P656" s="86"/>
      <c r="Q656" s="86"/>
      <c r="R656" s="86"/>
      <c r="S656" s="86"/>
      <c r="T656" s="86"/>
      <c r="U656" s="86"/>
    </row>
    <row r="657">
      <c r="O657" s="86"/>
      <c r="P657" s="86"/>
      <c r="Q657" s="86"/>
      <c r="R657" s="86"/>
      <c r="S657" s="86"/>
      <c r="T657" s="86"/>
      <c r="U657" s="86"/>
    </row>
    <row r="658">
      <c r="O658" s="86"/>
      <c r="P658" s="86"/>
      <c r="Q658" s="86"/>
      <c r="R658" s="86"/>
      <c r="S658" s="86"/>
      <c r="T658" s="86"/>
      <c r="U658" s="86"/>
    </row>
    <row r="659">
      <c r="O659" s="86"/>
      <c r="P659" s="86"/>
      <c r="Q659" s="86"/>
      <c r="R659" s="86"/>
      <c r="S659" s="86"/>
      <c r="T659" s="86"/>
      <c r="U659" s="86"/>
    </row>
    <row r="660">
      <c r="O660" s="86"/>
      <c r="P660" s="86"/>
      <c r="Q660" s="86"/>
      <c r="R660" s="86"/>
      <c r="S660" s="86"/>
      <c r="T660" s="86"/>
      <c r="U660" s="86"/>
    </row>
    <row r="661">
      <c r="O661" s="86"/>
      <c r="P661" s="86"/>
      <c r="Q661" s="86"/>
      <c r="R661" s="86"/>
      <c r="S661" s="86"/>
      <c r="T661" s="86"/>
      <c r="U661" s="86"/>
    </row>
    <row r="662">
      <c r="O662" s="86"/>
      <c r="P662" s="86"/>
      <c r="Q662" s="86"/>
      <c r="R662" s="86"/>
      <c r="S662" s="86"/>
      <c r="T662" s="86"/>
      <c r="U662" s="86"/>
    </row>
    <row r="663">
      <c r="O663" s="86"/>
      <c r="P663" s="86"/>
      <c r="Q663" s="86"/>
      <c r="R663" s="86"/>
      <c r="S663" s="86"/>
      <c r="T663" s="86"/>
      <c r="U663" s="86"/>
    </row>
    <row r="664">
      <c r="O664" s="86"/>
      <c r="P664" s="86"/>
      <c r="Q664" s="86"/>
      <c r="R664" s="86"/>
      <c r="S664" s="86"/>
      <c r="T664" s="86"/>
      <c r="U664" s="86"/>
    </row>
    <row r="665">
      <c r="O665" s="86"/>
      <c r="P665" s="86"/>
      <c r="Q665" s="86"/>
      <c r="R665" s="86"/>
      <c r="S665" s="86"/>
      <c r="T665" s="86"/>
      <c r="U665" s="86"/>
    </row>
    <row r="666">
      <c r="O666" s="86"/>
      <c r="P666" s="86"/>
      <c r="Q666" s="86"/>
      <c r="R666" s="86"/>
      <c r="S666" s="86"/>
      <c r="T666" s="86"/>
      <c r="U666" s="86"/>
    </row>
    <row r="667">
      <c r="O667" s="86"/>
      <c r="P667" s="86"/>
      <c r="Q667" s="86"/>
      <c r="R667" s="86"/>
      <c r="S667" s="86"/>
      <c r="T667" s="86"/>
      <c r="U667" s="86"/>
    </row>
    <row r="668">
      <c r="O668" s="86"/>
      <c r="P668" s="86"/>
      <c r="Q668" s="86"/>
      <c r="R668" s="86"/>
      <c r="S668" s="86"/>
      <c r="T668" s="86"/>
      <c r="U668" s="86"/>
    </row>
    <row r="669">
      <c r="O669" s="86"/>
      <c r="P669" s="86"/>
      <c r="Q669" s="86"/>
      <c r="R669" s="86"/>
      <c r="S669" s="86"/>
      <c r="T669" s="86"/>
      <c r="U669" s="86"/>
    </row>
    <row r="670">
      <c r="O670" s="86"/>
      <c r="P670" s="86"/>
      <c r="Q670" s="86"/>
      <c r="R670" s="86"/>
      <c r="S670" s="86"/>
      <c r="T670" s="86"/>
      <c r="U670" s="86"/>
    </row>
    <row r="671">
      <c r="O671" s="86"/>
      <c r="P671" s="86"/>
      <c r="Q671" s="86"/>
      <c r="R671" s="86"/>
      <c r="S671" s="86"/>
      <c r="T671" s="86"/>
      <c r="U671" s="86"/>
    </row>
    <row r="672">
      <c r="O672" s="86"/>
      <c r="P672" s="86"/>
      <c r="Q672" s="86"/>
      <c r="R672" s="86"/>
      <c r="S672" s="86"/>
      <c r="T672" s="86"/>
      <c r="U672" s="86"/>
    </row>
    <row r="673">
      <c r="O673" s="86"/>
      <c r="P673" s="86"/>
      <c r="Q673" s="86"/>
      <c r="R673" s="86"/>
      <c r="S673" s="86"/>
      <c r="T673" s="86"/>
      <c r="U673" s="86"/>
    </row>
    <row r="674">
      <c r="O674" s="86"/>
      <c r="P674" s="86"/>
      <c r="Q674" s="86"/>
      <c r="R674" s="86"/>
      <c r="S674" s="86"/>
      <c r="T674" s="86"/>
      <c r="U674" s="86"/>
    </row>
    <row r="675">
      <c r="O675" s="86"/>
      <c r="P675" s="86"/>
      <c r="Q675" s="86"/>
      <c r="R675" s="86"/>
      <c r="S675" s="86"/>
      <c r="T675" s="86"/>
      <c r="U675" s="86"/>
    </row>
    <row r="676">
      <c r="O676" s="86"/>
      <c r="P676" s="86"/>
      <c r="Q676" s="86"/>
      <c r="R676" s="86"/>
      <c r="S676" s="86"/>
      <c r="T676" s="86"/>
      <c r="U676" s="86"/>
    </row>
    <row r="677">
      <c r="O677" s="86"/>
      <c r="P677" s="86"/>
      <c r="Q677" s="86"/>
      <c r="R677" s="86"/>
      <c r="S677" s="86"/>
      <c r="T677" s="86"/>
      <c r="U677" s="86"/>
    </row>
    <row r="678">
      <c r="O678" s="86"/>
      <c r="P678" s="86"/>
      <c r="Q678" s="86"/>
      <c r="R678" s="86"/>
      <c r="S678" s="86"/>
      <c r="T678" s="86"/>
      <c r="U678" s="86"/>
    </row>
    <row r="679">
      <c r="O679" s="86"/>
      <c r="P679" s="86"/>
      <c r="Q679" s="86"/>
      <c r="R679" s="86"/>
      <c r="S679" s="86"/>
      <c r="T679" s="86"/>
      <c r="U679" s="86"/>
    </row>
    <row r="680">
      <c r="O680" s="86"/>
      <c r="P680" s="86"/>
      <c r="Q680" s="86"/>
      <c r="R680" s="86"/>
      <c r="S680" s="86"/>
      <c r="T680" s="86"/>
      <c r="U680" s="86"/>
    </row>
    <row r="681">
      <c r="O681" s="86"/>
      <c r="P681" s="86"/>
      <c r="Q681" s="86"/>
      <c r="R681" s="86"/>
      <c r="S681" s="86"/>
      <c r="T681" s="86"/>
      <c r="U681" s="86"/>
    </row>
    <row r="682">
      <c r="O682" s="86"/>
      <c r="P682" s="86"/>
      <c r="Q682" s="86"/>
      <c r="R682" s="86"/>
      <c r="S682" s="86"/>
      <c r="T682" s="86"/>
      <c r="U682" s="86"/>
    </row>
    <row r="683">
      <c r="O683" s="86"/>
      <c r="P683" s="86"/>
      <c r="Q683" s="86"/>
      <c r="R683" s="86"/>
      <c r="S683" s="86"/>
      <c r="T683" s="86"/>
      <c r="U683" s="86"/>
    </row>
    <row r="684">
      <c r="O684" s="86"/>
      <c r="P684" s="86"/>
      <c r="Q684" s="86"/>
      <c r="R684" s="86"/>
      <c r="S684" s="86"/>
      <c r="T684" s="86"/>
      <c r="U684" s="86"/>
    </row>
    <row r="685">
      <c r="O685" s="86"/>
      <c r="P685" s="86"/>
      <c r="Q685" s="86"/>
      <c r="R685" s="86"/>
      <c r="S685" s="86"/>
      <c r="T685" s="86"/>
      <c r="U685" s="86"/>
    </row>
    <row r="686">
      <c r="O686" s="86"/>
      <c r="P686" s="86"/>
      <c r="Q686" s="86"/>
      <c r="R686" s="86"/>
      <c r="S686" s="86"/>
      <c r="T686" s="86"/>
      <c r="U686" s="86"/>
    </row>
    <row r="687">
      <c r="O687" s="86"/>
      <c r="P687" s="86"/>
      <c r="Q687" s="86"/>
      <c r="R687" s="86"/>
      <c r="S687" s="86"/>
      <c r="T687" s="86"/>
      <c r="U687" s="86"/>
    </row>
    <row r="688">
      <c r="O688" s="86"/>
      <c r="P688" s="86"/>
      <c r="Q688" s="86"/>
      <c r="R688" s="86"/>
      <c r="S688" s="86"/>
      <c r="T688" s="86"/>
      <c r="U688" s="86"/>
    </row>
    <row r="689">
      <c r="O689" s="86"/>
      <c r="P689" s="86"/>
      <c r="Q689" s="86"/>
      <c r="R689" s="86"/>
      <c r="S689" s="86"/>
      <c r="T689" s="86"/>
      <c r="U689" s="86"/>
    </row>
    <row r="690">
      <c r="O690" s="86"/>
      <c r="P690" s="86"/>
      <c r="Q690" s="86"/>
      <c r="R690" s="86"/>
      <c r="S690" s="86"/>
      <c r="T690" s="86"/>
      <c r="U690" s="86"/>
    </row>
    <row r="691">
      <c r="O691" s="86"/>
      <c r="P691" s="86"/>
      <c r="Q691" s="86"/>
      <c r="R691" s="86"/>
      <c r="S691" s="86"/>
      <c r="T691" s="86"/>
      <c r="U691" s="86"/>
    </row>
    <row r="692">
      <c r="O692" s="86"/>
      <c r="P692" s="86"/>
      <c r="Q692" s="86"/>
      <c r="R692" s="86"/>
      <c r="S692" s="86"/>
      <c r="T692" s="86"/>
      <c r="U692" s="86"/>
    </row>
    <row r="693">
      <c r="O693" s="86"/>
      <c r="P693" s="86"/>
      <c r="Q693" s="86"/>
      <c r="R693" s="86"/>
      <c r="S693" s="86"/>
      <c r="T693" s="86"/>
      <c r="U693" s="86"/>
    </row>
    <row r="694">
      <c r="O694" s="86"/>
      <c r="P694" s="86"/>
      <c r="Q694" s="86"/>
      <c r="R694" s="86"/>
      <c r="S694" s="86"/>
      <c r="T694" s="86"/>
      <c r="U694" s="86"/>
    </row>
    <row r="695">
      <c r="O695" s="86"/>
      <c r="P695" s="86"/>
      <c r="Q695" s="86"/>
      <c r="R695" s="86"/>
      <c r="S695" s="86"/>
      <c r="T695" s="86"/>
      <c r="U695" s="86"/>
    </row>
    <row r="696">
      <c r="O696" s="86"/>
      <c r="P696" s="86"/>
      <c r="Q696" s="86"/>
      <c r="R696" s="86"/>
      <c r="S696" s="86"/>
      <c r="T696" s="86"/>
      <c r="U696" s="86"/>
    </row>
    <row r="697">
      <c r="O697" s="86"/>
      <c r="P697" s="86"/>
      <c r="Q697" s="86"/>
      <c r="R697" s="86"/>
      <c r="S697" s="86"/>
      <c r="T697" s="86"/>
      <c r="U697" s="86"/>
    </row>
    <row r="698">
      <c r="O698" s="86"/>
      <c r="P698" s="86"/>
      <c r="Q698" s="86"/>
      <c r="R698" s="86"/>
      <c r="S698" s="86"/>
      <c r="T698" s="86"/>
      <c r="U698" s="86"/>
    </row>
    <row r="699">
      <c r="O699" s="86"/>
      <c r="P699" s="86"/>
      <c r="Q699" s="86"/>
      <c r="R699" s="86"/>
      <c r="S699" s="86"/>
      <c r="T699" s="86"/>
      <c r="U699" s="86"/>
    </row>
    <row r="700">
      <c r="O700" s="86"/>
      <c r="P700" s="86"/>
      <c r="Q700" s="86"/>
      <c r="R700" s="86"/>
      <c r="S700" s="86"/>
      <c r="T700" s="86"/>
      <c r="U700" s="86"/>
    </row>
    <row r="701">
      <c r="O701" s="86"/>
      <c r="P701" s="86"/>
      <c r="Q701" s="86"/>
      <c r="R701" s="86"/>
      <c r="S701" s="86"/>
      <c r="T701" s="86"/>
      <c r="U701" s="86"/>
    </row>
    <row r="702">
      <c r="O702" s="86"/>
      <c r="P702" s="86"/>
      <c r="Q702" s="86"/>
      <c r="R702" s="86"/>
      <c r="S702" s="86"/>
      <c r="T702" s="86"/>
      <c r="U702" s="86"/>
    </row>
    <row r="703">
      <c r="O703" s="86"/>
      <c r="P703" s="86"/>
      <c r="Q703" s="86"/>
      <c r="R703" s="86"/>
      <c r="S703" s="86"/>
      <c r="T703" s="86"/>
      <c r="U703" s="86"/>
    </row>
    <row r="704">
      <c r="O704" s="86"/>
      <c r="P704" s="86"/>
      <c r="Q704" s="86"/>
      <c r="R704" s="86"/>
      <c r="S704" s="86"/>
      <c r="T704" s="86"/>
      <c r="U704" s="86"/>
    </row>
    <row r="705">
      <c r="O705" s="86"/>
      <c r="P705" s="86"/>
      <c r="Q705" s="86"/>
      <c r="R705" s="86"/>
      <c r="S705" s="86"/>
      <c r="T705" s="86"/>
      <c r="U705" s="86"/>
    </row>
    <row r="706">
      <c r="O706" s="86"/>
      <c r="P706" s="86"/>
      <c r="Q706" s="86"/>
      <c r="R706" s="86"/>
      <c r="S706" s="86"/>
      <c r="T706" s="86"/>
      <c r="U706" s="86"/>
    </row>
    <row r="707">
      <c r="O707" s="86"/>
      <c r="P707" s="86"/>
      <c r="Q707" s="86"/>
      <c r="R707" s="86"/>
      <c r="S707" s="86"/>
      <c r="T707" s="86"/>
      <c r="U707" s="86"/>
    </row>
    <row r="708">
      <c r="O708" s="86"/>
      <c r="P708" s="86"/>
      <c r="Q708" s="86"/>
      <c r="R708" s="86"/>
      <c r="S708" s="86"/>
      <c r="T708" s="86"/>
      <c r="U708" s="86"/>
    </row>
    <row r="709">
      <c r="O709" s="86"/>
      <c r="P709" s="86"/>
      <c r="Q709" s="86"/>
      <c r="R709" s="86"/>
      <c r="S709" s="86"/>
      <c r="T709" s="86"/>
      <c r="U709" s="86"/>
    </row>
    <row r="710">
      <c r="O710" s="86"/>
      <c r="P710" s="86"/>
      <c r="Q710" s="86"/>
      <c r="R710" s="86"/>
      <c r="S710" s="86"/>
      <c r="T710" s="86"/>
      <c r="U710" s="86"/>
    </row>
    <row r="711">
      <c r="O711" s="86"/>
      <c r="P711" s="86"/>
      <c r="Q711" s="86"/>
      <c r="R711" s="86"/>
      <c r="S711" s="86"/>
      <c r="T711" s="86"/>
      <c r="U711" s="86"/>
    </row>
    <row r="712">
      <c r="O712" s="86"/>
      <c r="P712" s="86"/>
      <c r="Q712" s="86"/>
      <c r="R712" s="86"/>
      <c r="S712" s="86"/>
      <c r="T712" s="86"/>
      <c r="U712" s="86"/>
    </row>
    <row r="713">
      <c r="O713" s="86"/>
      <c r="P713" s="86"/>
      <c r="Q713" s="86"/>
      <c r="R713" s="86"/>
      <c r="S713" s="86"/>
      <c r="T713" s="86"/>
      <c r="U713" s="86"/>
    </row>
    <row r="714">
      <c r="O714" s="86"/>
      <c r="P714" s="86"/>
      <c r="Q714" s="86"/>
      <c r="R714" s="86"/>
      <c r="S714" s="86"/>
      <c r="T714" s="86"/>
      <c r="U714" s="86"/>
    </row>
    <row r="715">
      <c r="O715" s="86"/>
      <c r="P715" s="86"/>
      <c r="Q715" s="86"/>
      <c r="R715" s="86"/>
      <c r="S715" s="86"/>
      <c r="T715" s="86"/>
      <c r="U715" s="86"/>
    </row>
    <row r="716">
      <c r="O716" s="86"/>
      <c r="P716" s="86"/>
      <c r="Q716" s="86"/>
      <c r="R716" s="86"/>
      <c r="S716" s="86"/>
      <c r="T716" s="86"/>
      <c r="U716" s="86"/>
    </row>
    <row r="717">
      <c r="O717" s="86"/>
      <c r="P717" s="86"/>
      <c r="Q717" s="86"/>
      <c r="R717" s="86"/>
      <c r="S717" s="86"/>
      <c r="T717" s="86"/>
      <c r="U717" s="86"/>
    </row>
    <row r="718">
      <c r="O718" s="86"/>
      <c r="P718" s="86"/>
      <c r="Q718" s="86"/>
      <c r="R718" s="86"/>
      <c r="S718" s="86"/>
      <c r="T718" s="86"/>
      <c r="U718" s="86"/>
    </row>
    <row r="719">
      <c r="O719" s="86"/>
      <c r="P719" s="86"/>
      <c r="Q719" s="86"/>
      <c r="R719" s="86"/>
      <c r="S719" s="86"/>
      <c r="T719" s="86"/>
      <c r="U719" s="86"/>
    </row>
    <row r="720">
      <c r="O720" s="86"/>
      <c r="P720" s="86"/>
      <c r="Q720" s="86"/>
      <c r="R720" s="86"/>
      <c r="S720" s="86"/>
      <c r="T720" s="86"/>
      <c r="U720" s="86"/>
    </row>
    <row r="721">
      <c r="O721" s="86"/>
      <c r="P721" s="86"/>
      <c r="Q721" s="86"/>
      <c r="R721" s="86"/>
      <c r="S721" s="86"/>
      <c r="T721" s="86"/>
      <c r="U721" s="86"/>
    </row>
    <row r="722">
      <c r="O722" s="86"/>
      <c r="P722" s="86"/>
      <c r="Q722" s="86"/>
      <c r="R722" s="86"/>
      <c r="S722" s="86"/>
      <c r="T722" s="86"/>
      <c r="U722" s="86"/>
    </row>
    <row r="723">
      <c r="O723" s="86"/>
      <c r="P723" s="86"/>
      <c r="Q723" s="86"/>
      <c r="R723" s="86"/>
      <c r="S723" s="86"/>
      <c r="T723" s="86"/>
      <c r="U723" s="86"/>
    </row>
    <row r="724">
      <c r="O724" s="86"/>
      <c r="P724" s="86"/>
      <c r="Q724" s="86"/>
      <c r="R724" s="86"/>
      <c r="S724" s="86"/>
      <c r="T724" s="86"/>
      <c r="U724" s="86"/>
    </row>
    <row r="725">
      <c r="O725" s="86"/>
      <c r="P725" s="86"/>
      <c r="Q725" s="86"/>
      <c r="R725" s="86"/>
      <c r="S725" s="86"/>
      <c r="T725" s="86"/>
      <c r="U725" s="86"/>
    </row>
    <row r="726">
      <c r="O726" s="86"/>
      <c r="P726" s="86"/>
      <c r="Q726" s="86"/>
      <c r="R726" s="86"/>
      <c r="S726" s="86"/>
      <c r="T726" s="86"/>
      <c r="U726" s="86"/>
    </row>
    <row r="727">
      <c r="O727" s="86"/>
      <c r="P727" s="86"/>
      <c r="Q727" s="86"/>
      <c r="R727" s="86"/>
      <c r="S727" s="86"/>
      <c r="T727" s="86"/>
      <c r="U727" s="86"/>
    </row>
    <row r="728">
      <c r="O728" s="86"/>
      <c r="P728" s="86"/>
      <c r="Q728" s="86"/>
      <c r="R728" s="86"/>
      <c r="S728" s="86"/>
      <c r="T728" s="86"/>
      <c r="U728" s="86"/>
    </row>
    <row r="729">
      <c r="O729" s="86"/>
      <c r="P729" s="86"/>
      <c r="Q729" s="86"/>
      <c r="R729" s="86"/>
      <c r="S729" s="86"/>
      <c r="T729" s="86"/>
      <c r="U729" s="86"/>
    </row>
    <row r="730">
      <c r="O730" s="86"/>
      <c r="P730" s="86"/>
      <c r="Q730" s="86"/>
      <c r="R730" s="86"/>
      <c r="S730" s="86"/>
      <c r="T730" s="86"/>
      <c r="U730" s="86"/>
    </row>
    <row r="731">
      <c r="O731" s="86"/>
      <c r="P731" s="86"/>
      <c r="Q731" s="86"/>
      <c r="R731" s="86"/>
      <c r="S731" s="86"/>
      <c r="T731" s="86"/>
      <c r="U731" s="86"/>
    </row>
    <row r="732">
      <c r="O732" s="86"/>
      <c r="P732" s="86"/>
      <c r="Q732" s="86"/>
      <c r="R732" s="86"/>
      <c r="S732" s="86"/>
      <c r="T732" s="86"/>
      <c r="U732" s="86"/>
    </row>
    <row r="733">
      <c r="O733" s="86"/>
      <c r="P733" s="86"/>
      <c r="Q733" s="86"/>
      <c r="R733" s="86"/>
      <c r="S733" s="86"/>
      <c r="T733" s="86"/>
      <c r="U733" s="86"/>
    </row>
    <row r="734">
      <c r="O734" s="86"/>
      <c r="P734" s="86"/>
      <c r="Q734" s="86"/>
      <c r="R734" s="86"/>
      <c r="S734" s="86"/>
      <c r="T734" s="86"/>
      <c r="U734" s="86"/>
    </row>
    <row r="735">
      <c r="O735" s="86"/>
      <c r="P735" s="86"/>
      <c r="Q735" s="86"/>
      <c r="R735" s="86"/>
      <c r="S735" s="86"/>
      <c r="T735" s="86"/>
      <c r="U735" s="86"/>
    </row>
    <row r="736">
      <c r="O736" s="86"/>
      <c r="P736" s="86"/>
      <c r="Q736" s="86"/>
      <c r="R736" s="86"/>
      <c r="S736" s="86"/>
      <c r="T736" s="86"/>
      <c r="U736" s="86"/>
    </row>
    <row r="737">
      <c r="O737" s="86"/>
      <c r="P737" s="86"/>
      <c r="Q737" s="86"/>
      <c r="R737" s="86"/>
      <c r="S737" s="86"/>
      <c r="T737" s="86"/>
      <c r="U737" s="86"/>
    </row>
    <row r="738">
      <c r="O738" s="86"/>
      <c r="P738" s="86"/>
      <c r="Q738" s="86"/>
      <c r="R738" s="86"/>
      <c r="S738" s="86"/>
      <c r="T738" s="86"/>
      <c r="U738" s="86"/>
    </row>
    <row r="739">
      <c r="O739" s="86"/>
      <c r="P739" s="86"/>
      <c r="Q739" s="86"/>
      <c r="R739" s="86"/>
      <c r="S739" s="86"/>
      <c r="T739" s="86"/>
      <c r="U739" s="86"/>
    </row>
    <row r="740">
      <c r="O740" s="86"/>
      <c r="P740" s="86"/>
      <c r="Q740" s="86"/>
      <c r="R740" s="86"/>
      <c r="S740" s="86"/>
      <c r="T740" s="86"/>
      <c r="U740" s="86"/>
    </row>
    <row r="741">
      <c r="O741" s="86"/>
      <c r="P741" s="86"/>
      <c r="Q741" s="86"/>
      <c r="R741" s="86"/>
      <c r="S741" s="86"/>
      <c r="T741" s="86"/>
      <c r="U741" s="86"/>
    </row>
    <row r="742">
      <c r="O742" s="86"/>
      <c r="P742" s="86"/>
      <c r="Q742" s="86"/>
      <c r="R742" s="86"/>
      <c r="S742" s="86"/>
      <c r="T742" s="86"/>
      <c r="U742" s="86"/>
    </row>
    <row r="743">
      <c r="O743" s="86"/>
      <c r="P743" s="86"/>
      <c r="Q743" s="86"/>
      <c r="R743" s="86"/>
      <c r="S743" s="86"/>
      <c r="T743" s="86"/>
      <c r="U743" s="86"/>
    </row>
    <row r="744">
      <c r="O744" s="86"/>
      <c r="P744" s="86"/>
      <c r="Q744" s="86"/>
      <c r="R744" s="86"/>
      <c r="S744" s="86"/>
      <c r="T744" s="86"/>
      <c r="U744" s="86"/>
    </row>
    <row r="745">
      <c r="O745" s="86"/>
      <c r="P745" s="86"/>
      <c r="Q745" s="86"/>
      <c r="R745" s="86"/>
      <c r="S745" s="86"/>
      <c r="T745" s="86"/>
      <c r="U745" s="86"/>
    </row>
    <row r="746">
      <c r="O746" s="86"/>
      <c r="P746" s="86"/>
      <c r="Q746" s="86"/>
      <c r="R746" s="86"/>
      <c r="S746" s="86"/>
      <c r="T746" s="86"/>
      <c r="U746" s="86"/>
    </row>
    <row r="747">
      <c r="O747" s="86"/>
      <c r="P747" s="86"/>
      <c r="Q747" s="86"/>
      <c r="R747" s="86"/>
      <c r="S747" s="86"/>
      <c r="T747" s="86"/>
      <c r="U747" s="86"/>
    </row>
    <row r="748">
      <c r="O748" s="86"/>
      <c r="P748" s="86"/>
      <c r="Q748" s="86"/>
      <c r="R748" s="86"/>
      <c r="S748" s="86"/>
      <c r="T748" s="86"/>
      <c r="U748" s="86"/>
    </row>
    <row r="749">
      <c r="O749" s="86"/>
      <c r="P749" s="86"/>
      <c r="Q749" s="86"/>
      <c r="R749" s="86"/>
      <c r="S749" s="86"/>
      <c r="T749" s="86"/>
      <c r="U749" s="86"/>
    </row>
    <row r="750">
      <c r="O750" s="86"/>
      <c r="P750" s="86"/>
      <c r="Q750" s="86"/>
      <c r="R750" s="86"/>
      <c r="S750" s="86"/>
      <c r="T750" s="86"/>
      <c r="U750" s="86"/>
    </row>
    <row r="751">
      <c r="O751" s="86"/>
      <c r="P751" s="86"/>
      <c r="Q751" s="86"/>
      <c r="R751" s="86"/>
      <c r="S751" s="86"/>
      <c r="T751" s="86"/>
      <c r="U751" s="86"/>
    </row>
    <row r="752">
      <c r="O752" s="86"/>
      <c r="P752" s="86"/>
      <c r="Q752" s="86"/>
      <c r="R752" s="86"/>
      <c r="S752" s="86"/>
      <c r="T752" s="86"/>
      <c r="U752" s="86"/>
    </row>
    <row r="753">
      <c r="O753" s="86"/>
      <c r="P753" s="86"/>
      <c r="Q753" s="86"/>
      <c r="R753" s="86"/>
      <c r="S753" s="86"/>
      <c r="T753" s="86"/>
      <c r="U753" s="86"/>
    </row>
    <row r="754">
      <c r="O754" s="86"/>
      <c r="P754" s="86"/>
      <c r="Q754" s="86"/>
      <c r="R754" s="86"/>
      <c r="S754" s="86"/>
      <c r="T754" s="86"/>
      <c r="U754" s="86"/>
    </row>
    <row r="755">
      <c r="O755" s="86"/>
      <c r="P755" s="86"/>
      <c r="Q755" s="86"/>
      <c r="R755" s="86"/>
      <c r="S755" s="86"/>
      <c r="T755" s="86"/>
      <c r="U755" s="86"/>
    </row>
    <row r="756">
      <c r="O756" s="86"/>
      <c r="P756" s="86"/>
      <c r="Q756" s="86"/>
      <c r="R756" s="86"/>
      <c r="S756" s="86"/>
      <c r="T756" s="86"/>
      <c r="U756" s="86"/>
    </row>
    <row r="757">
      <c r="O757" s="86"/>
      <c r="P757" s="86"/>
      <c r="Q757" s="86"/>
      <c r="R757" s="86"/>
      <c r="S757" s="86"/>
      <c r="T757" s="86"/>
      <c r="U757" s="86"/>
    </row>
    <row r="758">
      <c r="O758" s="86"/>
      <c r="P758" s="86"/>
      <c r="Q758" s="86"/>
      <c r="R758" s="86"/>
      <c r="S758" s="86"/>
      <c r="T758" s="86"/>
      <c r="U758" s="86"/>
    </row>
    <row r="759">
      <c r="O759" s="86"/>
      <c r="P759" s="86"/>
      <c r="Q759" s="86"/>
      <c r="R759" s="86"/>
      <c r="S759" s="86"/>
      <c r="T759" s="86"/>
      <c r="U759" s="86"/>
    </row>
    <row r="760">
      <c r="O760" s="86"/>
      <c r="P760" s="86"/>
      <c r="Q760" s="86"/>
      <c r="R760" s="86"/>
      <c r="S760" s="86"/>
      <c r="T760" s="86"/>
      <c r="U760" s="86"/>
    </row>
    <row r="761">
      <c r="O761" s="86"/>
      <c r="P761" s="86"/>
      <c r="Q761" s="86"/>
      <c r="R761" s="86"/>
      <c r="S761" s="86"/>
      <c r="T761" s="86"/>
      <c r="U761" s="86"/>
    </row>
    <row r="762">
      <c r="O762" s="86"/>
      <c r="P762" s="86"/>
      <c r="Q762" s="86"/>
      <c r="R762" s="86"/>
      <c r="S762" s="86"/>
      <c r="T762" s="86"/>
      <c r="U762" s="86"/>
    </row>
    <row r="763">
      <c r="O763" s="86"/>
      <c r="P763" s="86"/>
      <c r="Q763" s="86"/>
      <c r="R763" s="86"/>
      <c r="S763" s="86"/>
      <c r="T763" s="86"/>
      <c r="U763" s="86"/>
    </row>
    <row r="764">
      <c r="O764" s="86"/>
      <c r="P764" s="86"/>
      <c r="Q764" s="86"/>
      <c r="R764" s="86"/>
      <c r="S764" s="86"/>
      <c r="T764" s="86"/>
      <c r="U764" s="86"/>
    </row>
    <row r="765">
      <c r="O765" s="86"/>
      <c r="P765" s="86"/>
      <c r="Q765" s="86"/>
      <c r="R765" s="86"/>
      <c r="S765" s="86"/>
      <c r="T765" s="86"/>
      <c r="U765" s="86"/>
    </row>
    <row r="766">
      <c r="O766" s="86"/>
      <c r="P766" s="86"/>
      <c r="Q766" s="86"/>
      <c r="R766" s="86"/>
      <c r="S766" s="86"/>
      <c r="T766" s="86"/>
      <c r="U766" s="86"/>
    </row>
    <row r="767">
      <c r="O767" s="86"/>
      <c r="P767" s="86"/>
      <c r="Q767" s="86"/>
      <c r="R767" s="86"/>
      <c r="S767" s="86"/>
      <c r="T767" s="86"/>
      <c r="U767" s="86"/>
    </row>
    <row r="768">
      <c r="O768" s="86"/>
      <c r="P768" s="86"/>
      <c r="Q768" s="86"/>
      <c r="R768" s="86"/>
      <c r="S768" s="86"/>
      <c r="T768" s="86"/>
      <c r="U768" s="86"/>
    </row>
    <row r="769">
      <c r="O769" s="86"/>
      <c r="P769" s="86"/>
      <c r="Q769" s="86"/>
      <c r="R769" s="86"/>
      <c r="S769" s="86"/>
      <c r="T769" s="86"/>
      <c r="U769" s="86"/>
    </row>
    <row r="770">
      <c r="O770" s="86"/>
      <c r="P770" s="86"/>
      <c r="Q770" s="86"/>
      <c r="R770" s="86"/>
      <c r="S770" s="86"/>
      <c r="T770" s="86"/>
      <c r="U770" s="86"/>
    </row>
    <row r="771">
      <c r="O771" s="86"/>
      <c r="P771" s="86"/>
      <c r="Q771" s="86"/>
      <c r="R771" s="86"/>
      <c r="S771" s="86"/>
      <c r="T771" s="86"/>
      <c r="U771" s="86"/>
    </row>
    <row r="772">
      <c r="O772" s="86"/>
      <c r="P772" s="86"/>
      <c r="Q772" s="86"/>
      <c r="R772" s="86"/>
      <c r="S772" s="86"/>
      <c r="T772" s="86"/>
      <c r="U772" s="86"/>
    </row>
    <row r="773">
      <c r="O773" s="86"/>
      <c r="P773" s="86"/>
      <c r="Q773" s="86"/>
      <c r="R773" s="86"/>
      <c r="S773" s="86"/>
      <c r="T773" s="86"/>
      <c r="U773" s="86"/>
    </row>
    <row r="774">
      <c r="O774" s="86"/>
      <c r="P774" s="86"/>
      <c r="Q774" s="86"/>
      <c r="R774" s="86"/>
      <c r="S774" s="86"/>
      <c r="T774" s="86"/>
      <c r="U774" s="86"/>
    </row>
    <row r="775">
      <c r="O775" s="86"/>
      <c r="P775" s="86"/>
      <c r="Q775" s="86"/>
      <c r="R775" s="86"/>
      <c r="S775" s="86"/>
      <c r="T775" s="86"/>
      <c r="U775" s="86"/>
    </row>
    <row r="776">
      <c r="O776" s="86"/>
      <c r="P776" s="86"/>
      <c r="Q776" s="86"/>
      <c r="R776" s="86"/>
      <c r="S776" s="86"/>
      <c r="T776" s="86"/>
      <c r="U776" s="86"/>
    </row>
    <row r="777">
      <c r="O777" s="86"/>
      <c r="P777" s="86"/>
      <c r="Q777" s="86"/>
      <c r="R777" s="86"/>
      <c r="S777" s="86"/>
      <c r="T777" s="86"/>
      <c r="U777" s="86"/>
    </row>
    <row r="778">
      <c r="O778" s="86"/>
      <c r="P778" s="86"/>
      <c r="Q778" s="86"/>
      <c r="R778" s="86"/>
      <c r="S778" s="86"/>
      <c r="T778" s="86"/>
      <c r="U778" s="86"/>
    </row>
    <row r="779">
      <c r="O779" s="86"/>
      <c r="P779" s="86"/>
      <c r="Q779" s="86"/>
      <c r="R779" s="86"/>
      <c r="S779" s="86"/>
      <c r="T779" s="86"/>
      <c r="U779" s="86"/>
    </row>
    <row r="780">
      <c r="O780" s="86"/>
      <c r="P780" s="86"/>
      <c r="Q780" s="86"/>
      <c r="R780" s="86"/>
      <c r="S780" s="86"/>
      <c r="T780" s="86"/>
      <c r="U780" s="86"/>
    </row>
    <row r="781">
      <c r="O781" s="86"/>
      <c r="P781" s="86"/>
      <c r="Q781" s="86"/>
      <c r="R781" s="86"/>
      <c r="S781" s="86"/>
      <c r="T781" s="86"/>
      <c r="U781" s="86"/>
    </row>
    <row r="782">
      <c r="O782" s="86"/>
      <c r="P782" s="86"/>
      <c r="Q782" s="86"/>
      <c r="R782" s="86"/>
      <c r="S782" s="86"/>
      <c r="T782" s="86"/>
      <c r="U782" s="86"/>
    </row>
    <row r="783">
      <c r="O783" s="86"/>
      <c r="P783" s="86"/>
      <c r="Q783" s="86"/>
      <c r="R783" s="86"/>
      <c r="S783" s="86"/>
      <c r="T783" s="86"/>
      <c r="U783" s="86"/>
    </row>
    <row r="784">
      <c r="O784" s="86"/>
      <c r="P784" s="86"/>
      <c r="Q784" s="86"/>
      <c r="R784" s="86"/>
      <c r="S784" s="86"/>
      <c r="T784" s="86"/>
      <c r="U784" s="86"/>
    </row>
    <row r="785">
      <c r="O785" s="86"/>
      <c r="P785" s="86"/>
      <c r="Q785" s="86"/>
      <c r="R785" s="86"/>
      <c r="S785" s="86"/>
      <c r="T785" s="86"/>
      <c r="U785" s="86"/>
    </row>
    <row r="786">
      <c r="O786" s="86"/>
      <c r="P786" s="86"/>
      <c r="Q786" s="86"/>
      <c r="R786" s="86"/>
      <c r="S786" s="86"/>
      <c r="T786" s="86"/>
      <c r="U786" s="86"/>
    </row>
    <row r="787">
      <c r="O787" s="86"/>
      <c r="P787" s="86"/>
      <c r="Q787" s="86"/>
      <c r="R787" s="86"/>
      <c r="S787" s="86"/>
      <c r="T787" s="86"/>
      <c r="U787" s="86"/>
    </row>
    <row r="788">
      <c r="O788" s="86"/>
      <c r="P788" s="86"/>
      <c r="Q788" s="86"/>
      <c r="R788" s="86"/>
      <c r="S788" s="86"/>
      <c r="T788" s="86"/>
      <c r="U788" s="86"/>
    </row>
    <row r="789">
      <c r="O789" s="86"/>
      <c r="P789" s="86"/>
      <c r="Q789" s="86"/>
      <c r="R789" s="86"/>
      <c r="S789" s="86"/>
      <c r="T789" s="86"/>
      <c r="U789" s="86"/>
    </row>
    <row r="790">
      <c r="O790" s="86"/>
      <c r="P790" s="86"/>
      <c r="Q790" s="86"/>
      <c r="R790" s="86"/>
      <c r="S790" s="86"/>
      <c r="T790" s="86"/>
      <c r="U790" s="86"/>
    </row>
    <row r="791">
      <c r="O791" s="86"/>
      <c r="P791" s="86"/>
      <c r="Q791" s="86"/>
      <c r="R791" s="86"/>
      <c r="S791" s="86"/>
      <c r="T791" s="86"/>
      <c r="U791" s="86"/>
    </row>
    <row r="792">
      <c r="O792" s="86"/>
      <c r="P792" s="86"/>
      <c r="Q792" s="86"/>
      <c r="R792" s="86"/>
      <c r="S792" s="86"/>
      <c r="T792" s="86"/>
      <c r="U792" s="86"/>
    </row>
    <row r="793">
      <c r="O793" s="86"/>
      <c r="P793" s="86"/>
      <c r="Q793" s="86"/>
      <c r="R793" s="86"/>
      <c r="S793" s="86"/>
      <c r="T793" s="86"/>
      <c r="U793" s="86"/>
    </row>
    <row r="794">
      <c r="O794" s="86"/>
      <c r="P794" s="86"/>
      <c r="Q794" s="86"/>
      <c r="R794" s="86"/>
      <c r="S794" s="86"/>
      <c r="T794" s="86"/>
      <c r="U794" s="86"/>
    </row>
    <row r="795">
      <c r="O795" s="86"/>
      <c r="P795" s="86"/>
      <c r="Q795" s="86"/>
      <c r="R795" s="86"/>
      <c r="S795" s="86"/>
      <c r="T795" s="86"/>
      <c r="U795" s="86"/>
    </row>
    <row r="796">
      <c r="O796" s="86"/>
      <c r="P796" s="86"/>
      <c r="Q796" s="86"/>
      <c r="R796" s="86"/>
      <c r="S796" s="86"/>
      <c r="T796" s="86"/>
      <c r="U796" s="86"/>
    </row>
    <row r="797">
      <c r="O797" s="86"/>
      <c r="P797" s="86"/>
      <c r="Q797" s="86"/>
      <c r="R797" s="86"/>
      <c r="S797" s="86"/>
      <c r="T797" s="86"/>
      <c r="U797" s="86"/>
    </row>
    <row r="798">
      <c r="O798" s="86"/>
      <c r="P798" s="86"/>
      <c r="Q798" s="86"/>
      <c r="R798" s="86"/>
      <c r="S798" s="86"/>
      <c r="T798" s="86"/>
      <c r="U798" s="86"/>
    </row>
    <row r="799">
      <c r="O799" s="86"/>
      <c r="P799" s="86"/>
      <c r="Q799" s="86"/>
      <c r="R799" s="86"/>
      <c r="S799" s="86"/>
      <c r="T799" s="86"/>
      <c r="U799" s="86"/>
    </row>
    <row r="800">
      <c r="O800" s="86"/>
      <c r="P800" s="86"/>
      <c r="Q800" s="86"/>
      <c r="R800" s="86"/>
      <c r="S800" s="86"/>
      <c r="T800" s="86"/>
      <c r="U800" s="86"/>
    </row>
    <row r="801">
      <c r="O801" s="86"/>
      <c r="P801" s="86"/>
      <c r="Q801" s="86"/>
      <c r="R801" s="86"/>
      <c r="S801" s="86"/>
      <c r="T801" s="86"/>
      <c r="U801" s="86"/>
    </row>
    <row r="802">
      <c r="O802" s="86"/>
      <c r="P802" s="86"/>
      <c r="Q802" s="86"/>
      <c r="R802" s="86"/>
      <c r="S802" s="86"/>
      <c r="T802" s="86"/>
      <c r="U802" s="86"/>
    </row>
    <row r="803">
      <c r="O803" s="86"/>
      <c r="P803" s="86"/>
      <c r="Q803" s="86"/>
      <c r="R803" s="86"/>
      <c r="S803" s="86"/>
      <c r="T803" s="86"/>
      <c r="U803" s="86"/>
    </row>
    <row r="804">
      <c r="O804" s="86"/>
      <c r="P804" s="86"/>
      <c r="Q804" s="86"/>
      <c r="R804" s="86"/>
      <c r="S804" s="86"/>
      <c r="T804" s="86"/>
      <c r="U804" s="86"/>
    </row>
    <row r="805">
      <c r="O805" s="86"/>
      <c r="P805" s="86"/>
      <c r="Q805" s="86"/>
      <c r="R805" s="86"/>
      <c r="S805" s="86"/>
      <c r="T805" s="86"/>
      <c r="U805" s="86"/>
    </row>
    <row r="806">
      <c r="O806" s="86"/>
      <c r="P806" s="86"/>
      <c r="Q806" s="86"/>
      <c r="R806" s="86"/>
      <c r="S806" s="86"/>
      <c r="T806" s="86"/>
      <c r="U806" s="86"/>
    </row>
    <row r="807">
      <c r="O807" s="86"/>
      <c r="P807" s="86"/>
      <c r="Q807" s="86"/>
      <c r="R807" s="86"/>
      <c r="S807" s="86"/>
      <c r="T807" s="86"/>
      <c r="U807" s="86"/>
    </row>
    <row r="808">
      <c r="O808" s="86"/>
      <c r="P808" s="86"/>
      <c r="Q808" s="86"/>
      <c r="R808" s="86"/>
      <c r="S808" s="86"/>
      <c r="T808" s="86"/>
      <c r="U808" s="86"/>
    </row>
    <row r="809">
      <c r="O809" s="86"/>
      <c r="P809" s="86"/>
      <c r="Q809" s="86"/>
      <c r="R809" s="86"/>
      <c r="S809" s="86"/>
      <c r="T809" s="86"/>
      <c r="U809" s="86"/>
    </row>
    <row r="810">
      <c r="O810" s="86"/>
      <c r="P810" s="86"/>
      <c r="Q810" s="86"/>
      <c r="R810" s="86"/>
      <c r="S810" s="86"/>
      <c r="T810" s="86"/>
      <c r="U810" s="86"/>
    </row>
    <row r="811">
      <c r="O811" s="86"/>
      <c r="P811" s="86"/>
      <c r="Q811" s="86"/>
      <c r="R811" s="86"/>
      <c r="S811" s="86"/>
      <c r="T811" s="86"/>
      <c r="U811" s="86"/>
    </row>
    <row r="812">
      <c r="O812" s="86"/>
      <c r="P812" s="86"/>
      <c r="Q812" s="86"/>
      <c r="R812" s="86"/>
      <c r="S812" s="86"/>
      <c r="T812" s="86"/>
      <c r="U812" s="86"/>
    </row>
    <row r="813">
      <c r="O813" s="86"/>
      <c r="P813" s="86"/>
      <c r="Q813" s="86"/>
      <c r="R813" s="86"/>
      <c r="S813" s="86"/>
      <c r="T813" s="86"/>
      <c r="U813" s="86"/>
    </row>
    <row r="814">
      <c r="O814" s="86"/>
      <c r="P814" s="86"/>
      <c r="Q814" s="86"/>
      <c r="R814" s="86"/>
      <c r="S814" s="86"/>
      <c r="T814" s="86"/>
      <c r="U814" s="86"/>
    </row>
    <row r="815">
      <c r="O815" s="86"/>
      <c r="P815" s="86"/>
      <c r="Q815" s="86"/>
      <c r="R815" s="86"/>
      <c r="S815" s="86"/>
      <c r="T815" s="86"/>
      <c r="U815" s="86"/>
    </row>
    <row r="816">
      <c r="O816" s="86"/>
      <c r="P816" s="86"/>
      <c r="Q816" s="86"/>
      <c r="R816" s="86"/>
      <c r="S816" s="86"/>
      <c r="T816" s="86"/>
      <c r="U816" s="86"/>
    </row>
    <row r="817">
      <c r="O817" s="86"/>
      <c r="P817" s="86"/>
      <c r="Q817" s="86"/>
      <c r="R817" s="86"/>
      <c r="S817" s="86"/>
      <c r="T817" s="86"/>
      <c r="U817" s="86"/>
    </row>
    <row r="818">
      <c r="O818" s="86"/>
      <c r="P818" s="86"/>
      <c r="Q818" s="86"/>
      <c r="R818" s="86"/>
      <c r="S818" s="86"/>
      <c r="T818" s="86"/>
      <c r="U818" s="86"/>
    </row>
    <row r="819">
      <c r="O819" s="86"/>
      <c r="P819" s="86"/>
      <c r="Q819" s="86"/>
      <c r="R819" s="86"/>
      <c r="S819" s="86"/>
      <c r="T819" s="86"/>
      <c r="U819" s="86"/>
    </row>
    <row r="820">
      <c r="O820" s="86"/>
      <c r="P820" s="86"/>
      <c r="Q820" s="86"/>
      <c r="R820" s="86"/>
      <c r="S820" s="86"/>
      <c r="T820" s="86"/>
      <c r="U820" s="86"/>
    </row>
    <row r="821">
      <c r="O821" s="86"/>
      <c r="P821" s="86"/>
      <c r="Q821" s="86"/>
      <c r="R821" s="86"/>
      <c r="S821" s="86"/>
      <c r="T821" s="86"/>
      <c r="U821" s="86"/>
    </row>
    <row r="822">
      <c r="O822" s="86"/>
      <c r="P822" s="86"/>
      <c r="Q822" s="86"/>
      <c r="R822" s="86"/>
      <c r="S822" s="86"/>
      <c r="T822" s="86"/>
      <c r="U822" s="86"/>
    </row>
    <row r="823">
      <c r="O823" s="86"/>
      <c r="P823" s="86"/>
      <c r="Q823" s="86"/>
      <c r="R823" s="86"/>
      <c r="S823" s="86"/>
      <c r="T823" s="86"/>
      <c r="U823" s="86"/>
    </row>
    <row r="824">
      <c r="O824" s="86"/>
      <c r="P824" s="86"/>
      <c r="Q824" s="86"/>
      <c r="R824" s="86"/>
      <c r="S824" s="86"/>
      <c r="T824" s="86"/>
      <c r="U824" s="86"/>
    </row>
    <row r="825">
      <c r="O825" s="86"/>
      <c r="P825" s="86"/>
      <c r="Q825" s="86"/>
      <c r="R825" s="86"/>
      <c r="S825" s="86"/>
      <c r="T825" s="86"/>
      <c r="U825" s="86"/>
    </row>
    <row r="826">
      <c r="O826" s="86"/>
      <c r="P826" s="86"/>
      <c r="Q826" s="86"/>
      <c r="R826" s="86"/>
      <c r="S826" s="86"/>
      <c r="T826" s="86"/>
      <c r="U826" s="86"/>
    </row>
    <row r="827">
      <c r="O827" s="86"/>
      <c r="P827" s="86"/>
      <c r="Q827" s="86"/>
      <c r="R827" s="86"/>
      <c r="S827" s="86"/>
      <c r="T827" s="86"/>
      <c r="U827" s="86"/>
    </row>
    <row r="828">
      <c r="O828" s="86"/>
      <c r="P828" s="86"/>
      <c r="Q828" s="86"/>
      <c r="R828" s="86"/>
      <c r="S828" s="86"/>
      <c r="T828" s="86"/>
      <c r="U828" s="86"/>
    </row>
    <row r="829">
      <c r="O829" s="86"/>
      <c r="P829" s="86"/>
      <c r="Q829" s="86"/>
      <c r="R829" s="86"/>
      <c r="S829" s="86"/>
      <c r="T829" s="86"/>
      <c r="U829" s="86"/>
    </row>
    <row r="830">
      <c r="O830" s="86"/>
      <c r="P830" s="86"/>
      <c r="Q830" s="86"/>
      <c r="R830" s="86"/>
      <c r="S830" s="86"/>
      <c r="T830" s="86"/>
      <c r="U830" s="86"/>
    </row>
    <row r="831">
      <c r="O831" s="86"/>
      <c r="P831" s="86"/>
      <c r="Q831" s="86"/>
      <c r="R831" s="86"/>
      <c r="S831" s="86"/>
      <c r="T831" s="86"/>
      <c r="U831" s="86"/>
    </row>
    <row r="832">
      <c r="O832" s="86"/>
      <c r="P832" s="86"/>
      <c r="Q832" s="86"/>
      <c r="R832" s="86"/>
      <c r="S832" s="86"/>
      <c r="T832" s="86"/>
      <c r="U832" s="86"/>
    </row>
    <row r="833">
      <c r="O833" s="86"/>
      <c r="P833" s="86"/>
      <c r="Q833" s="86"/>
      <c r="R833" s="86"/>
      <c r="S833" s="86"/>
      <c r="T833" s="86"/>
      <c r="U833" s="86"/>
    </row>
    <row r="834">
      <c r="O834" s="86"/>
      <c r="P834" s="86"/>
      <c r="Q834" s="86"/>
      <c r="R834" s="86"/>
      <c r="S834" s="86"/>
      <c r="T834" s="86"/>
      <c r="U834" s="86"/>
    </row>
    <row r="835">
      <c r="O835" s="86"/>
      <c r="P835" s="86"/>
      <c r="Q835" s="86"/>
      <c r="R835" s="86"/>
      <c r="S835" s="86"/>
      <c r="T835" s="86"/>
      <c r="U835" s="86"/>
    </row>
    <row r="836">
      <c r="O836" s="86"/>
      <c r="P836" s="86"/>
      <c r="Q836" s="86"/>
      <c r="R836" s="86"/>
      <c r="S836" s="86"/>
      <c r="T836" s="86"/>
      <c r="U836" s="86"/>
    </row>
    <row r="837">
      <c r="O837" s="86"/>
      <c r="P837" s="86"/>
      <c r="Q837" s="86"/>
      <c r="R837" s="86"/>
      <c r="S837" s="86"/>
      <c r="T837" s="86"/>
      <c r="U837" s="86"/>
    </row>
    <row r="838">
      <c r="O838" s="86"/>
      <c r="P838" s="86"/>
      <c r="Q838" s="86"/>
      <c r="R838" s="86"/>
      <c r="S838" s="86"/>
      <c r="T838" s="86"/>
      <c r="U838" s="86"/>
    </row>
    <row r="839">
      <c r="O839" s="86"/>
      <c r="P839" s="86"/>
      <c r="Q839" s="86"/>
      <c r="R839" s="86"/>
      <c r="S839" s="86"/>
      <c r="T839" s="86"/>
      <c r="U839" s="86"/>
    </row>
    <row r="840">
      <c r="O840" s="86"/>
      <c r="P840" s="86"/>
      <c r="Q840" s="86"/>
      <c r="R840" s="86"/>
      <c r="S840" s="86"/>
      <c r="T840" s="86"/>
      <c r="U840" s="86"/>
    </row>
    <row r="841">
      <c r="O841" s="86"/>
      <c r="P841" s="86"/>
      <c r="Q841" s="86"/>
      <c r="R841" s="86"/>
      <c r="S841" s="86"/>
      <c r="T841" s="86"/>
      <c r="U841" s="86"/>
    </row>
    <row r="842">
      <c r="O842" s="86"/>
      <c r="P842" s="86"/>
      <c r="Q842" s="86"/>
      <c r="R842" s="86"/>
      <c r="S842" s="86"/>
      <c r="T842" s="86"/>
      <c r="U842" s="86"/>
    </row>
    <row r="843">
      <c r="O843" s="86"/>
      <c r="P843" s="86"/>
      <c r="Q843" s="86"/>
      <c r="R843" s="86"/>
      <c r="S843" s="86"/>
      <c r="T843" s="86"/>
      <c r="U843" s="86"/>
    </row>
    <row r="844">
      <c r="O844" s="86"/>
      <c r="P844" s="86"/>
      <c r="Q844" s="86"/>
      <c r="R844" s="86"/>
      <c r="S844" s="86"/>
      <c r="T844" s="86"/>
      <c r="U844" s="86"/>
    </row>
    <row r="845">
      <c r="O845" s="86"/>
      <c r="P845" s="86"/>
      <c r="Q845" s="86"/>
      <c r="R845" s="86"/>
      <c r="S845" s="86"/>
      <c r="T845" s="86"/>
      <c r="U845" s="86"/>
    </row>
    <row r="846">
      <c r="O846" s="86"/>
      <c r="P846" s="86"/>
      <c r="Q846" s="86"/>
      <c r="R846" s="86"/>
      <c r="S846" s="86"/>
      <c r="T846" s="86"/>
      <c r="U846" s="86"/>
    </row>
    <row r="847">
      <c r="O847" s="86"/>
      <c r="P847" s="86"/>
      <c r="Q847" s="86"/>
      <c r="R847" s="86"/>
      <c r="S847" s="86"/>
      <c r="T847" s="86"/>
      <c r="U847" s="86"/>
    </row>
    <row r="848">
      <c r="O848" s="86"/>
      <c r="P848" s="86"/>
      <c r="Q848" s="86"/>
      <c r="R848" s="86"/>
      <c r="S848" s="86"/>
      <c r="T848" s="86"/>
      <c r="U848" s="86"/>
    </row>
    <row r="849">
      <c r="O849" s="86"/>
      <c r="P849" s="86"/>
      <c r="Q849" s="86"/>
      <c r="R849" s="86"/>
      <c r="S849" s="86"/>
      <c r="T849" s="86"/>
      <c r="U849" s="86"/>
    </row>
    <row r="850">
      <c r="O850" s="86"/>
      <c r="P850" s="86"/>
      <c r="Q850" s="86"/>
      <c r="R850" s="86"/>
      <c r="S850" s="86"/>
      <c r="T850" s="86"/>
      <c r="U850" s="86"/>
    </row>
    <row r="851">
      <c r="O851" s="86"/>
      <c r="P851" s="86"/>
      <c r="Q851" s="86"/>
      <c r="R851" s="86"/>
      <c r="S851" s="86"/>
      <c r="T851" s="86"/>
      <c r="U851" s="86"/>
    </row>
    <row r="852">
      <c r="O852" s="86"/>
      <c r="P852" s="86"/>
      <c r="Q852" s="86"/>
      <c r="R852" s="86"/>
      <c r="S852" s="86"/>
      <c r="T852" s="86"/>
      <c r="U852" s="86"/>
    </row>
    <row r="853">
      <c r="O853" s="86"/>
      <c r="P853" s="86"/>
      <c r="Q853" s="86"/>
      <c r="R853" s="86"/>
      <c r="S853" s="86"/>
      <c r="T853" s="86"/>
      <c r="U853" s="86"/>
    </row>
    <row r="854">
      <c r="O854" s="86"/>
      <c r="P854" s="86"/>
      <c r="Q854" s="86"/>
      <c r="R854" s="86"/>
      <c r="S854" s="86"/>
      <c r="T854" s="86"/>
      <c r="U854" s="86"/>
    </row>
    <row r="855">
      <c r="O855" s="86"/>
      <c r="P855" s="86"/>
      <c r="Q855" s="86"/>
      <c r="R855" s="86"/>
      <c r="S855" s="86"/>
      <c r="T855" s="86"/>
      <c r="U855" s="86"/>
    </row>
    <row r="856">
      <c r="O856" s="86"/>
      <c r="P856" s="86"/>
      <c r="Q856" s="86"/>
      <c r="R856" s="86"/>
      <c r="S856" s="86"/>
      <c r="T856" s="86"/>
      <c r="U856" s="86"/>
    </row>
    <row r="857">
      <c r="O857" s="86"/>
      <c r="P857" s="86"/>
      <c r="Q857" s="86"/>
      <c r="R857" s="86"/>
      <c r="S857" s="86"/>
      <c r="T857" s="86"/>
      <c r="U857" s="86"/>
    </row>
    <row r="858">
      <c r="O858" s="86"/>
      <c r="P858" s="86"/>
      <c r="Q858" s="86"/>
      <c r="R858" s="86"/>
      <c r="S858" s="86"/>
      <c r="T858" s="86"/>
      <c r="U858" s="86"/>
    </row>
    <row r="859">
      <c r="O859" s="86"/>
      <c r="P859" s="86"/>
      <c r="Q859" s="86"/>
      <c r="R859" s="86"/>
      <c r="S859" s="86"/>
      <c r="T859" s="86"/>
      <c r="U859" s="86"/>
    </row>
    <row r="860">
      <c r="O860" s="86"/>
      <c r="P860" s="86"/>
      <c r="Q860" s="86"/>
      <c r="R860" s="86"/>
      <c r="S860" s="86"/>
      <c r="T860" s="86"/>
      <c r="U860" s="86"/>
    </row>
    <row r="861">
      <c r="O861" s="86"/>
      <c r="P861" s="86"/>
      <c r="Q861" s="86"/>
      <c r="R861" s="86"/>
      <c r="S861" s="86"/>
      <c r="T861" s="86"/>
      <c r="U861" s="86"/>
    </row>
    <row r="862">
      <c r="O862" s="86"/>
      <c r="P862" s="86"/>
      <c r="Q862" s="86"/>
      <c r="R862" s="86"/>
      <c r="S862" s="86"/>
      <c r="T862" s="86"/>
      <c r="U862" s="86"/>
    </row>
    <row r="863">
      <c r="O863" s="86"/>
      <c r="P863" s="86"/>
      <c r="Q863" s="86"/>
      <c r="R863" s="86"/>
      <c r="S863" s="86"/>
      <c r="T863" s="86"/>
      <c r="U863" s="86"/>
    </row>
    <row r="864">
      <c r="O864" s="86"/>
      <c r="P864" s="86"/>
      <c r="Q864" s="86"/>
      <c r="R864" s="86"/>
      <c r="S864" s="86"/>
      <c r="T864" s="86"/>
      <c r="U864" s="86"/>
    </row>
    <row r="865">
      <c r="O865" s="86"/>
      <c r="P865" s="86"/>
      <c r="Q865" s="86"/>
      <c r="R865" s="86"/>
      <c r="S865" s="86"/>
      <c r="T865" s="86"/>
      <c r="U865" s="86"/>
    </row>
    <row r="866">
      <c r="O866" s="86"/>
      <c r="P866" s="86"/>
      <c r="Q866" s="86"/>
      <c r="R866" s="86"/>
      <c r="S866" s="86"/>
      <c r="T866" s="86"/>
      <c r="U866" s="86"/>
    </row>
    <row r="867">
      <c r="O867" s="86"/>
      <c r="P867" s="86"/>
      <c r="Q867" s="86"/>
      <c r="R867" s="86"/>
      <c r="S867" s="86"/>
      <c r="T867" s="86"/>
      <c r="U867" s="86"/>
    </row>
    <row r="868">
      <c r="O868" s="86"/>
      <c r="P868" s="86"/>
      <c r="Q868" s="86"/>
      <c r="R868" s="86"/>
      <c r="S868" s="86"/>
      <c r="T868" s="86"/>
      <c r="U868" s="86"/>
    </row>
    <row r="869">
      <c r="O869" s="86"/>
      <c r="P869" s="86"/>
      <c r="Q869" s="86"/>
      <c r="R869" s="86"/>
      <c r="S869" s="86"/>
      <c r="T869" s="86"/>
      <c r="U869" s="86"/>
    </row>
    <row r="870">
      <c r="O870" s="86"/>
      <c r="P870" s="86"/>
      <c r="Q870" s="86"/>
      <c r="R870" s="86"/>
      <c r="S870" s="86"/>
      <c r="T870" s="86"/>
      <c r="U870" s="86"/>
    </row>
    <row r="871">
      <c r="O871" s="86"/>
      <c r="P871" s="86"/>
      <c r="Q871" s="86"/>
      <c r="R871" s="86"/>
      <c r="S871" s="86"/>
      <c r="T871" s="86"/>
      <c r="U871" s="86"/>
    </row>
    <row r="872">
      <c r="O872" s="86"/>
      <c r="P872" s="86"/>
      <c r="Q872" s="86"/>
      <c r="R872" s="86"/>
      <c r="S872" s="86"/>
      <c r="T872" s="86"/>
      <c r="U872" s="86"/>
    </row>
    <row r="873">
      <c r="O873" s="86"/>
      <c r="P873" s="86"/>
      <c r="Q873" s="86"/>
      <c r="R873" s="86"/>
      <c r="S873" s="86"/>
      <c r="T873" s="86"/>
      <c r="U873" s="86"/>
    </row>
    <row r="874">
      <c r="O874" s="86"/>
      <c r="P874" s="86"/>
      <c r="Q874" s="86"/>
      <c r="R874" s="86"/>
      <c r="S874" s="86"/>
      <c r="T874" s="86"/>
      <c r="U874" s="86"/>
    </row>
    <row r="875">
      <c r="O875" s="86"/>
      <c r="P875" s="86"/>
      <c r="Q875" s="86"/>
      <c r="R875" s="86"/>
      <c r="S875" s="86"/>
      <c r="T875" s="86"/>
      <c r="U875" s="86"/>
    </row>
    <row r="876">
      <c r="O876" s="86"/>
      <c r="P876" s="86"/>
      <c r="Q876" s="86"/>
      <c r="R876" s="86"/>
      <c r="S876" s="86"/>
      <c r="T876" s="86"/>
      <c r="U876" s="86"/>
    </row>
    <row r="877">
      <c r="O877" s="86"/>
      <c r="P877" s="86"/>
      <c r="Q877" s="86"/>
      <c r="R877" s="86"/>
      <c r="S877" s="86"/>
      <c r="T877" s="86"/>
      <c r="U877" s="86"/>
    </row>
    <row r="878">
      <c r="O878" s="86"/>
      <c r="P878" s="86"/>
      <c r="Q878" s="86"/>
      <c r="R878" s="86"/>
      <c r="S878" s="86"/>
      <c r="T878" s="86"/>
      <c r="U878" s="86"/>
    </row>
    <row r="879">
      <c r="O879" s="86"/>
      <c r="P879" s="86"/>
      <c r="Q879" s="86"/>
      <c r="R879" s="86"/>
      <c r="S879" s="86"/>
      <c r="T879" s="86"/>
      <c r="U879" s="86"/>
    </row>
    <row r="880">
      <c r="O880" s="86"/>
      <c r="P880" s="86"/>
      <c r="Q880" s="86"/>
      <c r="R880" s="86"/>
      <c r="S880" s="86"/>
      <c r="T880" s="86"/>
      <c r="U880" s="86"/>
    </row>
    <row r="881">
      <c r="O881" s="86"/>
      <c r="P881" s="86"/>
      <c r="Q881" s="86"/>
      <c r="R881" s="86"/>
      <c r="S881" s="86"/>
      <c r="T881" s="86"/>
      <c r="U881" s="86"/>
    </row>
    <row r="882">
      <c r="O882" s="86"/>
      <c r="P882" s="86"/>
      <c r="Q882" s="86"/>
      <c r="R882" s="86"/>
      <c r="S882" s="86"/>
      <c r="T882" s="86"/>
      <c r="U882" s="86"/>
    </row>
    <row r="883">
      <c r="O883" s="86"/>
      <c r="P883" s="86"/>
      <c r="Q883" s="86"/>
      <c r="R883" s="86"/>
      <c r="S883" s="86"/>
      <c r="T883" s="86"/>
      <c r="U883" s="86"/>
    </row>
    <row r="884">
      <c r="O884" s="86"/>
      <c r="P884" s="86"/>
      <c r="Q884" s="86"/>
      <c r="R884" s="86"/>
      <c r="S884" s="86"/>
      <c r="T884" s="86"/>
      <c r="U884" s="86"/>
    </row>
    <row r="885">
      <c r="O885" s="86"/>
      <c r="P885" s="86"/>
      <c r="Q885" s="86"/>
      <c r="R885" s="86"/>
      <c r="S885" s="86"/>
      <c r="T885" s="86"/>
      <c r="U885" s="86"/>
    </row>
    <row r="886">
      <c r="O886" s="86"/>
      <c r="P886" s="86"/>
      <c r="Q886" s="86"/>
      <c r="R886" s="86"/>
      <c r="S886" s="86"/>
      <c r="T886" s="86"/>
      <c r="U886" s="86"/>
    </row>
    <row r="887">
      <c r="O887" s="86"/>
      <c r="P887" s="86"/>
      <c r="Q887" s="86"/>
      <c r="R887" s="86"/>
      <c r="S887" s="86"/>
      <c r="T887" s="86"/>
      <c r="U887" s="86"/>
    </row>
    <row r="888">
      <c r="O888" s="86"/>
      <c r="P888" s="86"/>
      <c r="Q888" s="86"/>
      <c r="R888" s="86"/>
      <c r="S888" s="86"/>
      <c r="T888" s="86"/>
      <c r="U888" s="86"/>
    </row>
    <row r="889">
      <c r="O889" s="86"/>
      <c r="P889" s="86"/>
      <c r="Q889" s="86"/>
      <c r="R889" s="86"/>
      <c r="S889" s="86"/>
      <c r="T889" s="86"/>
      <c r="U889" s="86"/>
    </row>
    <row r="890">
      <c r="O890" s="86"/>
      <c r="P890" s="86"/>
      <c r="Q890" s="86"/>
      <c r="R890" s="86"/>
      <c r="S890" s="86"/>
      <c r="T890" s="86"/>
      <c r="U890" s="86"/>
    </row>
    <row r="891">
      <c r="O891" s="86"/>
      <c r="P891" s="86"/>
      <c r="Q891" s="86"/>
      <c r="R891" s="86"/>
      <c r="S891" s="86"/>
      <c r="T891" s="86"/>
      <c r="U891" s="86"/>
    </row>
    <row r="892">
      <c r="O892" s="86"/>
      <c r="P892" s="86"/>
      <c r="Q892" s="86"/>
      <c r="R892" s="86"/>
      <c r="S892" s="86"/>
      <c r="T892" s="86"/>
      <c r="U892" s="86"/>
    </row>
    <row r="893">
      <c r="O893" s="86"/>
      <c r="P893" s="86"/>
      <c r="Q893" s="86"/>
      <c r="R893" s="86"/>
      <c r="S893" s="86"/>
      <c r="T893" s="86"/>
      <c r="U893" s="86"/>
    </row>
    <row r="894">
      <c r="O894" s="86"/>
      <c r="P894" s="86"/>
      <c r="Q894" s="86"/>
      <c r="R894" s="86"/>
      <c r="S894" s="86"/>
      <c r="T894" s="86"/>
      <c r="U894" s="86"/>
    </row>
    <row r="895">
      <c r="O895" s="86"/>
      <c r="P895" s="86"/>
      <c r="Q895" s="86"/>
      <c r="R895" s="86"/>
      <c r="S895" s="86"/>
      <c r="T895" s="86"/>
      <c r="U895" s="86"/>
    </row>
    <row r="896">
      <c r="O896" s="86"/>
      <c r="P896" s="86"/>
      <c r="Q896" s="86"/>
      <c r="R896" s="86"/>
      <c r="S896" s="86"/>
      <c r="T896" s="86"/>
      <c r="U896" s="86"/>
    </row>
    <row r="897">
      <c r="O897" s="86"/>
      <c r="P897" s="86"/>
      <c r="Q897" s="86"/>
      <c r="R897" s="86"/>
      <c r="S897" s="86"/>
      <c r="T897" s="86"/>
      <c r="U897" s="86"/>
    </row>
    <row r="898">
      <c r="O898" s="86"/>
      <c r="P898" s="86"/>
      <c r="Q898" s="86"/>
      <c r="R898" s="86"/>
      <c r="S898" s="86"/>
      <c r="T898" s="86"/>
      <c r="U898" s="86"/>
    </row>
    <row r="899">
      <c r="O899" s="86"/>
      <c r="P899" s="86"/>
      <c r="Q899" s="86"/>
      <c r="R899" s="86"/>
      <c r="S899" s="86"/>
      <c r="T899" s="86"/>
      <c r="U899" s="86"/>
    </row>
    <row r="900">
      <c r="O900" s="86"/>
      <c r="P900" s="86"/>
      <c r="Q900" s="86"/>
      <c r="R900" s="86"/>
      <c r="S900" s="86"/>
      <c r="T900" s="86"/>
      <c r="U900" s="86"/>
    </row>
    <row r="901">
      <c r="O901" s="86"/>
      <c r="P901" s="86"/>
      <c r="Q901" s="86"/>
      <c r="R901" s="86"/>
      <c r="S901" s="86"/>
      <c r="T901" s="86"/>
      <c r="U901" s="86"/>
    </row>
    <row r="902">
      <c r="O902" s="86"/>
      <c r="P902" s="86"/>
      <c r="Q902" s="86"/>
      <c r="R902" s="86"/>
      <c r="S902" s="86"/>
      <c r="T902" s="86"/>
      <c r="U902" s="86"/>
    </row>
    <row r="903">
      <c r="O903" s="86"/>
      <c r="P903" s="86"/>
      <c r="Q903" s="86"/>
      <c r="R903" s="86"/>
      <c r="S903" s="86"/>
      <c r="T903" s="86"/>
      <c r="U903" s="86"/>
    </row>
    <row r="904">
      <c r="O904" s="86"/>
      <c r="P904" s="86"/>
      <c r="Q904" s="86"/>
      <c r="R904" s="86"/>
      <c r="S904" s="86"/>
      <c r="T904" s="86"/>
      <c r="U904" s="86"/>
    </row>
    <row r="905">
      <c r="O905" s="86"/>
      <c r="P905" s="86"/>
      <c r="Q905" s="86"/>
      <c r="R905" s="86"/>
      <c r="S905" s="86"/>
      <c r="T905" s="86"/>
      <c r="U905" s="86"/>
    </row>
    <row r="906">
      <c r="O906" s="86"/>
      <c r="P906" s="86"/>
      <c r="Q906" s="86"/>
      <c r="R906" s="86"/>
      <c r="S906" s="86"/>
      <c r="T906" s="86"/>
      <c r="U906" s="86"/>
    </row>
    <row r="907">
      <c r="O907" s="86"/>
      <c r="P907" s="86"/>
      <c r="Q907" s="86"/>
      <c r="R907" s="86"/>
      <c r="S907" s="86"/>
      <c r="T907" s="86"/>
      <c r="U907" s="86"/>
    </row>
    <row r="908">
      <c r="O908" s="86"/>
      <c r="P908" s="86"/>
      <c r="Q908" s="86"/>
      <c r="R908" s="86"/>
      <c r="S908" s="86"/>
      <c r="T908" s="86"/>
      <c r="U908" s="86"/>
    </row>
    <row r="909">
      <c r="O909" s="86"/>
      <c r="P909" s="86"/>
      <c r="Q909" s="86"/>
      <c r="R909" s="86"/>
      <c r="S909" s="86"/>
      <c r="T909" s="86"/>
      <c r="U909" s="86"/>
    </row>
    <row r="910">
      <c r="O910" s="86"/>
      <c r="P910" s="86"/>
      <c r="Q910" s="86"/>
      <c r="R910" s="86"/>
      <c r="S910" s="86"/>
      <c r="T910" s="86"/>
      <c r="U910" s="86"/>
    </row>
    <row r="911">
      <c r="O911" s="86"/>
      <c r="P911" s="86"/>
      <c r="Q911" s="86"/>
      <c r="R911" s="86"/>
      <c r="S911" s="86"/>
      <c r="T911" s="86"/>
      <c r="U911" s="86"/>
    </row>
    <row r="912">
      <c r="O912" s="86"/>
      <c r="P912" s="86"/>
      <c r="Q912" s="86"/>
      <c r="R912" s="86"/>
      <c r="S912" s="86"/>
      <c r="T912" s="86"/>
      <c r="U912" s="86"/>
    </row>
    <row r="913">
      <c r="O913" s="86"/>
      <c r="P913" s="86"/>
      <c r="Q913" s="86"/>
      <c r="R913" s="86"/>
      <c r="S913" s="86"/>
      <c r="T913" s="86"/>
      <c r="U913" s="86"/>
    </row>
    <row r="914">
      <c r="O914" s="86"/>
      <c r="P914" s="86"/>
      <c r="Q914" s="86"/>
      <c r="R914" s="86"/>
      <c r="S914" s="86"/>
      <c r="T914" s="86"/>
      <c r="U914" s="86"/>
    </row>
    <row r="915">
      <c r="O915" s="86"/>
      <c r="P915" s="86"/>
      <c r="Q915" s="86"/>
      <c r="R915" s="86"/>
      <c r="S915" s="86"/>
      <c r="T915" s="86"/>
      <c r="U915" s="86"/>
    </row>
    <row r="916">
      <c r="O916" s="86"/>
      <c r="P916" s="86"/>
      <c r="Q916" s="86"/>
      <c r="R916" s="86"/>
      <c r="S916" s="86"/>
      <c r="T916" s="86"/>
      <c r="U916" s="86"/>
    </row>
    <row r="917">
      <c r="O917" s="86"/>
      <c r="P917" s="86"/>
      <c r="Q917" s="86"/>
      <c r="R917" s="86"/>
      <c r="S917" s="86"/>
      <c r="T917" s="86"/>
      <c r="U917" s="86"/>
    </row>
    <row r="918">
      <c r="O918" s="86"/>
      <c r="P918" s="86"/>
      <c r="Q918" s="86"/>
      <c r="R918" s="86"/>
      <c r="S918" s="86"/>
      <c r="T918" s="86"/>
      <c r="U918" s="86"/>
    </row>
    <row r="919">
      <c r="O919" s="86"/>
      <c r="P919" s="86"/>
      <c r="Q919" s="86"/>
      <c r="R919" s="86"/>
      <c r="S919" s="86"/>
      <c r="T919" s="86"/>
      <c r="U919" s="86"/>
    </row>
    <row r="920">
      <c r="O920" s="86"/>
      <c r="P920" s="86"/>
      <c r="Q920" s="86"/>
      <c r="R920" s="86"/>
      <c r="S920" s="86"/>
      <c r="T920" s="86"/>
      <c r="U920" s="86"/>
    </row>
    <row r="921">
      <c r="O921" s="86"/>
      <c r="P921" s="86"/>
      <c r="Q921" s="86"/>
      <c r="R921" s="86"/>
      <c r="S921" s="86"/>
      <c r="T921" s="86"/>
      <c r="U921" s="86"/>
    </row>
    <row r="922">
      <c r="O922" s="86"/>
      <c r="P922" s="86"/>
      <c r="Q922" s="86"/>
      <c r="R922" s="86"/>
      <c r="S922" s="86"/>
      <c r="T922" s="86"/>
      <c r="U922" s="86"/>
    </row>
    <row r="923">
      <c r="O923" s="86"/>
      <c r="P923" s="86"/>
      <c r="Q923" s="86"/>
      <c r="R923" s="86"/>
      <c r="S923" s="86"/>
      <c r="T923" s="86"/>
      <c r="U923" s="86"/>
    </row>
    <row r="924">
      <c r="O924" s="86"/>
      <c r="P924" s="86"/>
      <c r="Q924" s="86"/>
      <c r="R924" s="86"/>
      <c r="S924" s="86"/>
      <c r="T924" s="86"/>
      <c r="U924" s="86"/>
    </row>
    <row r="925">
      <c r="O925" s="86"/>
      <c r="P925" s="86"/>
      <c r="Q925" s="86"/>
      <c r="R925" s="86"/>
      <c r="S925" s="86"/>
      <c r="T925" s="86"/>
      <c r="U925" s="86"/>
    </row>
    <row r="926">
      <c r="O926" s="86"/>
      <c r="P926" s="86"/>
      <c r="Q926" s="86"/>
      <c r="R926" s="86"/>
      <c r="S926" s="86"/>
      <c r="T926" s="86"/>
      <c r="U926" s="86"/>
    </row>
    <row r="927">
      <c r="O927" s="86"/>
      <c r="P927" s="86"/>
      <c r="Q927" s="86"/>
      <c r="R927" s="86"/>
      <c r="S927" s="86"/>
      <c r="T927" s="86"/>
      <c r="U927" s="86"/>
    </row>
    <row r="928">
      <c r="O928" s="86"/>
      <c r="P928" s="86"/>
      <c r="Q928" s="86"/>
      <c r="R928" s="86"/>
      <c r="S928" s="86"/>
      <c r="T928" s="86"/>
      <c r="U928" s="86"/>
    </row>
    <row r="929">
      <c r="O929" s="86"/>
      <c r="P929" s="86"/>
      <c r="Q929" s="86"/>
      <c r="R929" s="86"/>
      <c r="S929" s="86"/>
      <c r="T929" s="86"/>
      <c r="U929" s="86"/>
    </row>
    <row r="930">
      <c r="O930" s="86"/>
      <c r="P930" s="86"/>
      <c r="Q930" s="86"/>
      <c r="R930" s="86"/>
      <c r="S930" s="86"/>
      <c r="T930" s="86"/>
      <c r="U930" s="86"/>
    </row>
    <row r="931">
      <c r="O931" s="86"/>
      <c r="P931" s="86"/>
      <c r="Q931" s="86"/>
      <c r="R931" s="86"/>
      <c r="S931" s="86"/>
      <c r="T931" s="86"/>
      <c r="U931" s="86"/>
    </row>
    <row r="932">
      <c r="O932" s="86"/>
      <c r="P932" s="86"/>
      <c r="Q932" s="86"/>
      <c r="R932" s="86"/>
      <c r="S932" s="86"/>
      <c r="T932" s="86"/>
      <c r="U932" s="86"/>
    </row>
    <row r="933">
      <c r="O933" s="86"/>
      <c r="P933" s="86"/>
      <c r="Q933" s="86"/>
      <c r="R933" s="86"/>
      <c r="S933" s="86"/>
      <c r="T933" s="86"/>
      <c r="U933" s="86"/>
    </row>
    <row r="934">
      <c r="O934" s="86"/>
      <c r="P934" s="86"/>
      <c r="Q934" s="86"/>
      <c r="R934" s="86"/>
      <c r="S934" s="86"/>
      <c r="T934" s="86"/>
      <c r="U934" s="86"/>
    </row>
    <row r="935">
      <c r="O935" s="86"/>
      <c r="P935" s="86"/>
      <c r="Q935" s="86"/>
      <c r="R935" s="86"/>
      <c r="S935" s="86"/>
      <c r="T935" s="86"/>
      <c r="U935" s="86"/>
    </row>
    <row r="936">
      <c r="O936" s="86"/>
      <c r="P936" s="86"/>
      <c r="Q936" s="86"/>
      <c r="R936" s="86"/>
      <c r="S936" s="86"/>
      <c r="T936" s="86"/>
      <c r="U936" s="86"/>
    </row>
    <row r="937">
      <c r="O937" s="86"/>
      <c r="P937" s="86"/>
      <c r="Q937" s="86"/>
      <c r="R937" s="86"/>
      <c r="S937" s="86"/>
      <c r="T937" s="86"/>
      <c r="U937" s="86"/>
    </row>
    <row r="938">
      <c r="O938" s="86"/>
      <c r="P938" s="86"/>
      <c r="Q938" s="86"/>
      <c r="R938" s="86"/>
      <c r="S938" s="86"/>
      <c r="T938" s="86"/>
      <c r="U938" s="86"/>
    </row>
    <row r="939">
      <c r="O939" s="86"/>
      <c r="P939" s="86"/>
      <c r="Q939" s="86"/>
      <c r="R939" s="86"/>
      <c r="S939" s="86"/>
      <c r="T939" s="86"/>
      <c r="U939" s="86"/>
    </row>
    <row r="940">
      <c r="O940" s="86"/>
      <c r="P940" s="86"/>
      <c r="Q940" s="86"/>
      <c r="R940" s="86"/>
      <c r="S940" s="86"/>
      <c r="T940" s="86"/>
      <c r="U940" s="86"/>
    </row>
    <row r="941">
      <c r="O941" s="86"/>
      <c r="P941" s="86"/>
      <c r="Q941" s="86"/>
      <c r="R941" s="86"/>
      <c r="S941" s="86"/>
      <c r="T941" s="86"/>
      <c r="U941" s="86"/>
    </row>
    <row r="942">
      <c r="O942" s="86"/>
      <c r="P942" s="86"/>
      <c r="Q942" s="86"/>
      <c r="R942" s="86"/>
      <c r="S942" s="86"/>
      <c r="T942" s="86"/>
      <c r="U942" s="86"/>
    </row>
    <row r="943">
      <c r="O943" s="86"/>
      <c r="P943" s="86"/>
      <c r="Q943" s="86"/>
      <c r="R943" s="86"/>
      <c r="S943" s="86"/>
      <c r="T943" s="86"/>
      <c r="U943" s="86"/>
    </row>
    <row r="944">
      <c r="O944" s="86"/>
      <c r="P944" s="86"/>
      <c r="Q944" s="86"/>
      <c r="R944" s="86"/>
      <c r="S944" s="86"/>
      <c r="T944" s="86"/>
      <c r="U944" s="86"/>
    </row>
    <row r="945">
      <c r="O945" s="86"/>
      <c r="P945" s="86"/>
      <c r="Q945" s="86"/>
      <c r="R945" s="86"/>
      <c r="S945" s="86"/>
      <c r="T945" s="86"/>
      <c r="U945" s="86"/>
    </row>
    <row r="946">
      <c r="O946" s="86"/>
      <c r="P946" s="86"/>
      <c r="Q946" s="86"/>
      <c r="R946" s="86"/>
      <c r="S946" s="86"/>
      <c r="T946" s="86"/>
      <c r="U946" s="86"/>
    </row>
    <row r="947">
      <c r="O947" s="86"/>
      <c r="P947" s="86"/>
      <c r="Q947" s="86"/>
      <c r="R947" s="86"/>
      <c r="S947" s="86"/>
      <c r="T947" s="86"/>
      <c r="U947" s="86"/>
    </row>
    <row r="948">
      <c r="O948" s="86"/>
      <c r="P948" s="86"/>
      <c r="Q948" s="86"/>
      <c r="R948" s="86"/>
      <c r="S948" s="86"/>
      <c r="T948" s="86"/>
      <c r="U948" s="86"/>
    </row>
    <row r="949">
      <c r="O949" s="86"/>
      <c r="P949" s="86"/>
      <c r="Q949" s="86"/>
      <c r="R949" s="86"/>
      <c r="S949" s="86"/>
      <c r="T949" s="86"/>
      <c r="U949" s="86"/>
    </row>
    <row r="950">
      <c r="O950" s="86"/>
      <c r="P950" s="86"/>
      <c r="Q950" s="86"/>
      <c r="R950" s="86"/>
      <c r="S950" s="86"/>
      <c r="T950" s="86"/>
      <c r="U950" s="86"/>
    </row>
    <row r="951">
      <c r="O951" s="86"/>
      <c r="P951" s="86"/>
      <c r="Q951" s="86"/>
      <c r="R951" s="86"/>
      <c r="S951" s="86"/>
      <c r="T951" s="86"/>
      <c r="U951" s="86"/>
    </row>
    <row r="952">
      <c r="O952" s="86"/>
      <c r="P952" s="86"/>
      <c r="Q952" s="86"/>
      <c r="R952" s="86"/>
      <c r="S952" s="86"/>
      <c r="T952" s="86"/>
      <c r="U952" s="86"/>
    </row>
    <row r="953">
      <c r="O953" s="86"/>
      <c r="P953" s="86"/>
      <c r="Q953" s="86"/>
      <c r="R953" s="86"/>
      <c r="S953" s="86"/>
      <c r="T953" s="86"/>
      <c r="U953" s="86"/>
    </row>
    <row r="954">
      <c r="O954" s="86"/>
      <c r="P954" s="86"/>
      <c r="Q954" s="86"/>
      <c r="R954" s="86"/>
      <c r="S954" s="86"/>
      <c r="T954" s="86"/>
      <c r="U954" s="86"/>
    </row>
    <row r="955">
      <c r="O955" s="86"/>
      <c r="P955" s="86"/>
      <c r="Q955" s="86"/>
      <c r="R955" s="86"/>
      <c r="S955" s="86"/>
      <c r="T955" s="86"/>
      <c r="U955" s="86"/>
    </row>
    <row r="956">
      <c r="O956" s="86"/>
      <c r="P956" s="86"/>
      <c r="Q956" s="86"/>
      <c r="R956" s="86"/>
      <c r="S956" s="86"/>
      <c r="T956" s="86"/>
      <c r="U956" s="86"/>
    </row>
    <row r="957">
      <c r="O957" s="86"/>
      <c r="P957" s="86"/>
      <c r="Q957" s="86"/>
      <c r="R957" s="86"/>
      <c r="S957" s="86"/>
      <c r="T957" s="86"/>
      <c r="U957" s="86"/>
    </row>
    <row r="958">
      <c r="O958" s="86"/>
      <c r="P958" s="86"/>
      <c r="Q958" s="86"/>
      <c r="R958" s="86"/>
      <c r="S958" s="86"/>
      <c r="T958" s="86"/>
      <c r="U958" s="86"/>
    </row>
    <row r="959">
      <c r="O959" s="86"/>
      <c r="P959" s="86"/>
      <c r="Q959" s="86"/>
      <c r="R959" s="86"/>
      <c r="S959" s="86"/>
      <c r="T959" s="86"/>
      <c r="U959" s="86"/>
    </row>
    <row r="960">
      <c r="O960" s="86"/>
      <c r="P960" s="86"/>
      <c r="Q960" s="86"/>
      <c r="R960" s="86"/>
      <c r="S960" s="86"/>
      <c r="T960" s="86"/>
      <c r="U960" s="86"/>
    </row>
    <row r="961">
      <c r="O961" s="86"/>
      <c r="P961" s="86"/>
      <c r="Q961" s="86"/>
      <c r="R961" s="86"/>
      <c r="S961" s="86"/>
      <c r="T961" s="86"/>
      <c r="U961" s="86"/>
    </row>
    <row r="962">
      <c r="O962" s="86"/>
      <c r="P962" s="86"/>
      <c r="Q962" s="86"/>
      <c r="R962" s="86"/>
      <c r="S962" s="86"/>
      <c r="T962" s="86"/>
      <c r="U962" s="86"/>
    </row>
    <row r="963">
      <c r="O963" s="86"/>
      <c r="P963" s="86"/>
      <c r="Q963" s="86"/>
      <c r="R963" s="86"/>
      <c r="S963" s="86"/>
      <c r="T963" s="86"/>
      <c r="U963" s="86"/>
    </row>
    <row r="964">
      <c r="O964" s="86"/>
      <c r="P964" s="86"/>
      <c r="Q964" s="86"/>
      <c r="R964" s="86"/>
      <c r="S964" s="86"/>
      <c r="T964" s="86"/>
      <c r="U964" s="86"/>
    </row>
    <row r="965">
      <c r="O965" s="86"/>
      <c r="P965" s="86"/>
      <c r="Q965" s="86"/>
      <c r="R965" s="86"/>
      <c r="S965" s="86"/>
      <c r="T965" s="86"/>
      <c r="U965" s="86"/>
    </row>
    <row r="966">
      <c r="O966" s="86"/>
      <c r="P966" s="86"/>
      <c r="Q966" s="86"/>
      <c r="R966" s="86"/>
      <c r="S966" s="86"/>
      <c r="T966" s="86"/>
      <c r="U966" s="86"/>
    </row>
    <row r="967">
      <c r="O967" s="86"/>
      <c r="P967" s="86"/>
      <c r="Q967" s="86"/>
      <c r="R967" s="86"/>
      <c r="S967" s="86"/>
      <c r="T967" s="86"/>
      <c r="U967" s="86"/>
    </row>
    <row r="968">
      <c r="O968" s="86"/>
      <c r="P968" s="86"/>
      <c r="Q968" s="86"/>
      <c r="R968" s="86"/>
      <c r="S968" s="86"/>
      <c r="T968" s="86"/>
      <c r="U968" s="86"/>
    </row>
    <row r="969">
      <c r="O969" s="86"/>
      <c r="P969" s="86"/>
      <c r="Q969" s="86"/>
      <c r="R969" s="86"/>
      <c r="S969" s="86"/>
      <c r="T969" s="86"/>
      <c r="U969" s="86"/>
    </row>
    <row r="970">
      <c r="O970" s="86"/>
      <c r="P970" s="86"/>
      <c r="Q970" s="86"/>
      <c r="R970" s="86"/>
      <c r="S970" s="86"/>
      <c r="T970" s="86"/>
      <c r="U970" s="86"/>
    </row>
    <row r="971">
      <c r="O971" s="86"/>
      <c r="P971" s="86"/>
      <c r="Q971" s="86"/>
      <c r="R971" s="86"/>
      <c r="S971" s="86"/>
      <c r="T971" s="86"/>
      <c r="U971" s="86"/>
    </row>
    <row r="972">
      <c r="O972" s="86"/>
      <c r="P972" s="86"/>
      <c r="Q972" s="86"/>
      <c r="R972" s="86"/>
      <c r="S972" s="86"/>
      <c r="T972" s="86"/>
      <c r="U972" s="86"/>
    </row>
    <row r="973">
      <c r="O973" s="86"/>
      <c r="P973" s="86"/>
      <c r="Q973" s="86"/>
      <c r="R973" s="86"/>
      <c r="S973" s="86"/>
      <c r="T973" s="86"/>
      <c r="U973" s="86"/>
    </row>
    <row r="974">
      <c r="O974" s="86"/>
      <c r="P974" s="86"/>
      <c r="Q974" s="86"/>
      <c r="R974" s="86"/>
      <c r="S974" s="86"/>
      <c r="T974" s="86"/>
      <c r="U974" s="86"/>
    </row>
    <row r="975">
      <c r="O975" s="86"/>
      <c r="P975" s="86"/>
      <c r="Q975" s="86"/>
      <c r="R975" s="86"/>
      <c r="S975" s="86"/>
      <c r="T975" s="86"/>
      <c r="U975" s="86"/>
    </row>
    <row r="976">
      <c r="O976" s="86"/>
      <c r="P976" s="86"/>
      <c r="Q976" s="86"/>
      <c r="R976" s="86"/>
      <c r="S976" s="86"/>
      <c r="T976" s="86"/>
      <c r="U976" s="86"/>
    </row>
    <row r="977">
      <c r="O977" s="86"/>
      <c r="P977" s="86"/>
      <c r="Q977" s="86"/>
      <c r="R977" s="86"/>
      <c r="S977" s="86"/>
      <c r="T977" s="86"/>
      <c r="U977" s="86"/>
    </row>
    <row r="978">
      <c r="O978" s="86"/>
      <c r="P978" s="86"/>
      <c r="Q978" s="86"/>
      <c r="R978" s="86"/>
      <c r="S978" s="86"/>
      <c r="T978" s="86"/>
      <c r="U978" s="86"/>
    </row>
    <row r="979">
      <c r="O979" s="86"/>
      <c r="P979" s="86"/>
      <c r="Q979" s="86"/>
      <c r="R979" s="86"/>
      <c r="S979" s="86"/>
      <c r="T979" s="86"/>
      <c r="U979" s="86"/>
    </row>
    <row r="980">
      <c r="O980" s="86"/>
      <c r="P980" s="86"/>
      <c r="Q980" s="86"/>
      <c r="R980" s="86"/>
      <c r="S980" s="86"/>
      <c r="T980" s="86"/>
      <c r="U980" s="86"/>
    </row>
    <row r="981">
      <c r="O981" s="86"/>
      <c r="P981" s="86"/>
      <c r="Q981" s="86"/>
      <c r="R981" s="86"/>
      <c r="S981" s="86"/>
      <c r="T981" s="86"/>
      <c r="U981" s="86"/>
    </row>
    <row r="982">
      <c r="O982" s="86"/>
      <c r="P982" s="86"/>
      <c r="Q982" s="86"/>
      <c r="R982" s="86"/>
      <c r="S982" s="86"/>
      <c r="T982" s="86"/>
      <c r="U982" s="86"/>
    </row>
    <row r="983">
      <c r="O983" s="86"/>
      <c r="P983" s="86"/>
      <c r="Q983" s="86"/>
      <c r="R983" s="86"/>
      <c r="S983" s="86"/>
      <c r="T983" s="86"/>
      <c r="U983" s="86"/>
    </row>
    <row r="984">
      <c r="O984" s="86"/>
      <c r="P984" s="86"/>
      <c r="Q984" s="86"/>
      <c r="R984" s="86"/>
      <c r="S984" s="86"/>
      <c r="T984" s="86"/>
      <c r="U984" s="86"/>
    </row>
    <row r="985">
      <c r="O985" s="86"/>
      <c r="P985" s="86"/>
      <c r="Q985" s="86"/>
      <c r="R985" s="86"/>
      <c r="S985" s="86"/>
      <c r="T985" s="86"/>
      <c r="U985" s="86"/>
    </row>
    <row r="986">
      <c r="O986" s="86"/>
      <c r="P986" s="86"/>
      <c r="Q986" s="86"/>
      <c r="R986" s="86"/>
      <c r="S986" s="86"/>
      <c r="T986" s="86"/>
      <c r="U986" s="86"/>
    </row>
    <row r="987">
      <c r="O987" s="86"/>
      <c r="P987" s="86"/>
      <c r="Q987" s="86"/>
      <c r="R987" s="86"/>
      <c r="S987" s="86"/>
      <c r="T987" s="86"/>
      <c r="U987" s="86"/>
    </row>
    <row r="988">
      <c r="O988" s="86"/>
      <c r="P988" s="86"/>
      <c r="Q988" s="86"/>
      <c r="R988" s="86"/>
      <c r="S988" s="86"/>
      <c r="T988" s="86"/>
      <c r="U988" s="86"/>
    </row>
    <row r="989">
      <c r="O989" s="86"/>
      <c r="P989" s="86"/>
      <c r="Q989" s="86"/>
      <c r="R989" s="86"/>
      <c r="S989" s="86"/>
      <c r="T989" s="86"/>
      <c r="U989" s="86"/>
    </row>
    <row r="990">
      <c r="O990" s="86"/>
      <c r="P990" s="86"/>
      <c r="Q990" s="86"/>
      <c r="R990" s="86"/>
      <c r="S990" s="86"/>
      <c r="T990" s="86"/>
      <c r="U990" s="86"/>
    </row>
    <row r="991">
      <c r="O991" s="86"/>
      <c r="P991" s="86"/>
      <c r="Q991" s="86"/>
      <c r="R991" s="86"/>
      <c r="S991" s="86"/>
      <c r="T991" s="86"/>
      <c r="U991" s="86"/>
    </row>
    <row r="992">
      <c r="O992" s="86"/>
      <c r="P992" s="86"/>
      <c r="Q992" s="86"/>
      <c r="R992" s="86"/>
      <c r="S992" s="86"/>
      <c r="T992" s="86"/>
      <c r="U992" s="86"/>
    </row>
    <row r="993">
      <c r="O993" s="86"/>
      <c r="P993" s="86"/>
      <c r="Q993" s="86"/>
      <c r="R993" s="86"/>
      <c r="S993" s="86"/>
      <c r="T993" s="86"/>
      <c r="U993" s="86"/>
    </row>
    <row r="994">
      <c r="O994" s="86"/>
      <c r="P994" s="86"/>
      <c r="Q994" s="86"/>
      <c r="R994" s="86"/>
      <c r="S994" s="86"/>
      <c r="T994" s="86"/>
      <c r="U994" s="86"/>
    </row>
    <row r="995">
      <c r="O995" s="86"/>
      <c r="P995" s="86"/>
      <c r="Q995" s="86"/>
      <c r="R995" s="86"/>
      <c r="S995" s="86"/>
      <c r="T995" s="86"/>
      <c r="U995" s="86"/>
    </row>
    <row r="996">
      <c r="O996" s="86"/>
      <c r="P996" s="86"/>
      <c r="Q996" s="86"/>
      <c r="R996" s="86"/>
      <c r="S996" s="86"/>
      <c r="T996" s="86"/>
      <c r="U996" s="86"/>
    </row>
    <row r="997">
      <c r="O997" s="86"/>
      <c r="P997" s="86"/>
      <c r="Q997" s="86"/>
      <c r="R997" s="86"/>
      <c r="S997" s="86"/>
      <c r="T997" s="86"/>
      <c r="U997" s="86"/>
    </row>
    <row r="998">
      <c r="O998" s="86"/>
      <c r="P998" s="86"/>
      <c r="Q998" s="86"/>
      <c r="R998" s="86"/>
      <c r="S998" s="86"/>
      <c r="T998" s="86"/>
      <c r="U998" s="86"/>
    </row>
    <row r="999">
      <c r="O999" s="86"/>
      <c r="P999" s="86"/>
      <c r="Q999" s="86"/>
      <c r="R999" s="86"/>
      <c r="S999" s="86"/>
      <c r="T999" s="86"/>
      <c r="U999" s="86"/>
    </row>
    <row r="1000">
      <c r="O1000" s="86"/>
      <c r="P1000" s="86"/>
      <c r="Q1000" s="86"/>
      <c r="R1000" s="86"/>
      <c r="S1000" s="86"/>
      <c r="T1000" s="86"/>
      <c r="U1000" s="86"/>
    </row>
    <row r="1001">
      <c r="O1001" s="86"/>
      <c r="P1001" s="86"/>
      <c r="Q1001" s="86"/>
      <c r="R1001" s="86"/>
      <c r="S1001" s="86"/>
      <c r="T1001" s="86"/>
      <c r="U1001" s="86"/>
    </row>
    <row r="1002">
      <c r="O1002" s="86"/>
      <c r="P1002" s="86"/>
      <c r="Q1002" s="86"/>
      <c r="R1002" s="86"/>
      <c r="S1002" s="86"/>
      <c r="T1002" s="86"/>
      <c r="U1002" s="86"/>
    </row>
    <row r="1003">
      <c r="O1003" s="86"/>
      <c r="P1003" s="86"/>
      <c r="Q1003" s="86"/>
      <c r="R1003" s="86"/>
      <c r="S1003" s="86"/>
      <c r="T1003" s="86"/>
      <c r="U1003" s="86"/>
    </row>
    <row r="1004">
      <c r="O1004" s="86"/>
      <c r="P1004" s="86"/>
      <c r="Q1004" s="86"/>
      <c r="R1004" s="86"/>
      <c r="S1004" s="86"/>
      <c r="T1004" s="86"/>
      <c r="U1004" s="86"/>
    </row>
    <row r="1005">
      <c r="O1005" s="86"/>
      <c r="P1005" s="86"/>
      <c r="Q1005" s="86"/>
      <c r="R1005" s="86"/>
      <c r="S1005" s="86"/>
      <c r="T1005" s="86"/>
      <c r="U1005" s="86"/>
    </row>
    <row r="1006">
      <c r="O1006" s="86"/>
      <c r="P1006" s="86"/>
      <c r="Q1006" s="86"/>
      <c r="R1006" s="86"/>
      <c r="S1006" s="86"/>
      <c r="T1006" s="86"/>
      <c r="U1006" s="86"/>
    </row>
    <row r="1007">
      <c r="O1007" s="86"/>
      <c r="P1007" s="86"/>
      <c r="Q1007" s="86"/>
      <c r="R1007" s="86"/>
      <c r="S1007" s="86"/>
      <c r="T1007" s="86"/>
      <c r="U1007" s="86"/>
    </row>
    <row r="1008">
      <c r="O1008" s="86"/>
      <c r="P1008" s="86"/>
      <c r="Q1008" s="86"/>
      <c r="R1008" s="86"/>
      <c r="S1008" s="86"/>
      <c r="T1008" s="86"/>
      <c r="U1008" s="86"/>
    </row>
    <row r="1009">
      <c r="O1009" s="86"/>
      <c r="P1009" s="86"/>
      <c r="Q1009" s="86"/>
      <c r="R1009" s="86"/>
      <c r="S1009" s="86"/>
      <c r="T1009" s="86"/>
      <c r="U1009" s="86"/>
    </row>
    <row r="1010">
      <c r="O1010" s="86"/>
      <c r="P1010" s="86"/>
      <c r="Q1010" s="86"/>
      <c r="R1010" s="86"/>
      <c r="S1010" s="86"/>
      <c r="T1010" s="86"/>
      <c r="U1010" s="86"/>
    </row>
    <row r="1011">
      <c r="O1011" s="86"/>
      <c r="P1011" s="86"/>
      <c r="Q1011" s="86"/>
      <c r="R1011" s="86"/>
      <c r="S1011" s="86"/>
      <c r="T1011" s="86"/>
      <c r="U1011" s="86"/>
    </row>
    <row r="1012">
      <c r="O1012" s="86"/>
      <c r="P1012" s="86"/>
      <c r="Q1012" s="86"/>
      <c r="R1012" s="86"/>
      <c r="S1012" s="86"/>
      <c r="T1012" s="86"/>
      <c r="U1012" s="86"/>
    </row>
    <row r="1013">
      <c r="O1013" s="86"/>
      <c r="P1013" s="86"/>
      <c r="Q1013" s="86"/>
      <c r="R1013" s="86"/>
      <c r="S1013" s="86"/>
      <c r="T1013" s="86"/>
      <c r="U1013" s="86"/>
    </row>
    <row r="1014">
      <c r="O1014" s="86"/>
      <c r="P1014" s="86"/>
      <c r="Q1014" s="86"/>
      <c r="R1014" s="86"/>
      <c r="S1014" s="86"/>
      <c r="T1014" s="86"/>
      <c r="U1014" s="86"/>
    </row>
    <row r="1015">
      <c r="O1015" s="86"/>
      <c r="P1015" s="86"/>
      <c r="Q1015" s="86"/>
      <c r="R1015" s="86"/>
      <c r="S1015" s="86"/>
      <c r="T1015" s="86"/>
      <c r="U1015" s="86"/>
    </row>
    <row r="1016">
      <c r="O1016" s="86"/>
      <c r="P1016" s="86"/>
      <c r="Q1016" s="86"/>
      <c r="R1016" s="86"/>
      <c r="S1016" s="86"/>
      <c r="T1016" s="86"/>
      <c r="U1016" s="86"/>
    </row>
    <row r="1017">
      <c r="O1017" s="86"/>
      <c r="P1017" s="86"/>
      <c r="Q1017" s="86"/>
      <c r="R1017" s="86"/>
      <c r="S1017" s="86"/>
      <c r="T1017" s="86"/>
      <c r="U1017" s="86"/>
    </row>
    <row r="1018">
      <c r="O1018" s="86"/>
      <c r="P1018" s="86"/>
      <c r="Q1018" s="86"/>
      <c r="R1018" s="86"/>
      <c r="S1018" s="86"/>
      <c r="T1018" s="86"/>
      <c r="U1018" s="86"/>
    </row>
    <row r="1019">
      <c r="O1019" s="86"/>
      <c r="P1019" s="86"/>
      <c r="Q1019" s="86"/>
      <c r="R1019" s="86"/>
      <c r="S1019" s="86"/>
      <c r="T1019" s="86"/>
      <c r="U1019" s="86"/>
    </row>
    <row r="1020">
      <c r="O1020" s="86"/>
      <c r="P1020" s="86"/>
      <c r="Q1020" s="86"/>
      <c r="R1020" s="86"/>
      <c r="S1020" s="86"/>
      <c r="T1020" s="86"/>
      <c r="U1020" s="86"/>
    </row>
    <row r="1021">
      <c r="O1021" s="86"/>
      <c r="P1021" s="86"/>
      <c r="Q1021" s="86"/>
      <c r="R1021" s="86"/>
      <c r="S1021" s="86"/>
      <c r="T1021" s="86"/>
      <c r="U1021" s="86"/>
    </row>
    <row r="1022">
      <c r="O1022" s="86"/>
      <c r="P1022" s="86"/>
      <c r="Q1022" s="86"/>
      <c r="R1022" s="86"/>
      <c r="S1022" s="86"/>
      <c r="T1022" s="86"/>
      <c r="U1022" s="86"/>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7" width="7.38"/>
    <col customWidth="1" min="8" max="8" width="6.38"/>
    <col customWidth="1" min="9" max="9" width="7.5"/>
    <col customWidth="1" min="10" max="10" width="6.75"/>
    <col customWidth="1" min="11" max="11" width="21.63"/>
    <col customWidth="1" min="12" max="12" width="23.5"/>
    <col customWidth="1" min="13" max="13" width="21.88"/>
    <col customWidth="1" min="14" max="14" width="24.63"/>
    <col customWidth="1" min="15" max="15" width="5.88"/>
    <col customWidth="1" min="16" max="16" width="22.5"/>
    <col customWidth="1" min="17" max="17" width="5.25"/>
    <col customWidth="1" min="18" max="18" width="25.63"/>
    <col customWidth="1" min="19" max="19" width="5.5"/>
    <col customWidth="1" min="20" max="20" width="25.5"/>
    <col customWidth="1" min="21" max="21" width="5.5"/>
  </cols>
  <sheetData>
    <row r="1">
      <c r="A1" s="1" t="s">
        <v>1152</v>
      </c>
      <c r="N1" s="125"/>
      <c r="O1" s="86"/>
      <c r="P1" s="87"/>
      <c r="Q1" s="87"/>
      <c r="R1" s="87"/>
      <c r="S1" s="87"/>
      <c r="T1" s="87"/>
      <c r="U1" s="87"/>
    </row>
    <row r="2">
      <c r="A2" s="2" t="s">
        <v>1153</v>
      </c>
      <c r="B2" s="2" t="s">
        <v>1154</v>
      </c>
      <c r="C2" s="3" t="s">
        <v>3</v>
      </c>
      <c r="D2" s="4" t="s">
        <v>4</v>
      </c>
      <c r="E2" s="5">
        <f>SUM(E11:E104)+1</f>
        <v>16</v>
      </c>
      <c r="K2" s="7" t="s">
        <v>5</v>
      </c>
      <c r="L2" s="8" t="s">
        <v>6</v>
      </c>
      <c r="M2" s="8" t="s">
        <v>7</v>
      </c>
      <c r="N2" s="126" t="s">
        <v>8</v>
      </c>
      <c r="O2" s="88"/>
      <c r="P2" s="9" t="s">
        <v>9</v>
      </c>
      <c r="Q2" s="89"/>
      <c r="R2" s="90"/>
      <c r="S2" s="90"/>
      <c r="T2" s="90"/>
      <c r="U2" s="91"/>
    </row>
    <row r="3">
      <c r="A3" s="2" t="s">
        <v>1155</v>
      </c>
      <c r="C3" s="15"/>
      <c r="D3" s="16" t="s">
        <v>12</v>
      </c>
      <c r="E3" s="17">
        <f>SUM(I11:I104)-SUM(J11:J104)</f>
        <v>5765</v>
      </c>
      <c r="K3" s="127" t="s">
        <v>1156</v>
      </c>
      <c r="L3" s="74" t="s">
        <v>259</v>
      </c>
      <c r="M3" s="74" t="s">
        <v>1157</v>
      </c>
      <c r="N3" s="128"/>
      <c r="O3" s="88"/>
      <c r="P3" s="121" t="s">
        <v>636</v>
      </c>
      <c r="Q3" s="121">
        <v>2.0</v>
      </c>
      <c r="R3" s="118" t="s">
        <v>1158</v>
      </c>
      <c r="S3" s="118">
        <v>0.0</v>
      </c>
      <c r="T3" s="93"/>
      <c r="U3" s="93"/>
    </row>
    <row r="4">
      <c r="C4" s="26"/>
      <c r="D4" s="27" t="s">
        <v>15</v>
      </c>
      <c r="E4" s="28">
        <f>SUM(G11:G104)-SUM(H11:H104)</f>
        <v>50</v>
      </c>
      <c r="K4" s="2" t="s">
        <v>867</v>
      </c>
      <c r="L4" s="33" t="s">
        <v>546</v>
      </c>
      <c r="M4" s="78" t="s">
        <v>815</v>
      </c>
      <c r="N4" s="129"/>
      <c r="O4" s="88"/>
      <c r="P4" s="32" t="s">
        <v>1159</v>
      </c>
      <c r="Q4" s="32">
        <v>1.0</v>
      </c>
      <c r="R4" s="120" t="s">
        <v>733</v>
      </c>
      <c r="S4" s="120">
        <v>1.0</v>
      </c>
      <c r="T4" s="95"/>
      <c r="U4" s="95"/>
    </row>
    <row r="5">
      <c r="L5" s="34" t="s">
        <v>1160</v>
      </c>
      <c r="M5" s="74" t="s">
        <v>785</v>
      </c>
      <c r="N5" s="128"/>
      <c r="O5" s="88"/>
      <c r="P5" s="121" t="s">
        <v>265</v>
      </c>
      <c r="Q5" s="121">
        <v>2.0</v>
      </c>
      <c r="R5" s="118" t="s">
        <v>714</v>
      </c>
      <c r="S5" s="118">
        <v>1.0</v>
      </c>
      <c r="T5" s="93"/>
      <c r="U5" s="93"/>
    </row>
    <row r="6">
      <c r="L6" s="2" t="s">
        <v>397</v>
      </c>
      <c r="N6" s="129"/>
      <c r="O6" s="88"/>
      <c r="P6" s="120" t="s">
        <v>1161</v>
      </c>
      <c r="Q6" s="120">
        <v>1.0</v>
      </c>
      <c r="R6" s="120" t="s">
        <v>937</v>
      </c>
      <c r="S6" s="120">
        <v>1.0</v>
      </c>
      <c r="T6" s="95"/>
      <c r="U6" s="95"/>
    </row>
    <row r="7">
      <c r="N7" s="125"/>
      <c r="O7" s="96"/>
      <c r="P7" s="118" t="s">
        <v>13</v>
      </c>
      <c r="Q7" s="118">
        <v>2.0</v>
      </c>
      <c r="R7" s="93"/>
      <c r="S7" s="93"/>
      <c r="T7" s="93"/>
      <c r="U7" s="93"/>
    </row>
    <row r="8">
      <c r="K8" s="7" t="s">
        <v>17</v>
      </c>
      <c r="L8" s="74" t="s">
        <v>259</v>
      </c>
      <c r="M8" s="130" t="s">
        <v>546</v>
      </c>
      <c r="N8" s="34" t="s">
        <v>1160</v>
      </c>
      <c r="O8" s="88"/>
      <c r="P8" s="120" t="s">
        <v>1162</v>
      </c>
      <c r="Q8" s="120">
        <v>1.0</v>
      </c>
      <c r="R8" s="95"/>
      <c r="S8" s="95"/>
      <c r="T8" s="95"/>
      <c r="U8" s="95"/>
    </row>
    <row r="9">
      <c r="N9" s="125"/>
      <c r="O9" s="96"/>
      <c r="P9" s="118" t="s">
        <v>290</v>
      </c>
      <c r="Q9" s="118">
        <v>4.0</v>
      </c>
      <c r="R9" s="93"/>
      <c r="S9" s="93"/>
      <c r="T9" s="93"/>
      <c r="U9" s="93"/>
    </row>
    <row r="10">
      <c r="A10" s="37" t="s">
        <v>18</v>
      </c>
      <c r="B10" s="37" t="s">
        <v>19</v>
      </c>
      <c r="C10" s="37" t="s">
        <v>20</v>
      </c>
      <c r="D10" s="37" t="s">
        <v>21</v>
      </c>
      <c r="E10" s="37" t="s">
        <v>22</v>
      </c>
      <c r="F10" s="37" t="s">
        <v>399</v>
      </c>
      <c r="G10" s="37" t="s">
        <v>23</v>
      </c>
      <c r="H10" s="37" t="s">
        <v>24</v>
      </c>
      <c r="I10" s="37" t="s">
        <v>25</v>
      </c>
      <c r="J10" s="37" t="s">
        <v>26</v>
      </c>
      <c r="K10" s="37" t="s">
        <v>27</v>
      </c>
      <c r="L10" s="37" t="s">
        <v>28</v>
      </c>
      <c r="M10" s="37" t="s">
        <v>29</v>
      </c>
      <c r="N10" s="131" t="s">
        <v>30</v>
      </c>
      <c r="O10" s="97"/>
      <c r="P10" s="86"/>
      <c r="Q10" s="86"/>
      <c r="R10" s="86"/>
      <c r="S10" s="86"/>
      <c r="T10" s="86"/>
      <c r="U10" s="86"/>
      <c r="V10" s="38"/>
      <c r="W10" s="38"/>
      <c r="X10" s="38"/>
      <c r="Y10" s="38"/>
      <c r="Z10" s="38"/>
      <c r="AA10" s="38"/>
      <c r="AB10" s="38"/>
      <c r="AC10" s="38"/>
      <c r="AD10" s="38"/>
    </row>
    <row r="11">
      <c r="A11" s="39"/>
      <c r="B11" s="2" t="s">
        <v>1163</v>
      </c>
      <c r="C11" s="2" t="s">
        <v>1164</v>
      </c>
      <c r="D11" s="2" t="s">
        <v>1165</v>
      </c>
      <c r="E11" s="2">
        <v>1.0</v>
      </c>
      <c r="F11" s="2"/>
      <c r="G11" s="2">
        <v>10.0</v>
      </c>
      <c r="H11" s="2">
        <v>5.0</v>
      </c>
      <c r="I11" s="2">
        <v>80.0</v>
      </c>
      <c r="K11" s="2" t="s">
        <v>1166</v>
      </c>
      <c r="M11" s="2" t="s">
        <v>1167</v>
      </c>
      <c r="N11" s="132" t="s">
        <v>1168</v>
      </c>
      <c r="O11" s="86"/>
      <c r="P11" s="86"/>
      <c r="Q11" s="86"/>
      <c r="R11" s="86"/>
      <c r="S11" s="86"/>
      <c r="T11" s="86"/>
      <c r="U11" s="86"/>
    </row>
    <row r="12">
      <c r="A12" s="39"/>
      <c r="B12" s="133"/>
      <c r="C12" s="133"/>
      <c r="D12" s="2" t="s">
        <v>1165</v>
      </c>
      <c r="E12" s="2">
        <v>1.0</v>
      </c>
      <c r="F12" s="2"/>
      <c r="G12" s="2">
        <v>10.0</v>
      </c>
      <c r="I12" s="2">
        <v>80.0</v>
      </c>
      <c r="K12" s="2" t="s">
        <v>1169</v>
      </c>
      <c r="N12" s="125"/>
      <c r="O12" s="86"/>
      <c r="P12" s="86"/>
      <c r="Q12" s="86"/>
      <c r="R12" s="86"/>
      <c r="S12" s="86"/>
      <c r="T12" s="86"/>
      <c r="U12" s="86"/>
    </row>
    <row r="13">
      <c r="A13" s="39"/>
      <c r="D13" s="2" t="s">
        <v>1170</v>
      </c>
      <c r="E13" s="2">
        <v>2.0</v>
      </c>
      <c r="F13" s="2"/>
      <c r="G13" s="2">
        <v>30.0</v>
      </c>
      <c r="H13" s="2">
        <v>20.0</v>
      </c>
      <c r="I13" s="2">
        <v>80.0</v>
      </c>
      <c r="N13" s="132" t="s">
        <v>1171</v>
      </c>
      <c r="O13" s="86"/>
      <c r="P13" s="86"/>
      <c r="Q13" s="86"/>
      <c r="R13" s="86"/>
      <c r="S13" s="86"/>
      <c r="T13" s="86"/>
      <c r="U13" s="86"/>
    </row>
    <row r="14">
      <c r="A14" s="40">
        <v>43838.0</v>
      </c>
      <c r="B14" s="42"/>
      <c r="C14" s="41" t="s">
        <v>40</v>
      </c>
      <c r="D14" s="41" t="s">
        <v>1172</v>
      </c>
      <c r="E14" s="42"/>
      <c r="F14" s="42"/>
      <c r="G14" s="42"/>
      <c r="H14" s="41">
        <v>15.0</v>
      </c>
      <c r="I14" s="42"/>
      <c r="J14" s="42"/>
      <c r="K14" s="41" t="s">
        <v>1173</v>
      </c>
      <c r="L14" s="42"/>
      <c r="M14" s="42"/>
      <c r="N14" s="85" t="s">
        <v>1174</v>
      </c>
      <c r="O14" s="83"/>
      <c r="P14" s="83"/>
      <c r="Q14" s="83"/>
      <c r="R14" s="83"/>
      <c r="S14" s="83"/>
      <c r="T14" s="83"/>
      <c r="U14" s="83"/>
      <c r="V14" s="42"/>
      <c r="W14" s="42"/>
      <c r="X14" s="42"/>
      <c r="Y14" s="42"/>
      <c r="Z14" s="42"/>
      <c r="AA14" s="42"/>
      <c r="AB14" s="42"/>
      <c r="AC14" s="42"/>
      <c r="AD14" s="42"/>
    </row>
    <row r="15">
      <c r="A15" s="40">
        <v>43838.0</v>
      </c>
      <c r="B15" s="41"/>
      <c r="C15" s="41" t="s">
        <v>40</v>
      </c>
      <c r="D15" s="41"/>
      <c r="E15" s="41"/>
      <c r="F15" s="41"/>
      <c r="G15" s="41"/>
      <c r="H15" s="41">
        <v>15.0</v>
      </c>
      <c r="I15" s="41"/>
      <c r="J15" s="42"/>
      <c r="K15" s="41" t="s">
        <v>1175</v>
      </c>
      <c r="L15" s="42"/>
      <c r="M15" s="42"/>
      <c r="N15" s="134" t="s">
        <v>1176</v>
      </c>
      <c r="O15" s="83"/>
      <c r="P15" s="83"/>
      <c r="Q15" s="83"/>
      <c r="R15" s="83"/>
      <c r="S15" s="83"/>
      <c r="T15" s="83"/>
      <c r="U15" s="83"/>
      <c r="V15" s="42"/>
      <c r="W15" s="42"/>
      <c r="X15" s="42"/>
      <c r="Y15" s="42"/>
      <c r="Z15" s="42"/>
      <c r="AA15" s="42"/>
      <c r="AB15" s="42"/>
      <c r="AC15" s="42"/>
      <c r="AD15" s="42"/>
    </row>
    <row r="16">
      <c r="A16" s="40">
        <v>43850.0</v>
      </c>
      <c r="B16" s="41" t="s">
        <v>1177</v>
      </c>
      <c r="C16" s="41" t="s">
        <v>1178</v>
      </c>
      <c r="D16" s="41" t="s">
        <v>1179</v>
      </c>
      <c r="E16" s="41">
        <v>1.0</v>
      </c>
      <c r="F16" s="41"/>
      <c r="G16" s="41">
        <v>20.0</v>
      </c>
      <c r="H16" s="41"/>
      <c r="I16" s="41">
        <v>120.0</v>
      </c>
      <c r="J16" s="41"/>
      <c r="K16" s="41" t="s">
        <v>397</v>
      </c>
      <c r="L16" s="42"/>
      <c r="M16" s="42"/>
      <c r="N16" s="85" t="s">
        <v>1180</v>
      </c>
      <c r="O16" s="83"/>
      <c r="P16" s="83"/>
      <c r="Q16" s="83"/>
      <c r="R16" s="83"/>
      <c r="S16" s="83"/>
      <c r="T16" s="83"/>
      <c r="U16" s="83"/>
      <c r="V16" s="42"/>
      <c r="W16" s="42"/>
      <c r="X16" s="42"/>
      <c r="Y16" s="42"/>
      <c r="Z16" s="42"/>
      <c r="AA16" s="42"/>
      <c r="AB16" s="42"/>
      <c r="AC16" s="42"/>
      <c r="AD16" s="42"/>
    </row>
    <row r="17">
      <c r="A17" s="40">
        <v>43868.0</v>
      </c>
      <c r="B17" s="41" t="s">
        <v>1181</v>
      </c>
      <c r="C17" s="41" t="s">
        <v>585</v>
      </c>
      <c r="D17" s="41" t="s">
        <v>1170</v>
      </c>
      <c r="E17" s="41">
        <v>1.0</v>
      </c>
      <c r="F17" s="41"/>
      <c r="G17" s="41">
        <v>20.0</v>
      </c>
      <c r="H17" s="41"/>
      <c r="I17" s="41">
        <v>60.0</v>
      </c>
      <c r="J17" s="42"/>
      <c r="K17" s="41"/>
      <c r="L17" s="42"/>
      <c r="M17" s="41" t="s">
        <v>1182</v>
      </c>
      <c r="N17" s="85"/>
      <c r="O17" s="83"/>
      <c r="P17" s="83"/>
      <c r="Q17" s="83"/>
      <c r="R17" s="83"/>
      <c r="S17" s="83"/>
      <c r="T17" s="83"/>
      <c r="U17" s="83"/>
      <c r="V17" s="42"/>
      <c r="W17" s="42"/>
      <c r="X17" s="42"/>
      <c r="Y17" s="42"/>
      <c r="Z17" s="42"/>
      <c r="AA17" s="42"/>
      <c r="AB17" s="42"/>
      <c r="AC17" s="42"/>
      <c r="AD17" s="42"/>
    </row>
    <row r="18">
      <c r="A18" s="40">
        <v>43868.0</v>
      </c>
      <c r="B18" s="84" t="s">
        <v>952</v>
      </c>
      <c r="C18" s="41" t="s">
        <v>551</v>
      </c>
      <c r="D18" s="41" t="s">
        <v>1170</v>
      </c>
      <c r="E18" s="41">
        <v>1.0</v>
      </c>
      <c r="F18" s="41"/>
      <c r="G18" s="41">
        <v>20.0</v>
      </c>
      <c r="H18" s="42"/>
      <c r="I18" s="41">
        <v>60.0</v>
      </c>
      <c r="J18" s="42"/>
      <c r="K18" s="41" t="s">
        <v>552</v>
      </c>
      <c r="L18" s="42"/>
      <c r="M18" s="42"/>
      <c r="N18" s="135"/>
      <c r="O18" s="83"/>
      <c r="P18" s="83"/>
      <c r="Q18" s="83"/>
      <c r="R18" s="83"/>
      <c r="S18" s="83"/>
      <c r="T18" s="83"/>
      <c r="U18" s="83"/>
      <c r="V18" s="42"/>
      <c r="W18" s="42"/>
      <c r="X18" s="42"/>
      <c r="Y18" s="42"/>
      <c r="Z18" s="42"/>
      <c r="AA18" s="42"/>
      <c r="AB18" s="42"/>
      <c r="AC18" s="42"/>
      <c r="AD18" s="42"/>
    </row>
    <row r="19">
      <c r="A19" s="40">
        <v>43868.0</v>
      </c>
      <c r="B19" s="41"/>
      <c r="C19" s="41" t="s">
        <v>40</v>
      </c>
      <c r="D19" s="41"/>
      <c r="E19" s="41"/>
      <c r="F19" s="41"/>
      <c r="G19" s="41"/>
      <c r="H19" s="41">
        <v>15.0</v>
      </c>
      <c r="I19" s="41"/>
      <c r="J19" s="42"/>
      <c r="K19" s="41" t="s">
        <v>146</v>
      </c>
      <c r="L19" s="42"/>
      <c r="M19" s="42"/>
      <c r="N19" s="85" t="s">
        <v>1183</v>
      </c>
      <c r="O19" s="83"/>
      <c r="P19" s="83"/>
      <c r="Q19" s="83"/>
      <c r="R19" s="83"/>
      <c r="S19" s="83"/>
      <c r="T19" s="83"/>
      <c r="U19" s="83"/>
      <c r="V19" s="42"/>
      <c r="W19" s="42"/>
      <c r="X19" s="42"/>
      <c r="Y19" s="42"/>
      <c r="Z19" s="42"/>
      <c r="AA19" s="42"/>
      <c r="AB19" s="42"/>
      <c r="AC19" s="42"/>
      <c r="AD19" s="42"/>
    </row>
    <row r="20">
      <c r="A20" s="40">
        <v>43873.0</v>
      </c>
      <c r="B20" s="41" t="s">
        <v>1184</v>
      </c>
      <c r="C20" s="41" t="s">
        <v>1185</v>
      </c>
      <c r="D20" s="41" t="s">
        <v>1170</v>
      </c>
      <c r="E20" s="41">
        <v>1.0</v>
      </c>
      <c r="F20" s="41"/>
      <c r="G20" s="41">
        <v>20.0</v>
      </c>
      <c r="H20" s="41"/>
      <c r="I20" s="41">
        <v>120.0</v>
      </c>
      <c r="J20" s="42"/>
      <c r="K20" s="41" t="s">
        <v>261</v>
      </c>
      <c r="L20" s="42"/>
      <c r="M20" s="41" t="s">
        <v>1186</v>
      </c>
      <c r="N20" s="85"/>
      <c r="O20" s="83"/>
      <c r="P20" s="83"/>
      <c r="Q20" s="83"/>
      <c r="R20" s="83"/>
      <c r="S20" s="83"/>
      <c r="T20" s="83"/>
      <c r="U20" s="83"/>
      <c r="V20" s="42"/>
      <c r="W20" s="42"/>
      <c r="X20" s="42"/>
      <c r="Y20" s="42"/>
      <c r="Z20" s="42"/>
      <c r="AA20" s="42"/>
      <c r="AB20" s="42"/>
      <c r="AC20" s="42"/>
      <c r="AD20" s="42"/>
    </row>
    <row r="21">
      <c r="A21" s="40">
        <v>43874.0</v>
      </c>
      <c r="B21" s="42"/>
      <c r="C21" s="41" t="s">
        <v>40</v>
      </c>
      <c r="D21" s="42"/>
      <c r="E21" s="42"/>
      <c r="F21" s="42"/>
      <c r="G21" s="42"/>
      <c r="H21" s="41">
        <v>15.0</v>
      </c>
      <c r="I21" s="42"/>
      <c r="J21" s="42"/>
      <c r="K21" s="41" t="s">
        <v>615</v>
      </c>
      <c r="L21" s="42"/>
      <c r="M21" s="42"/>
      <c r="N21" s="85" t="s">
        <v>1187</v>
      </c>
      <c r="O21" s="83"/>
      <c r="P21" s="83"/>
      <c r="Q21" s="83"/>
      <c r="R21" s="83"/>
      <c r="S21" s="83"/>
      <c r="T21" s="83"/>
      <c r="U21" s="83"/>
      <c r="V21" s="42"/>
      <c r="W21" s="42"/>
      <c r="X21" s="42"/>
      <c r="Y21" s="42"/>
      <c r="Z21" s="42"/>
      <c r="AA21" s="42"/>
      <c r="AB21" s="42"/>
      <c r="AC21" s="42"/>
      <c r="AD21" s="42"/>
    </row>
    <row r="22">
      <c r="A22" s="40">
        <v>43876.0</v>
      </c>
      <c r="B22" s="41" t="s">
        <v>1188</v>
      </c>
      <c r="C22" s="41" t="s">
        <v>1189</v>
      </c>
      <c r="D22" s="41" t="s">
        <v>1190</v>
      </c>
      <c r="E22" s="41">
        <v>1.0</v>
      </c>
      <c r="F22" s="41"/>
      <c r="G22" s="41">
        <v>20.0</v>
      </c>
      <c r="H22" s="42"/>
      <c r="I22" s="41">
        <v>120.0</v>
      </c>
      <c r="J22" s="42"/>
      <c r="K22" s="41"/>
      <c r="L22" s="42"/>
      <c r="M22" s="42"/>
      <c r="N22" s="135"/>
      <c r="O22" s="83"/>
      <c r="P22" s="83"/>
      <c r="Q22" s="83"/>
      <c r="R22" s="83"/>
      <c r="S22" s="83"/>
      <c r="T22" s="83"/>
      <c r="U22" s="83"/>
      <c r="V22" s="42"/>
      <c r="W22" s="42"/>
      <c r="X22" s="42"/>
      <c r="Y22" s="42"/>
      <c r="Z22" s="42"/>
      <c r="AA22" s="42"/>
      <c r="AB22" s="42"/>
      <c r="AC22" s="42"/>
      <c r="AD22" s="42"/>
    </row>
    <row r="23">
      <c r="A23" s="40">
        <v>43877.0</v>
      </c>
      <c r="B23" s="42"/>
      <c r="C23" s="41" t="s">
        <v>40</v>
      </c>
      <c r="D23" s="42"/>
      <c r="E23" s="42"/>
      <c r="F23" s="42"/>
      <c r="G23" s="42"/>
      <c r="H23" s="41">
        <v>15.0</v>
      </c>
      <c r="I23" s="42"/>
      <c r="J23" s="42"/>
      <c r="K23" s="41" t="s">
        <v>1191</v>
      </c>
      <c r="L23" s="42"/>
      <c r="M23" s="42"/>
      <c r="N23" s="85" t="s">
        <v>1192</v>
      </c>
      <c r="O23" s="83"/>
      <c r="P23" s="83"/>
      <c r="Q23" s="83"/>
      <c r="R23" s="83"/>
      <c r="S23" s="83"/>
      <c r="T23" s="83"/>
      <c r="U23" s="83"/>
      <c r="V23" s="42"/>
      <c r="W23" s="42"/>
      <c r="X23" s="42"/>
      <c r="Y23" s="42"/>
      <c r="Z23" s="42"/>
      <c r="AA23" s="42"/>
      <c r="AB23" s="42"/>
      <c r="AC23" s="42"/>
      <c r="AD23" s="42"/>
    </row>
    <row r="24">
      <c r="A24" s="40">
        <v>43877.0</v>
      </c>
      <c r="B24" s="41" t="s">
        <v>1193</v>
      </c>
      <c r="C24" s="41" t="s">
        <v>1194</v>
      </c>
      <c r="D24" s="41" t="s">
        <v>1195</v>
      </c>
      <c r="E24" s="41">
        <v>0.0</v>
      </c>
      <c r="F24" s="42"/>
      <c r="G24" s="42"/>
      <c r="H24" s="42"/>
      <c r="I24" s="41">
        <v>120.0</v>
      </c>
      <c r="J24" s="42"/>
      <c r="K24" s="41"/>
      <c r="L24" s="41" t="s">
        <v>265</v>
      </c>
      <c r="M24" s="42"/>
      <c r="N24" s="135"/>
      <c r="O24" s="83"/>
      <c r="P24" s="83"/>
      <c r="Q24" s="83"/>
      <c r="R24" s="83"/>
      <c r="S24" s="83"/>
      <c r="T24" s="83"/>
      <c r="U24" s="83"/>
      <c r="V24" s="42"/>
      <c r="W24" s="42"/>
      <c r="X24" s="42"/>
      <c r="Y24" s="42"/>
      <c r="Z24" s="42"/>
      <c r="AA24" s="42"/>
      <c r="AB24" s="42"/>
      <c r="AC24" s="42"/>
      <c r="AD24" s="42"/>
    </row>
    <row r="25">
      <c r="A25" s="40">
        <v>43877.0</v>
      </c>
      <c r="B25" s="41" t="s">
        <v>1196</v>
      </c>
      <c r="C25" s="41" t="s">
        <v>1197</v>
      </c>
      <c r="D25" s="41" t="s">
        <v>528</v>
      </c>
      <c r="E25" s="41">
        <v>0.0</v>
      </c>
      <c r="F25" s="42"/>
      <c r="G25" s="42"/>
      <c r="H25" s="42"/>
      <c r="I25" s="41">
        <v>120.0</v>
      </c>
      <c r="J25" s="42"/>
      <c r="K25" s="42"/>
      <c r="L25" s="42"/>
      <c r="M25" s="42"/>
      <c r="N25" s="135"/>
      <c r="O25" s="83"/>
      <c r="P25" s="83"/>
      <c r="Q25" s="83"/>
      <c r="R25" s="83"/>
      <c r="S25" s="83"/>
      <c r="T25" s="83"/>
      <c r="U25" s="83"/>
      <c r="V25" s="42"/>
      <c r="W25" s="42"/>
      <c r="X25" s="42"/>
      <c r="Y25" s="42"/>
      <c r="Z25" s="42"/>
      <c r="AA25" s="42"/>
      <c r="AB25" s="42"/>
      <c r="AC25" s="42"/>
      <c r="AD25" s="42"/>
    </row>
    <row r="26">
      <c r="A26" s="40">
        <v>43878.0</v>
      </c>
      <c r="B26" s="42"/>
      <c r="C26" s="41" t="s">
        <v>40</v>
      </c>
      <c r="D26" s="42"/>
      <c r="E26" s="42"/>
      <c r="F26" s="42"/>
      <c r="G26" s="42"/>
      <c r="H26" s="41">
        <v>15.0</v>
      </c>
      <c r="I26" s="42"/>
      <c r="J26" s="42"/>
      <c r="K26" s="41" t="s">
        <v>1166</v>
      </c>
      <c r="L26" s="42"/>
      <c r="M26" s="42"/>
      <c r="N26" s="85" t="s">
        <v>1198</v>
      </c>
      <c r="O26" s="83"/>
      <c r="P26" s="83"/>
      <c r="Q26" s="83"/>
      <c r="R26" s="83"/>
      <c r="S26" s="83"/>
      <c r="T26" s="83"/>
      <c r="U26" s="83"/>
      <c r="V26" s="42"/>
      <c r="W26" s="42"/>
      <c r="X26" s="42"/>
      <c r="Y26" s="42"/>
      <c r="Z26" s="42"/>
      <c r="AA26" s="42"/>
      <c r="AB26" s="42"/>
      <c r="AC26" s="42"/>
      <c r="AD26" s="42"/>
    </row>
    <row r="27">
      <c r="A27" s="40">
        <v>43889.0</v>
      </c>
      <c r="B27" s="41" t="s">
        <v>1199</v>
      </c>
      <c r="C27" s="41" t="s">
        <v>1200</v>
      </c>
      <c r="D27" s="41" t="s">
        <v>1201</v>
      </c>
      <c r="E27" s="41">
        <v>0.0</v>
      </c>
      <c r="F27" s="42"/>
      <c r="G27" s="42"/>
      <c r="H27" s="42"/>
      <c r="I27" s="41">
        <v>0.0</v>
      </c>
      <c r="J27" s="42"/>
      <c r="K27" s="41"/>
      <c r="L27" s="42"/>
      <c r="M27" s="42"/>
      <c r="N27" s="135"/>
      <c r="O27" s="83"/>
      <c r="P27" s="83"/>
      <c r="Q27" s="83"/>
      <c r="R27" s="83"/>
      <c r="S27" s="83"/>
      <c r="T27" s="83"/>
      <c r="U27" s="83"/>
      <c r="V27" s="42"/>
      <c r="W27" s="42"/>
      <c r="X27" s="42"/>
      <c r="Y27" s="42"/>
      <c r="Z27" s="42"/>
      <c r="AA27" s="42"/>
      <c r="AB27" s="42"/>
      <c r="AC27" s="42"/>
      <c r="AD27" s="42"/>
    </row>
    <row r="28">
      <c r="A28" s="40">
        <v>43898.0</v>
      </c>
      <c r="B28" s="41" t="s">
        <v>919</v>
      </c>
      <c r="C28" s="41" t="s">
        <v>1202</v>
      </c>
      <c r="D28" s="41" t="s">
        <v>408</v>
      </c>
      <c r="E28" s="41">
        <v>0.0</v>
      </c>
      <c r="F28" s="42"/>
      <c r="G28" s="42"/>
      <c r="H28" s="42"/>
      <c r="I28" s="42"/>
      <c r="J28" s="42"/>
      <c r="K28" s="41" t="s">
        <v>1203</v>
      </c>
      <c r="L28" s="42"/>
      <c r="M28" s="42"/>
      <c r="N28" s="135"/>
      <c r="O28" s="83"/>
      <c r="P28" s="83"/>
      <c r="Q28" s="83"/>
      <c r="R28" s="83"/>
      <c r="S28" s="83"/>
      <c r="T28" s="83"/>
      <c r="U28" s="83"/>
      <c r="V28" s="42"/>
      <c r="W28" s="42"/>
      <c r="X28" s="42"/>
      <c r="Y28" s="42"/>
      <c r="Z28" s="42"/>
      <c r="AA28" s="42"/>
      <c r="AB28" s="42"/>
      <c r="AC28" s="42"/>
      <c r="AD28" s="42"/>
    </row>
    <row r="29">
      <c r="A29" s="40">
        <v>43900.0</v>
      </c>
      <c r="B29" s="42"/>
      <c r="C29" s="41" t="s">
        <v>40</v>
      </c>
      <c r="D29" s="41" t="s">
        <v>1204</v>
      </c>
      <c r="E29" s="42"/>
      <c r="F29" s="42"/>
      <c r="G29" s="42"/>
      <c r="H29" s="41">
        <v>15.0</v>
      </c>
      <c r="I29" s="42"/>
      <c r="J29" s="42"/>
      <c r="K29" s="41" t="s">
        <v>1156</v>
      </c>
      <c r="L29" s="42"/>
      <c r="M29" s="42"/>
      <c r="N29" s="85" t="s">
        <v>1205</v>
      </c>
      <c r="O29" s="83"/>
      <c r="P29" s="83"/>
      <c r="Q29" s="83"/>
      <c r="R29" s="83"/>
      <c r="S29" s="83"/>
      <c r="T29" s="83"/>
      <c r="U29" s="83"/>
      <c r="V29" s="42"/>
      <c r="W29" s="42"/>
      <c r="X29" s="42"/>
      <c r="Y29" s="42"/>
      <c r="Z29" s="42"/>
      <c r="AA29" s="42"/>
      <c r="AB29" s="42"/>
      <c r="AC29" s="42"/>
      <c r="AD29" s="42"/>
    </row>
    <row r="30">
      <c r="A30" s="40">
        <v>43925.0</v>
      </c>
      <c r="B30" s="41" t="s">
        <v>1206</v>
      </c>
      <c r="C30" s="41" t="s">
        <v>947</v>
      </c>
      <c r="D30" s="41" t="s">
        <v>448</v>
      </c>
      <c r="E30" s="41">
        <v>0.0</v>
      </c>
      <c r="F30" s="42"/>
      <c r="G30" s="42"/>
      <c r="H30" s="42"/>
      <c r="I30" s="42"/>
      <c r="J30" s="42"/>
      <c r="K30" s="41"/>
      <c r="L30" s="42"/>
      <c r="M30" s="41" t="s">
        <v>1207</v>
      </c>
      <c r="N30" s="135"/>
      <c r="O30" s="83"/>
      <c r="P30" s="83"/>
      <c r="Q30" s="83"/>
      <c r="R30" s="83"/>
      <c r="S30" s="83"/>
      <c r="T30" s="83"/>
      <c r="U30" s="83"/>
      <c r="V30" s="42"/>
      <c r="W30" s="42"/>
      <c r="X30" s="42"/>
      <c r="Y30" s="42"/>
      <c r="Z30" s="42"/>
      <c r="AA30" s="42"/>
      <c r="AB30" s="42"/>
      <c r="AC30" s="42"/>
      <c r="AD30" s="42"/>
    </row>
    <row r="31">
      <c r="A31" s="40">
        <v>43933.0</v>
      </c>
      <c r="B31" s="41" t="s">
        <v>1208</v>
      </c>
      <c r="C31" s="41" t="s">
        <v>1209</v>
      </c>
      <c r="D31" s="41" t="s">
        <v>544</v>
      </c>
      <c r="E31" s="41">
        <v>0.0</v>
      </c>
      <c r="F31" s="42"/>
      <c r="G31" s="42"/>
      <c r="H31" s="42"/>
      <c r="I31" s="42"/>
      <c r="J31" s="42"/>
      <c r="K31" s="42"/>
      <c r="L31" s="42"/>
      <c r="M31" s="41" t="s">
        <v>1210</v>
      </c>
      <c r="N31" s="135"/>
      <c r="O31" s="83"/>
      <c r="P31" s="83"/>
      <c r="Q31" s="83"/>
      <c r="R31" s="83"/>
      <c r="S31" s="83"/>
      <c r="T31" s="83"/>
      <c r="U31" s="83"/>
      <c r="V31" s="42"/>
      <c r="W31" s="42"/>
      <c r="X31" s="42"/>
      <c r="Y31" s="42"/>
      <c r="Z31" s="42"/>
      <c r="AA31" s="42"/>
      <c r="AB31" s="42"/>
      <c r="AC31" s="42"/>
      <c r="AD31" s="42"/>
    </row>
    <row r="32">
      <c r="A32" s="40">
        <v>43933.0</v>
      </c>
      <c r="B32" s="41" t="s">
        <v>1211</v>
      </c>
      <c r="C32" s="41" t="s">
        <v>1212</v>
      </c>
      <c r="D32" s="41" t="s">
        <v>544</v>
      </c>
      <c r="E32" s="41">
        <v>0.0</v>
      </c>
      <c r="F32" s="42"/>
      <c r="G32" s="42"/>
      <c r="H32" s="42"/>
      <c r="I32" s="42"/>
      <c r="J32" s="42"/>
      <c r="K32" s="42"/>
      <c r="L32" s="42"/>
      <c r="M32" s="42"/>
      <c r="N32" s="135"/>
      <c r="O32" s="83"/>
      <c r="P32" s="83"/>
      <c r="Q32" s="83"/>
      <c r="R32" s="83"/>
      <c r="S32" s="83"/>
      <c r="T32" s="83"/>
      <c r="U32" s="83"/>
      <c r="V32" s="42"/>
      <c r="W32" s="42"/>
      <c r="X32" s="42"/>
      <c r="Y32" s="42"/>
      <c r="Z32" s="42"/>
      <c r="AA32" s="42"/>
      <c r="AB32" s="42"/>
      <c r="AC32" s="42"/>
      <c r="AD32" s="42"/>
    </row>
    <row r="33">
      <c r="A33" s="40">
        <v>43965.0</v>
      </c>
      <c r="B33" s="42"/>
      <c r="C33" s="41" t="s">
        <v>40</v>
      </c>
      <c r="D33" s="42"/>
      <c r="E33" s="42"/>
      <c r="F33" s="42"/>
      <c r="G33" s="42"/>
      <c r="H33" s="41">
        <v>15.0</v>
      </c>
      <c r="I33" s="42"/>
      <c r="J33" s="42"/>
      <c r="K33" s="41" t="s">
        <v>259</v>
      </c>
      <c r="L33" s="42"/>
      <c r="M33" s="42"/>
      <c r="N33" s="85" t="s">
        <v>1213</v>
      </c>
      <c r="O33" s="83"/>
      <c r="P33" s="83"/>
      <c r="Q33" s="83"/>
      <c r="R33" s="83"/>
      <c r="S33" s="83"/>
      <c r="T33" s="83"/>
      <c r="U33" s="83"/>
      <c r="V33" s="42"/>
      <c r="W33" s="42"/>
      <c r="X33" s="42"/>
      <c r="Y33" s="42"/>
      <c r="Z33" s="42"/>
      <c r="AA33" s="42"/>
      <c r="AB33" s="42"/>
      <c r="AC33" s="42"/>
      <c r="AD33" s="42"/>
    </row>
    <row r="34">
      <c r="A34" s="40">
        <v>43965.0</v>
      </c>
      <c r="B34" s="41" t="s">
        <v>1214</v>
      </c>
      <c r="C34" s="41" t="s">
        <v>1215</v>
      </c>
      <c r="D34" s="41" t="s">
        <v>408</v>
      </c>
      <c r="E34" s="41">
        <v>0.0</v>
      </c>
      <c r="F34" s="42"/>
      <c r="G34" s="42"/>
      <c r="H34" s="42"/>
      <c r="I34" s="42"/>
      <c r="J34" s="42"/>
      <c r="K34" s="41" t="s">
        <v>1216</v>
      </c>
      <c r="L34" s="42"/>
      <c r="M34" s="42"/>
      <c r="N34" s="135"/>
      <c r="O34" s="83"/>
      <c r="P34" s="83"/>
      <c r="Q34" s="83"/>
      <c r="R34" s="83"/>
      <c r="S34" s="83"/>
      <c r="T34" s="83"/>
      <c r="U34" s="83"/>
      <c r="V34" s="42"/>
      <c r="W34" s="42"/>
      <c r="X34" s="42"/>
      <c r="Y34" s="42"/>
      <c r="Z34" s="42"/>
      <c r="AA34" s="42"/>
      <c r="AB34" s="42"/>
      <c r="AC34" s="42"/>
      <c r="AD34" s="42"/>
    </row>
    <row r="35">
      <c r="A35" s="40">
        <v>43965.0</v>
      </c>
      <c r="B35" s="41" t="s">
        <v>1217</v>
      </c>
      <c r="C35" s="41" t="s">
        <v>1218</v>
      </c>
      <c r="D35" s="41" t="s">
        <v>328</v>
      </c>
      <c r="E35" s="41">
        <v>0.0</v>
      </c>
      <c r="F35" s="42"/>
      <c r="G35" s="42"/>
      <c r="H35" s="42"/>
      <c r="I35" s="42"/>
      <c r="J35" s="42"/>
      <c r="K35" s="41"/>
      <c r="L35" s="41"/>
      <c r="M35" s="41" t="s">
        <v>1219</v>
      </c>
      <c r="N35" s="135"/>
      <c r="O35" s="83"/>
      <c r="P35" s="83"/>
      <c r="Q35" s="83"/>
      <c r="R35" s="83"/>
      <c r="S35" s="83"/>
      <c r="T35" s="83"/>
      <c r="U35" s="83"/>
      <c r="V35" s="42"/>
      <c r="W35" s="42"/>
      <c r="X35" s="42"/>
      <c r="Y35" s="42"/>
      <c r="Z35" s="42"/>
      <c r="AA35" s="42"/>
      <c r="AB35" s="42"/>
      <c r="AC35" s="42"/>
      <c r="AD35" s="42"/>
    </row>
    <row r="36">
      <c r="A36" s="40">
        <v>43967.0</v>
      </c>
      <c r="B36" s="41" t="s">
        <v>919</v>
      </c>
      <c r="C36" s="41" t="s">
        <v>920</v>
      </c>
      <c r="D36" s="41" t="s">
        <v>1220</v>
      </c>
      <c r="E36" s="41">
        <v>0.0</v>
      </c>
      <c r="F36" s="41"/>
      <c r="G36" s="41"/>
      <c r="H36" s="42"/>
      <c r="I36" s="42"/>
      <c r="J36" s="41">
        <v>300.0</v>
      </c>
      <c r="K36" s="41" t="s">
        <v>1221</v>
      </c>
      <c r="L36" s="41" t="s">
        <v>1222</v>
      </c>
      <c r="M36" s="41" t="s">
        <v>1223</v>
      </c>
      <c r="N36" s="85" t="s">
        <v>1224</v>
      </c>
      <c r="O36" s="83"/>
      <c r="P36" s="83"/>
      <c r="Q36" s="83"/>
      <c r="R36" s="83"/>
      <c r="S36" s="83"/>
      <c r="T36" s="83"/>
      <c r="U36" s="83"/>
      <c r="V36" s="42"/>
      <c r="W36" s="42"/>
      <c r="X36" s="42"/>
      <c r="Y36" s="42"/>
      <c r="Z36" s="42"/>
      <c r="AA36" s="42"/>
      <c r="AB36" s="42"/>
      <c r="AC36" s="42"/>
      <c r="AD36" s="42"/>
    </row>
    <row r="37">
      <c r="A37" s="40">
        <v>43978.0</v>
      </c>
      <c r="B37" s="41" t="s">
        <v>1225</v>
      </c>
      <c r="C37" s="41" t="s">
        <v>1226</v>
      </c>
      <c r="D37" s="41" t="s">
        <v>58</v>
      </c>
      <c r="E37" s="41">
        <v>0.0</v>
      </c>
      <c r="F37" s="42"/>
      <c r="G37" s="42"/>
      <c r="H37" s="42"/>
      <c r="I37" s="42"/>
      <c r="J37" s="42"/>
      <c r="K37" s="41"/>
      <c r="L37" s="42"/>
      <c r="M37" s="42"/>
      <c r="N37" s="135"/>
      <c r="O37" s="83"/>
      <c r="P37" s="83"/>
      <c r="Q37" s="83"/>
      <c r="R37" s="83"/>
      <c r="S37" s="83"/>
      <c r="T37" s="83"/>
      <c r="U37" s="83"/>
      <c r="V37" s="42"/>
      <c r="W37" s="42"/>
      <c r="X37" s="42"/>
      <c r="Y37" s="42"/>
      <c r="Z37" s="42"/>
      <c r="AA37" s="42"/>
      <c r="AB37" s="42"/>
      <c r="AC37" s="42"/>
      <c r="AD37" s="42"/>
    </row>
    <row r="38">
      <c r="A38" s="40">
        <v>43999.0</v>
      </c>
      <c r="B38" s="41" t="s">
        <v>1227</v>
      </c>
      <c r="C38" s="41" t="s">
        <v>1228</v>
      </c>
      <c r="D38" s="41" t="s">
        <v>328</v>
      </c>
      <c r="E38" s="41">
        <v>0.0</v>
      </c>
      <c r="F38" s="42"/>
      <c r="G38" s="42"/>
      <c r="H38" s="42"/>
      <c r="I38" s="42"/>
      <c r="J38" s="42"/>
      <c r="K38" s="41"/>
      <c r="L38" s="42"/>
      <c r="M38" s="41" t="s">
        <v>1229</v>
      </c>
      <c r="N38" s="85" t="s">
        <v>1230</v>
      </c>
      <c r="O38" s="83"/>
      <c r="P38" s="83"/>
      <c r="Q38" s="83"/>
      <c r="R38" s="83"/>
      <c r="S38" s="83"/>
      <c r="T38" s="83"/>
      <c r="U38" s="83"/>
      <c r="V38" s="42"/>
      <c r="W38" s="42"/>
      <c r="X38" s="42"/>
      <c r="Y38" s="42"/>
      <c r="Z38" s="42"/>
      <c r="AA38" s="42"/>
      <c r="AB38" s="42"/>
      <c r="AC38" s="42"/>
      <c r="AD38" s="42"/>
    </row>
    <row r="39">
      <c r="A39" s="40">
        <v>44012.0</v>
      </c>
      <c r="B39" s="41" t="s">
        <v>1231</v>
      </c>
      <c r="C39" s="41" t="s">
        <v>1232</v>
      </c>
      <c r="D39" s="41" t="s">
        <v>510</v>
      </c>
      <c r="E39" s="41">
        <v>0.0</v>
      </c>
      <c r="F39" s="42"/>
      <c r="G39" s="42"/>
      <c r="H39" s="42"/>
      <c r="I39" s="42"/>
      <c r="J39" s="42"/>
      <c r="K39" s="41"/>
      <c r="L39" s="42"/>
      <c r="M39" s="41" t="s">
        <v>1233</v>
      </c>
      <c r="N39" s="135"/>
      <c r="O39" s="83"/>
      <c r="P39" s="83"/>
      <c r="Q39" s="83"/>
      <c r="R39" s="83"/>
      <c r="S39" s="83"/>
      <c r="T39" s="83"/>
      <c r="U39" s="83"/>
      <c r="V39" s="42"/>
      <c r="W39" s="42"/>
      <c r="X39" s="42"/>
      <c r="Y39" s="42"/>
      <c r="Z39" s="42"/>
      <c r="AA39" s="42"/>
      <c r="AB39" s="42"/>
      <c r="AC39" s="42"/>
      <c r="AD39" s="42"/>
    </row>
    <row r="40">
      <c r="A40" s="40">
        <v>44019.0</v>
      </c>
      <c r="B40" s="41" t="s">
        <v>1234</v>
      </c>
      <c r="C40" s="41" t="s">
        <v>1235</v>
      </c>
      <c r="D40" s="41" t="s">
        <v>510</v>
      </c>
      <c r="E40" s="41">
        <v>0.0</v>
      </c>
      <c r="F40" s="42"/>
      <c r="G40" s="42"/>
      <c r="H40" s="42"/>
      <c r="I40" s="42"/>
      <c r="J40" s="42"/>
      <c r="K40" s="41"/>
      <c r="L40" s="42"/>
      <c r="M40" s="41" t="s">
        <v>1236</v>
      </c>
      <c r="N40" s="135"/>
      <c r="O40" s="83"/>
      <c r="P40" s="83"/>
      <c r="Q40" s="83"/>
      <c r="R40" s="83"/>
      <c r="S40" s="83"/>
      <c r="T40" s="83"/>
      <c r="U40" s="83"/>
      <c r="V40" s="42"/>
      <c r="W40" s="42"/>
      <c r="X40" s="42"/>
      <c r="Y40" s="42"/>
      <c r="Z40" s="42"/>
      <c r="AA40" s="42"/>
      <c r="AB40" s="42"/>
      <c r="AC40" s="42"/>
      <c r="AD40" s="42"/>
    </row>
    <row r="41">
      <c r="A41" s="40">
        <v>44026.0</v>
      </c>
      <c r="B41" s="41" t="s">
        <v>1237</v>
      </c>
      <c r="C41" s="41" t="s">
        <v>1238</v>
      </c>
      <c r="D41" s="41" t="s">
        <v>510</v>
      </c>
      <c r="E41" s="41">
        <v>0.0</v>
      </c>
      <c r="F41" s="42"/>
      <c r="G41" s="42"/>
      <c r="H41" s="42"/>
      <c r="I41" s="42"/>
      <c r="J41" s="42"/>
      <c r="K41" s="41"/>
      <c r="L41" s="41" t="s">
        <v>265</v>
      </c>
      <c r="M41" s="42"/>
      <c r="N41" s="135"/>
      <c r="O41" s="83"/>
      <c r="P41" s="83"/>
      <c r="Q41" s="83"/>
      <c r="R41" s="83"/>
      <c r="S41" s="83"/>
      <c r="T41" s="83"/>
      <c r="U41" s="83"/>
      <c r="V41" s="42"/>
      <c r="W41" s="42"/>
      <c r="X41" s="42"/>
      <c r="Y41" s="42"/>
      <c r="Z41" s="42"/>
      <c r="AA41" s="42"/>
      <c r="AB41" s="42"/>
      <c r="AC41" s="42"/>
      <c r="AD41" s="42"/>
    </row>
    <row r="42">
      <c r="A42" s="40">
        <v>44030.0</v>
      </c>
      <c r="B42" s="41" t="s">
        <v>1239</v>
      </c>
      <c r="C42" s="41" t="s">
        <v>1240</v>
      </c>
      <c r="D42" s="41" t="s">
        <v>1241</v>
      </c>
      <c r="E42" s="41">
        <v>0.0</v>
      </c>
      <c r="F42" s="41"/>
      <c r="G42" s="41"/>
      <c r="H42" s="42"/>
      <c r="I42" s="42"/>
      <c r="J42" s="42"/>
      <c r="K42" s="41"/>
      <c r="L42" s="42"/>
      <c r="M42" s="42"/>
      <c r="N42" s="135"/>
      <c r="O42" s="83"/>
      <c r="P42" s="83"/>
      <c r="Q42" s="83"/>
      <c r="R42" s="83"/>
      <c r="S42" s="83"/>
      <c r="T42" s="83"/>
      <c r="U42" s="83"/>
      <c r="V42" s="42"/>
      <c r="W42" s="42"/>
      <c r="X42" s="42"/>
      <c r="Y42" s="42"/>
      <c r="Z42" s="42"/>
      <c r="AA42" s="42"/>
      <c r="AB42" s="42"/>
      <c r="AC42" s="42"/>
      <c r="AD42" s="42"/>
    </row>
    <row r="43">
      <c r="A43" s="40">
        <v>44033.0</v>
      </c>
      <c r="B43" s="41" t="s">
        <v>1242</v>
      </c>
      <c r="C43" s="41" t="s">
        <v>1243</v>
      </c>
      <c r="D43" s="41" t="s">
        <v>510</v>
      </c>
      <c r="E43" s="41">
        <v>1.0</v>
      </c>
      <c r="F43" s="41"/>
      <c r="G43" s="41">
        <v>20.0</v>
      </c>
      <c r="H43" s="42"/>
      <c r="I43" s="42"/>
      <c r="J43" s="41">
        <v>4.0</v>
      </c>
      <c r="K43" s="41" t="s">
        <v>1244</v>
      </c>
      <c r="L43" s="42"/>
      <c r="M43" s="42"/>
      <c r="N43" s="41" t="s">
        <v>1245</v>
      </c>
      <c r="O43" s="42"/>
      <c r="P43" s="42"/>
      <c r="Q43" s="42"/>
      <c r="R43" s="42"/>
      <c r="S43" s="42"/>
      <c r="T43" s="42"/>
      <c r="U43" s="42"/>
      <c r="V43" s="42"/>
      <c r="W43" s="42"/>
      <c r="X43" s="42"/>
      <c r="Y43" s="42"/>
      <c r="Z43" s="42"/>
      <c r="AA43" s="42"/>
      <c r="AB43" s="42"/>
      <c r="AC43" s="42"/>
      <c r="AD43" s="42"/>
    </row>
    <row r="44">
      <c r="A44" s="39">
        <v>44054.0</v>
      </c>
      <c r="B44" s="2" t="s">
        <v>1246</v>
      </c>
      <c r="C44" s="2" t="s">
        <v>1247</v>
      </c>
      <c r="D44" s="2" t="s">
        <v>1248</v>
      </c>
      <c r="E44" s="2">
        <v>0.0</v>
      </c>
      <c r="I44" s="2">
        <v>800.0</v>
      </c>
      <c r="K44" s="2" t="s">
        <v>1249</v>
      </c>
      <c r="N44" s="132"/>
      <c r="O44" s="86"/>
      <c r="P44" s="86"/>
      <c r="Q44" s="86"/>
      <c r="R44" s="86"/>
      <c r="S44" s="86"/>
      <c r="T44" s="86"/>
      <c r="U44" s="86"/>
    </row>
    <row r="45">
      <c r="A45" s="39">
        <v>44054.0</v>
      </c>
      <c r="C45" s="2" t="s">
        <v>40</v>
      </c>
      <c r="H45" s="2">
        <v>15.0</v>
      </c>
      <c r="K45" s="2" t="s">
        <v>785</v>
      </c>
      <c r="N45" s="132" t="s">
        <v>1250</v>
      </c>
      <c r="O45" s="86"/>
      <c r="P45" s="86"/>
      <c r="Q45" s="86"/>
      <c r="R45" s="86"/>
      <c r="S45" s="86"/>
      <c r="T45" s="86"/>
      <c r="U45" s="86"/>
    </row>
    <row r="46">
      <c r="A46" s="39">
        <v>44105.0</v>
      </c>
      <c r="B46" s="2" t="s">
        <v>1251</v>
      </c>
      <c r="C46" s="2" t="s">
        <v>1082</v>
      </c>
      <c r="D46" s="2" t="s">
        <v>328</v>
      </c>
      <c r="E46" s="2">
        <v>1.0</v>
      </c>
      <c r="F46" s="2"/>
      <c r="G46" s="2">
        <v>20.0</v>
      </c>
      <c r="I46" s="2">
        <v>600.0</v>
      </c>
      <c r="K46" s="2" t="s">
        <v>1252</v>
      </c>
      <c r="N46" s="132" t="s">
        <v>1253</v>
      </c>
      <c r="O46" s="86"/>
      <c r="P46" s="86"/>
      <c r="Q46" s="86"/>
      <c r="R46" s="86"/>
      <c r="S46" s="86"/>
      <c r="T46" s="86"/>
      <c r="U46" s="86"/>
    </row>
    <row r="47">
      <c r="A47" s="39">
        <v>44106.0</v>
      </c>
      <c r="C47" s="2" t="s">
        <v>40</v>
      </c>
      <c r="H47" s="2">
        <v>15.0</v>
      </c>
      <c r="K47" s="2" t="s">
        <v>362</v>
      </c>
      <c r="N47" s="132" t="s">
        <v>1254</v>
      </c>
      <c r="O47" s="86"/>
      <c r="P47" s="86"/>
      <c r="Q47" s="86"/>
      <c r="R47" s="86"/>
      <c r="S47" s="86"/>
      <c r="T47" s="86"/>
      <c r="U47" s="86"/>
    </row>
    <row r="48">
      <c r="A48" s="39">
        <v>44135.0</v>
      </c>
      <c r="B48" s="2" t="s">
        <v>919</v>
      </c>
      <c r="C48" s="2" t="s">
        <v>1255</v>
      </c>
      <c r="D48" s="2" t="s">
        <v>58</v>
      </c>
      <c r="E48" s="2">
        <v>0.0</v>
      </c>
      <c r="I48" s="2">
        <v>600.0</v>
      </c>
      <c r="J48" s="2">
        <v>1600.0</v>
      </c>
      <c r="N48" s="132" t="s">
        <v>1256</v>
      </c>
      <c r="O48" s="86"/>
      <c r="P48" s="86"/>
      <c r="Q48" s="86"/>
      <c r="R48" s="86"/>
      <c r="S48" s="86"/>
      <c r="T48" s="86"/>
      <c r="U48" s="86"/>
    </row>
    <row r="49">
      <c r="A49" s="39">
        <v>44135.0</v>
      </c>
      <c r="B49" s="2" t="s">
        <v>919</v>
      </c>
      <c r="C49" s="2" t="s">
        <v>1257</v>
      </c>
      <c r="D49" s="2" t="s">
        <v>58</v>
      </c>
      <c r="E49" s="2">
        <v>1.0</v>
      </c>
      <c r="F49" s="2"/>
      <c r="G49" s="2">
        <v>20.0</v>
      </c>
      <c r="I49" s="2">
        <v>600.0</v>
      </c>
      <c r="K49" s="2" t="s">
        <v>1258</v>
      </c>
      <c r="L49" s="2" t="s">
        <v>1259</v>
      </c>
      <c r="N49" s="125"/>
      <c r="O49" s="86"/>
      <c r="P49" s="86"/>
      <c r="Q49" s="86"/>
      <c r="R49" s="86"/>
      <c r="S49" s="86"/>
      <c r="T49" s="86"/>
      <c r="U49" s="86"/>
    </row>
    <row r="50">
      <c r="A50" s="39">
        <v>44136.0</v>
      </c>
      <c r="C50" s="2" t="s">
        <v>238</v>
      </c>
      <c r="E50" s="2">
        <v>1.0</v>
      </c>
      <c r="F50" s="2"/>
      <c r="G50" s="2">
        <v>20.0</v>
      </c>
      <c r="I50" s="2">
        <v>1600.0</v>
      </c>
      <c r="N50" s="125"/>
      <c r="O50" s="86"/>
      <c r="P50" s="86"/>
      <c r="Q50" s="86"/>
      <c r="R50" s="86"/>
      <c r="S50" s="86"/>
      <c r="T50" s="86"/>
      <c r="U50" s="86"/>
    </row>
    <row r="51">
      <c r="A51" s="39">
        <v>44136.0</v>
      </c>
      <c r="B51" s="2"/>
      <c r="C51" s="2" t="s">
        <v>40</v>
      </c>
      <c r="D51" s="2"/>
      <c r="E51" s="2"/>
      <c r="H51" s="2">
        <v>15.0</v>
      </c>
      <c r="I51" s="2"/>
      <c r="J51" s="2"/>
      <c r="K51" s="2" t="s">
        <v>1157</v>
      </c>
      <c r="M51" s="2"/>
      <c r="N51" s="132" t="s">
        <v>1260</v>
      </c>
      <c r="O51" s="86"/>
      <c r="P51" s="86"/>
      <c r="Q51" s="86"/>
      <c r="R51" s="86"/>
      <c r="S51" s="86"/>
      <c r="T51" s="86"/>
      <c r="U51" s="86"/>
    </row>
    <row r="52">
      <c r="A52" s="39">
        <v>44136.0</v>
      </c>
      <c r="B52" s="2"/>
      <c r="C52" s="2" t="s">
        <v>40</v>
      </c>
      <c r="D52" s="2"/>
      <c r="E52" s="2"/>
      <c r="H52" s="2">
        <v>15.0</v>
      </c>
      <c r="I52" s="2"/>
      <c r="J52" s="2"/>
      <c r="K52" s="2" t="s">
        <v>259</v>
      </c>
      <c r="M52" s="2"/>
      <c r="N52" s="132" t="s">
        <v>1261</v>
      </c>
      <c r="O52" s="86"/>
      <c r="P52" s="86"/>
      <c r="Q52" s="86"/>
      <c r="R52" s="86"/>
      <c r="S52" s="86"/>
      <c r="T52" s="86"/>
      <c r="U52" s="86"/>
    </row>
    <row r="53">
      <c r="A53" s="39">
        <v>44160.0</v>
      </c>
      <c r="B53" s="2" t="s">
        <v>1069</v>
      </c>
      <c r="C53" s="2" t="s">
        <v>1070</v>
      </c>
      <c r="D53" s="2" t="s">
        <v>528</v>
      </c>
      <c r="E53" s="2">
        <v>0.0</v>
      </c>
      <c r="I53" s="2">
        <v>800.0</v>
      </c>
      <c r="J53" s="2">
        <v>466.0</v>
      </c>
      <c r="K53" s="2" t="s">
        <v>815</v>
      </c>
      <c r="M53" s="2" t="s">
        <v>1262</v>
      </c>
      <c r="N53" s="132" t="s">
        <v>1263</v>
      </c>
      <c r="O53" s="86"/>
      <c r="P53" s="86"/>
      <c r="Q53" s="86"/>
      <c r="R53" s="86"/>
      <c r="S53" s="86"/>
      <c r="T53" s="86"/>
      <c r="U53" s="86"/>
    </row>
    <row r="54">
      <c r="A54" s="39">
        <v>44175.0</v>
      </c>
      <c r="B54" s="2" t="s">
        <v>1264</v>
      </c>
      <c r="C54" s="2" t="s">
        <v>1265</v>
      </c>
      <c r="D54" s="2" t="s">
        <v>111</v>
      </c>
      <c r="E54" s="2">
        <v>0.0</v>
      </c>
      <c r="I54" s="2">
        <v>800.0</v>
      </c>
      <c r="K54" s="2" t="s">
        <v>1266</v>
      </c>
      <c r="L54" s="2" t="s">
        <v>265</v>
      </c>
      <c r="M54" s="2" t="s">
        <v>1267</v>
      </c>
      <c r="N54" s="125"/>
      <c r="O54" s="86"/>
      <c r="P54" s="86"/>
      <c r="Q54" s="86"/>
      <c r="R54" s="86"/>
      <c r="S54" s="86"/>
      <c r="T54" s="86"/>
      <c r="U54" s="86"/>
    </row>
    <row r="55">
      <c r="A55" s="39">
        <v>44192.0</v>
      </c>
      <c r="B55" s="2" t="s">
        <v>1268</v>
      </c>
      <c r="C55" s="2" t="s">
        <v>1269</v>
      </c>
      <c r="D55" s="2" t="s">
        <v>328</v>
      </c>
      <c r="E55" s="2">
        <v>0.0</v>
      </c>
      <c r="K55" s="2" t="s">
        <v>1270</v>
      </c>
      <c r="M55" s="2" t="s">
        <v>1271</v>
      </c>
      <c r="N55" s="125"/>
      <c r="O55" s="86"/>
      <c r="P55" s="86"/>
      <c r="Q55" s="86"/>
      <c r="R55" s="86"/>
      <c r="S55" s="86"/>
      <c r="T55" s="86"/>
      <c r="U55" s="86"/>
    </row>
    <row r="56">
      <c r="A56" s="39">
        <v>44195.0</v>
      </c>
      <c r="B56" s="2" t="s">
        <v>1272</v>
      </c>
      <c r="C56" s="2" t="s">
        <v>1026</v>
      </c>
      <c r="D56" s="2" t="s">
        <v>328</v>
      </c>
      <c r="E56" s="2">
        <v>0.0</v>
      </c>
      <c r="K56" s="2" t="s">
        <v>994</v>
      </c>
      <c r="M56" s="2" t="s">
        <v>1273</v>
      </c>
      <c r="N56" s="125"/>
      <c r="O56" s="86"/>
      <c r="P56" s="86"/>
      <c r="Q56" s="86"/>
      <c r="R56" s="86"/>
      <c r="S56" s="86"/>
      <c r="T56" s="86"/>
      <c r="U56" s="86"/>
    </row>
    <row r="57">
      <c r="A57" s="39">
        <v>44199.0</v>
      </c>
      <c r="B57" s="2" t="s">
        <v>1274</v>
      </c>
      <c r="C57" s="2" t="s">
        <v>1275</v>
      </c>
      <c r="D57" s="2" t="s">
        <v>111</v>
      </c>
      <c r="E57" s="2">
        <v>1.0</v>
      </c>
      <c r="J57" s="2">
        <v>425.0</v>
      </c>
      <c r="K57" s="2" t="s">
        <v>1276</v>
      </c>
      <c r="M57" s="2" t="s">
        <v>1277</v>
      </c>
      <c r="N57" s="132" t="s">
        <v>1278</v>
      </c>
      <c r="O57" s="86"/>
      <c r="P57" s="86"/>
      <c r="Q57" s="86"/>
      <c r="R57" s="86"/>
      <c r="S57" s="86"/>
      <c r="T57" s="86"/>
      <c r="U57" s="86"/>
    </row>
    <row r="58">
      <c r="A58" s="2" t="s">
        <v>1279</v>
      </c>
      <c r="N58" s="125"/>
      <c r="O58" s="86"/>
      <c r="P58" s="86"/>
      <c r="Q58" s="86"/>
      <c r="R58" s="86"/>
      <c r="S58" s="86"/>
      <c r="T58" s="86"/>
      <c r="U58" s="86"/>
    </row>
    <row r="59">
      <c r="B59" s="2" t="s">
        <v>1280</v>
      </c>
      <c r="C59" s="2" t="s">
        <v>1281</v>
      </c>
      <c r="D59" s="2" t="s">
        <v>58</v>
      </c>
      <c r="E59" s="2">
        <v>1.0</v>
      </c>
      <c r="F59" s="2"/>
      <c r="G59" s="2">
        <v>20.0</v>
      </c>
      <c r="I59" s="2">
        <v>800.0</v>
      </c>
      <c r="M59" s="2" t="s">
        <v>1282</v>
      </c>
      <c r="N59" s="125"/>
      <c r="O59" s="86"/>
      <c r="P59" s="86"/>
      <c r="Q59" s="86"/>
      <c r="R59" s="86"/>
      <c r="S59" s="86"/>
      <c r="T59" s="86"/>
      <c r="U59" s="86"/>
    </row>
    <row r="60">
      <c r="A60" s="39">
        <v>44390.0</v>
      </c>
      <c r="B60" s="2" t="s">
        <v>1283</v>
      </c>
      <c r="C60" s="2" t="s">
        <v>1150</v>
      </c>
      <c r="D60" s="2" t="s">
        <v>37</v>
      </c>
      <c r="F60" s="2">
        <v>4.0</v>
      </c>
      <c r="N60" s="125"/>
      <c r="O60" s="86"/>
      <c r="P60" s="86"/>
      <c r="Q60" s="86"/>
      <c r="R60" s="86"/>
      <c r="S60" s="86"/>
      <c r="T60" s="86"/>
      <c r="U60" s="86"/>
    </row>
    <row r="61">
      <c r="A61" s="39">
        <v>45805.0</v>
      </c>
      <c r="C61" s="2" t="s">
        <v>238</v>
      </c>
      <c r="G61" s="2">
        <v>10.0</v>
      </c>
      <c r="I61" s="2">
        <v>1000.0</v>
      </c>
      <c r="K61" s="2" t="s">
        <v>1284</v>
      </c>
      <c r="N61" s="125"/>
      <c r="O61" s="86"/>
      <c r="P61" s="86"/>
      <c r="Q61" s="86"/>
      <c r="R61" s="86"/>
      <c r="S61" s="86"/>
      <c r="T61" s="86"/>
      <c r="U61" s="86"/>
    </row>
    <row r="62">
      <c r="A62" s="39">
        <v>45805.0</v>
      </c>
      <c r="C62" s="2" t="s">
        <v>40</v>
      </c>
      <c r="D62" s="2" t="s">
        <v>179</v>
      </c>
      <c r="H62" s="2">
        <v>5.0</v>
      </c>
      <c r="K62" s="2" t="s">
        <v>1156</v>
      </c>
      <c r="N62" s="132" t="s">
        <v>1285</v>
      </c>
      <c r="O62" s="86"/>
      <c r="P62" s="86"/>
      <c r="Q62" s="86"/>
      <c r="R62" s="86"/>
      <c r="S62" s="86"/>
      <c r="T62" s="86"/>
      <c r="U62" s="86"/>
    </row>
    <row r="63">
      <c r="N63" s="125"/>
      <c r="O63" s="86"/>
      <c r="P63" s="86"/>
      <c r="Q63" s="86"/>
      <c r="R63" s="86"/>
      <c r="S63" s="86"/>
      <c r="T63" s="86"/>
      <c r="U63" s="86"/>
    </row>
    <row r="64">
      <c r="N64" s="125"/>
      <c r="O64" s="86"/>
      <c r="P64" s="86"/>
      <c r="Q64" s="86"/>
      <c r="R64" s="86"/>
      <c r="S64" s="86"/>
      <c r="T64" s="86"/>
      <c r="U64" s="86"/>
    </row>
    <row r="65">
      <c r="N65" s="125"/>
      <c r="O65" s="86"/>
      <c r="P65" s="86"/>
      <c r="Q65" s="86"/>
      <c r="R65" s="86"/>
      <c r="S65" s="86"/>
      <c r="T65" s="86"/>
      <c r="U65" s="86"/>
    </row>
    <row r="66">
      <c r="N66" s="125"/>
      <c r="O66" s="86"/>
      <c r="P66" s="86"/>
      <c r="Q66" s="86"/>
      <c r="R66" s="86"/>
      <c r="S66" s="86"/>
      <c r="T66" s="86"/>
      <c r="U66" s="86"/>
    </row>
    <row r="67">
      <c r="N67" s="125"/>
      <c r="O67" s="86"/>
      <c r="P67" s="86"/>
      <c r="Q67" s="86"/>
      <c r="R67" s="86"/>
      <c r="S67" s="86"/>
      <c r="T67" s="86"/>
      <c r="U67" s="86"/>
    </row>
    <row r="68">
      <c r="N68" s="125"/>
      <c r="O68" s="86"/>
      <c r="P68" s="86"/>
      <c r="Q68" s="86"/>
      <c r="R68" s="86"/>
      <c r="S68" s="86"/>
      <c r="T68" s="86"/>
      <c r="U68" s="86"/>
    </row>
    <row r="69">
      <c r="N69" s="125"/>
      <c r="O69" s="86"/>
      <c r="P69" s="86"/>
      <c r="Q69" s="86"/>
      <c r="R69" s="86"/>
      <c r="S69" s="86"/>
      <c r="T69" s="86"/>
      <c r="U69" s="86"/>
    </row>
    <row r="70">
      <c r="N70" s="125"/>
      <c r="O70" s="86"/>
      <c r="P70" s="86"/>
      <c r="Q70" s="86"/>
      <c r="R70" s="86"/>
      <c r="S70" s="86"/>
      <c r="T70" s="86"/>
      <c r="U70" s="86"/>
    </row>
    <row r="71">
      <c r="N71" s="125"/>
      <c r="O71" s="86"/>
      <c r="P71" s="86"/>
      <c r="Q71" s="86"/>
      <c r="R71" s="86"/>
      <c r="S71" s="86"/>
      <c r="T71" s="86"/>
      <c r="U71" s="86"/>
    </row>
    <row r="72">
      <c r="N72" s="125"/>
      <c r="O72" s="86"/>
      <c r="P72" s="86"/>
      <c r="Q72" s="86"/>
      <c r="R72" s="86"/>
      <c r="S72" s="86"/>
      <c r="T72" s="86"/>
      <c r="U72" s="86"/>
    </row>
    <row r="73">
      <c r="N73" s="125"/>
      <c r="O73" s="86"/>
      <c r="P73" s="86"/>
      <c r="Q73" s="86"/>
      <c r="R73" s="86"/>
      <c r="S73" s="86"/>
      <c r="T73" s="86"/>
      <c r="U73" s="86"/>
    </row>
    <row r="74">
      <c r="N74" s="125"/>
      <c r="O74" s="86"/>
      <c r="P74" s="86"/>
      <c r="Q74" s="86"/>
      <c r="R74" s="86"/>
      <c r="S74" s="86"/>
      <c r="T74" s="86"/>
      <c r="U74" s="86"/>
    </row>
    <row r="75">
      <c r="N75" s="125"/>
      <c r="O75" s="86"/>
      <c r="P75" s="86"/>
      <c r="Q75" s="86"/>
      <c r="R75" s="86"/>
      <c r="S75" s="86"/>
      <c r="T75" s="86"/>
      <c r="U75" s="86"/>
    </row>
    <row r="76">
      <c r="N76" s="125"/>
      <c r="O76" s="86"/>
      <c r="P76" s="86"/>
      <c r="Q76" s="86"/>
      <c r="R76" s="86"/>
      <c r="S76" s="86"/>
      <c r="T76" s="86"/>
      <c r="U76" s="86"/>
    </row>
    <row r="77">
      <c r="N77" s="125"/>
      <c r="O77" s="86"/>
      <c r="P77" s="86"/>
      <c r="Q77" s="86"/>
      <c r="R77" s="86"/>
      <c r="S77" s="86"/>
      <c r="T77" s="86"/>
      <c r="U77" s="86"/>
    </row>
    <row r="78">
      <c r="N78" s="125"/>
      <c r="O78" s="86"/>
      <c r="P78" s="86"/>
      <c r="Q78" s="86"/>
      <c r="R78" s="86"/>
      <c r="S78" s="86"/>
      <c r="T78" s="86"/>
      <c r="U78" s="86"/>
    </row>
    <row r="79">
      <c r="N79" s="125"/>
      <c r="O79" s="86"/>
      <c r="P79" s="86"/>
      <c r="Q79" s="86"/>
      <c r="R79" s="86"/>
      <c r="S79" s="86"/>
      <c r="T79" s="86"/>
      <c r="U79" s="86"/>
    </row>
    <row r="80">
      <c r="N80" s="125"/>
      <c r="O80" s="86"/>
      <c r="P80" s="86"/>
      <c r="Q80" s="86"/>
      <c r="R80" s="86"/>
      <c r="S80" s="86"/>
      <c r="T80" s="86"/>
      <c r="U80" s="86"/>
    </row>
    <row r="81">
      <c r="N81" s="125"/>
      <c r="O81" s="86"/>
      <c r="P81" s="86"/>
      <c r="Q81" s="86"/>
      <c r="R81" s="86"/>
      <c r="S81" s="86"/>
      <c r="T81" s="86"/>
      <c r="U81" s="86"/>
    </row>
    <row r="82">
      <c r="N82" s="125"/>
      <c r="O82" s="86"/>
      <c r="P82" s="86"/>
      <c r="Q82" s="86"/>
      <c r="R82" s="86"/>
      <c r="S82" s="86"/>
      <c r="T82" s="86"/>
      <c r="U82" s="86"/>
    </row>
    <row r="83">
      <c r="N83" s="125"/>
      <c r="O83" s="86"/>
      <c r="P83" s="86"/>
      <c r="Q83" s="86"/>
      <c r="R83" s="86"/>
      <c r="S83" s="86"/>
      <c r="T83" s="86"/>
      <c r="U83" s="86"/>
    </row>
    <row r="84">
      <c r="N84" s="125"/>
      <c r="O84" s="86"/>
      <c r="P84" s="86"/>
      <c r="Q84" s="86"/>
      <c r="R84" s="86"/>
      <c r="S84" s="86"/>
      <c r="T84" s="86"/>
      <c r="U84" s="86"/>
    </row>
    <row r="85">
      <c r="N85" s="125"/>
      <c r="O85" s="86"/>
      <c r="P85" s="86"/>
      <c r="Q85" s="86"/>
      <c r="R85" s="86"/>
      <c r="S85" s="86"/>
      <c r="T85" s="86"/>
      <c r="U85" s="86"/>
    </row>
    <row r="86">
      <c r="N86" s="125"/>
      <c r="O86" s="86"/>
      <c r="P86" s="86"/>
      <c r="Q86" s="86"/>
      <c r="R86" s="86"/>
      <c r="S86" s="86"/>
      <c r="T86" s="86"/>
      <c r="U86" s="86"/>
    </row>
    <row r="87">
      <c r="N87" s="125"/>
      <c r="O87" s="86"/>
      <c r="P87" s="86"/>
      <c r="Q87" s="86"/>
      <c r="R87" s="86"/>
      <c r="S87" s="86"/>
      <c r="T87" s="86"/>
      <c r="U87" s="86"/>
    </row>
    <row r="88">
      <c r="N88" s="125"/>
      <c r="O88" s="86"/>
      <c r="P88" s="86"/>
      <c r="Q88" s="86"/>
      <c r="R88" s="86"/>
      <c r="S88" s="86"/>
      <c r="T88" s="86"/>
      <c r="U88" s="86"/>
    </row>
    <row r="89">
      <c r="N89" s="125"/>
      <c r="O89" s="86"/>
      <c r="P89" s="86"/>
      <c r="Q89" s="86"/>
      <c r="R89" s="86"/>
      <c r="S89" s="86"/>
      <c r="T89" s="86"/>
      <c r="U89" s="86"/>
    </row>
    <row r="90">
      <c r="N90" s="125"/>
      <c r="O90" s="86"/>
      <c r="P90" s="86"/>
      <c r="Q90" s="86"/>
      <c r="R90" s="86"/>
      <c r="S90" s="86"/>
      <c r="T90" s="86"/>
      <c r="U90" s="86"/>
    </row>
    <row r="91">
      <c r="N91" s="125"/>
      <c r="O91" s="86"/>
      <c r="P91" s="86"/>
      <c r="Q91" s="86"/>
      <c r="R91" s="86"/>
      <c r="S91" s="86"/>
      <c r="T91" s="86"/>
      <c r="U91" s="86"/>
    </row>
    <row r="92">
      <c r="N92" s="125"/>
      <c r="O92" s="86"/>
      <c r="P92" s="86"/>
      <c r="Q92" s="86"/>
      <c r="R92" s="86"/>
      <c r="S92" s="86"/>
      <c r="T92" s="86"/>
      <c r="U92" s="86"/>
    </row>
    <row r="93">
      <c r="N93" s="125"/>
      <c r="O93" s="86"/>
      <c r="P93" s="86"/>
      <c r="Q93" s="86"/>
      <c r="R93" s="86"/>
      <c r="S93" s="86"/>
      <c r="T93" s="86"/>
      <c r="U93" s="86"/>
    </row>
    <row r="94">
      <c r="N94" s="125"/>
      <c r="O94" s="86"/>
      <c r="P94" s="86"/>
      <c r="Q94" s="86"/>
      <c r="R94" s="86"/>
      <c r="S94" s="86"/>
      <c r="T94" s="86"/>
      <c r="U94" s="86"/>
    </row>
    <row r="95">
      <c r="N95" s="125"/>
      <c r="O95" s="86"/>
      <c r="P95" s="86"/>
      <c r="Q95" s="86"/>
      <c r="R95" s="86"/>
      <c r="S95" s="86"/>
      <c r="T95" s="86"/>
      <c r="U95" s="86"/>
    </row>
    <row r="96">
      <c r="N96" s="125"/>
      <c r="O96" s="86"/>
      <c r="P96" s="86"/>
      <c r="Q96" s="86"/>
      <c r="R96" s="86"/>
      <c r="S96" s="86"/>
      <c r="T96" s="86"/>
      <c r="U96" s="86"/>
    </row>
    <row r="97">
      <c r="N97" s="125"/>
      <c r="O97" s="86"/>
      <c r="P97" s="86"/>
      <c r="Q97" s="86"/>
      <c r="R97" s="86"/>
      <c r="S97" s="86"/>
      <c r="T97" s="86"/>
      <c r="U97" s="86"/>
    </row>
    <row r="98">
      <c r="N98" s="125"/>
      <c r="O98" s="86"/>
      <c r="P98" s="86"/>
      <c r="Q98" s="86"/>
      <c r="R98" s="86"/>
      <c r="S98" s="86"/>
      <c r="T98" s="86"/>
      <c r="U98" s="86"/>
    </row>
    <row r="99">
      <c r="N99" s="125"/>
      <c r="O99" s="86"/>
      <c r="P99" s="86"/>
      <c r="Q99" s="86"/>
      <c r="R99" s="86"/>
      <c r="S99" s="86"/>
      <c r="T99" s="86"/>
      <c r="U99" s="86"/>
    </row>
    <row r="100">
      <c r="N100" s="125"/>
      <c r="O100" s="86"/>
      <c r="P100" s="86"/>
      <c r="Q100" s="86"/>
      <c r="R100" s="86"/>
      <c r="S100" s="86"/>
      <c r="T100" s="86"/>
      <c r="U100" s="86"/>
    </row>
    <row r="101">
      <c r="N101" s="125"/>
      <c r="O101" s="86"/>
      <c r="P101" s="86"/>
      <c r="Q101" s="86"/>
      <c r="R101" s="86"/>
      <c r="S101" s="86"/>
      <c r="T101" s="86"/>
      <c r="U101" s="86"/>
    </row>
    <row r="102">
      <c r="N102" s="125"/>
      <c r="O102" s="86"/>
      <c r="P102" s="86"/>
      <c r="Q102" s="86"/>
      <c r="R102" s="86"/>
      <c r="S102" s="86"/>
      <c r="T102" s="86"/>
      <c r="U102" s="86"/>
    </row>
    <row r="103">
      <c r="N103" s="125"/>
      <c r="O103" s="86"/>
      <c r="P103" s="86"/>
      <c r="Q103" s="86"/>
      <c r="R103" s="86"/>
      <c r="S103" s="86"/>
      <c r="T103" s="86"/>
      <c r="U103" s="86"/>
    </row>
    <row r="104">
      <c r="N104" s="125"/>
      <c r="O104" s="86"/>
      <c r="P104" s="86"/>
      <c r="Q104" s="86"/>
      <c r="R104" s="86"/>
      <c r="S104" s="86"/>
      <c r="T104" s="86"/>
      <c r="U104" s="86"/>
    </row>
    <row r="105">
      <c r="N105" s="125"/>
      <c r="O105" s="86"/>
      <c r="P105" s="86"/>
      <c r="Q105" s="86"/>
      <c r="R105" s="86"/>
      <c r="S105" s="86"/>
      <c r="T105" s="86"/>
      <c r="U105" s="86"/>
    </row>
    <row r="106">
      <c r="N106" s="125"/>
      <c r="O106" s="86"/>
      <c r="P106" s="86"/>
      <c r="Q106" s="86"/>
      <c r="R106" s="86"/>
      <c r="S106" s="86"/>
      <c r="T106" s="86"/>
      <c r="U106" s="86"/>
    </row>
    <row r="107">
      <c r="N107" s="125"/>
      <c r="O107" s="86"/>
      <c r="P107" s="86"/>
      <c r="Q107" s="86"/>
      <c r="R107" s="86"/>
      <c r="S107" s="86"/>
      <c r="T107" s="86"/>
      <c r="U107" s="86"/>
    </row>
    <row r="108">
      <c r="N108" s="125"/>
      <c r="O108" s="86"/>
      <c r="P108" s="86"/>
      <c r="Q108" s="86"/>
      <c r="R108" s="86"/>
      <c r="S108" s="86"/>
      <c r="T108" s="86"/>
      <c r="U108" s="86"/>
    </row>
    <row r="109">
      <c r="N109" s="125"/>
      <c r="O109" s="86"/>
      <c r="P109" s="86"/>
      <c r="Q109" s="86"/>
      <c r="R109" s="86"/>
      <c r="S109" s="86"/>
      <c r="T109" s="86"/>
      <c r="U109" s="86"/>
    </row>
    <row r="110">
      <c r="N110" s="125"/>
      <c r="O110" s="86"/>
      <c r="P110" s="86"/>
      <c r="Q110" s="86"/>
      <c r="R110" s="86"/>
      <c r="S110" s="86"/>
      <c r="T110" s="86"/>
      <c r="U110" s="86"/>
    </row>
    <row r="111">
      <c r="N111" s="125"/>
      <c r="O111" s="86"/>
      <c r="P111" s="86"/>
      <c r="Q111" s="86"/>
      <c r="R111" s="86"/>
      <c r="S111" s="86"/>
      <c r="T111" s="86"/>
      <c r="U111" s="86"/>
    </row>
    <row r="112">
      <c r="N112" s="125"/>
      <c r="O112" s="86"/>
      <c r="P112" s="86"/>
      <c r="Q112" s="86"/>
      <c r="R112" s="86"/>
      <c r="S112" s="86"/>
      <c r="T112" s="86"/>
      <c r="U112" s="86"/>
    </row>
    <row r="113">
      <c r="N113" s="125"/>
      <c r="O113" s="86"/>
      <c r="P113" s="86"/>
      <c r="Q113" s="86"/>
      <c r="R113" s="86"/>
      <c r="S113" s="86"/>
      <c r="T113" s="86"/>
      <c r="U113" s="86"/>
    </row>
    <row r="114">
      <c r="N114" s="125"/>
      <c r="O114" s="86"/>
      <c r="P114" s="86"/>
      <c r="Q114" s="86"/>
      <c r="R114" s="86"/>
      <c r="S114" s="86"/>
      <c r="T114" s="86"/>
      <c r="U114" s="86"/>
    </row>
    <row r="115">
      <c r="N115" s="125"/>
      <c r="O115" s="86"/>
      <c r="P115" s="86"/>
      <c r="Q115" s="86"/>
      <c r="R115" s="86"/>
      <c r="S115" s="86"/>
      <c r="T115" s="86"/>
      <c r="U115" s="86"/>
    </row>
    <row r="116">
      <c r="N116" s="125"/>
      <c r="O116" s="86"/>
      <c r="P116" s="86"/>
      <c r="Q116" s="86"/>
      <c r="R116" s="86"/>
      <c r="S116" s="86"/>
      <c r="T116" s="86"/>
      <c r="U116" s="86"/>
    </row>
    <row r="117">
      <c r="N117" s="125"/>
      <c r="O117" s="86"/>
      <c r="P117" s="86"/>
      <c r="Q117" s="86"/>
      <c r="R117" s="86"/>
      <c r="S117" s="86"/>
      <c r="T117" s="86"/>
      <c r="U117" s="86"/>
    </row>
    <row r="118">
      <c r="N118" s="125"/>
      <c r="O118" s="86"/>
      <c r="P118" s="86"/>
      <c r="Q118" s="86"/>
      <c r="R118" s="86"/>
      <c r="S118" s="86"/>
      <c r="T118" s="86"/>
      <c r="U118" s="86"/>
    </row>
    <row r="119">
      <c r="N119" s="125"/>
      <c r="O119" s="86"/>
      <c r="P119" s="86"/>
      <c r="Q119" s="86"/>
      <c r="R119" s="86"/>
      <c r="S119" s="86"/>
      <c r="T119" s="86"/>
      <c r="U119" s="86"/>
    </row>
    <row r="120">
      <c r="N120" s="125"/>
      <c r="O120" s="86"/>
      <c r="P120" s="86"/>
      <c r="Q120" s="86"/>
      <c r="R120" s="86"/>
      <c r="S120" s="86"/>
      <c r="T120" s="86"/>
      <c r="U120" s="86"/>
    </row>
    <row r="121">
      <c r="N121" s="125"/>
      <c r="O121" s="86"/>
      <c r="P121" s="86"/>
      <c r="Q121" s="86"/>
      <c r="R121" s="86"/>
      <c r="S121" s="86"/>
      <c r="T121" s="86"/>
      <c r="U121" s="86"/>
    </row>
    <row r="122">
      <c r="N122" s="125"/>
      <c r="O122" s="86"/>
      <c r="P122" s="86"/>
      <c r="Q122" s="86"/>
      <c r="R122" s="86"/>
      <c r="S122" s="86"/>
      <c r="T122" s="86"/>
      <c r="U122" s="86"/>
    </row>
    <row r="123">
      <c r="N123" s="125"/>
      <c r="O123" s="86"/>
      <c r="P123" s="86"/>
      <c r="Q123" s="86"/>
      <c r="R123" s="86"/>
      <c r="S123" s="86"/>
      <c r="T123" s="86"/>
      <c r="U123" s="86"/>
    </row>
    <row r="124">
      <c r="N124" s="125"/>
      <c r="O124" s="86"/>
      <c r="P124" s="86"/>
      <c r="Q124" s="86"/>
      <c r="R124" s="86"/>
      <c r="S124" s="86"/>
      <c r="T124" s="86"/>
      <c r="U124" s="86"/>
    </row>
    <row r="125">
      <c r="N125" s="125"/>
      <c r="O125" s="86"/>
      <c r="P125" s="86"/>
      <c r="Q125" s="86"/>
      <c r="R125" s="86"/>
      <c r="S125" s="86"/>
      <c r="T125" s="86"/>
      <c r="U125" s="86"/>
    </row>
    <row r="126">
      <c r="N126" s="125"/>
      <c r="O126" s="86"/>
      <c r="P126" s="86"/>
      <c r="Q126" s="86"/>
      <c r="R126" s="86"/>
      <c r="S126" s="86"/>
      <c r="T126" s="86"/>
      <c r="U126" s="86"/>
    </row>
    <row r="127">
      <c r="N127" s="125"/>
      <c r="O127" s="86"/>
      <c r="P127" s="86"/>
      <c r="Q127" s="86"/>
      <c r="R127" s="86"/>
      <c r="S127" s="86"/>
      <c r="T127" s="86"/>
      <c r="U127" s="86"/>
    </row>
    <row r="128">
      <c r="N128" s="125"/>
      <c r="O128" s="86"/>
      <c r="P128" s="86"/>
      <c r="Q128" s="86"/>
      <c r="R128" s="86"/>
      <c r="S128" s="86"/>
      <c r="T128" s="86"/>
      <c r="U128" s="86"/>
    </row>
    <row r="129">
      <c r="N129" s="125"/>
      <c r="O129" s="86"/>
      <c r="P129" s="86"/>
      <c r="Q129" s="86"/>
      <c r="R129" s="86"/>
      <c r="S129" s="86"/>
      <c r="T129" s="86"/>
      <c r="U129" s="86"/>
    </row>
    <row r="130">
      <c r="N130" s="125"/>
      <c r="O130" s="86"/>
      <c r="P130" s="86"/>
      <c r="Q130" s="86"/>
      <c r="R130" s="86"/>
      <c r="S130" s="86"/>
      <c r="T130" s="86"/>
      <c r="U130" s="86"/>
    </row>
    <row r="131">
      <c r="N131" s="125"/>
      <c r="O131" s="86"/>
      <c r="P131" s="86"/>
      <c r="Q131" s="86"/>
      <c r="R131" s="86"/>
      <c r="S131" s="86"/>
      <c r="T131" s="86"/>
      <c r="U131" s="86"/>
    </row>
    <row r="132">
      <c r="N132" s="125"/>
      <c r="O132" s="86"/>
      <c r="P132" s="86"/>
      <c r="Q132" s="86"/>
      <c r="R132" s="86"/>
      <c r="S132" s="86"/>
      <c r="T132" s="86"/>
      <c r="U132" s="86"/>
    </row>
    <row r="133">
      <c r="N133" s="125"/>
      <c r="O133" s="86"/>
      <c r="P133" s="86"/>
      <c r="Q133" s="86"/>
      <c r="R133" s="86"/>
      <c r="S133" s="86"/>
      <c r="T133" s="86"/>
      <c r="U133" s="86"/>
    </row>
    <row r="134">
      <c r="N134" s="125"/>
      <c r="O134" s="86"/>
      <c r="P134" s="86"/>
      <c r="Q134" s="86"/>
      <c r="R134" s="86"/>
      <c r="S134" s="86"/>
      <c r="T134" s="86"/>
      <c r="U134" s="86"/>
    </row>
    <row r="135">
      <c r="N135" s="125"/>
      <c r="O135" s="86"/>
      <c r="P135" s="86"/>
      <c r="Q135" s="86"/>
      <c r="R135" s="86"/>
      <c r="S135" s="86"/>
      <c r="T135" s="86"/>
      <c r="U135" s="86"/>
    </row>
    <row r="136">
      <c r="N136" s="125"/>
      <c r="O136" s="86"/>
      <c r="P136" s="86"/>
      <c r="Q136" s="86"/>
      <c r="R136" s="86"/>
      <c r="S136" s="86"/>
      <c r="T136" s="86"/>
      <c r="U136" s="86"/>
    </row>
    <row r="137">
      <c r="N137" s="125"/>
      <c r="O137" s="86"/>
      <c r="P137" s="86"/>
      <c r="Q137" s="86"/>
      <c r="R137" s="86"/>
      <c r="S137" s="86"/>
      <c r="T137" s="86"/>
      <c r="U137" s="86"/>
    </row>
    <row r="138">
      <c r="N138" s="125"/>
      <c r="O138" s="86"/>
      <c r="P138" s="86"/>
      <c r="Q138" s="86"/>
      <c r="R138" s="86"/>
      <c r="S138" s="86"/>
      <c r="T138" s="86"/>
      <c r="U138" s="86"/>
    </row>
    <row r="139">
      <c r="N139" s="125"/>
      <c r="O139" s="86"/>
      <c r="P139" s="86"/>
      <c r="Q139" s="86"/>
      <c r="R139" s="86"/>
      <c r="S139" s="86"/>
      <c r="T139" s="86"/>
      <c r="U139" s="86"/>
    </row>
    <row r="140">
      <c r="N140" s="125"/>
      <c r="O140" s="86"/>
      <c r="P140" s="86"/>
      <c r="Q140" s="86"/>
      <c r="R140" s="86"/>
      <c r="S140" s="86"/>
      <c r="T140" s="86"/>
      <c r="U140" s="86"/>
    </row>
    <row r="141">
      <c r="N141" s="125"/>
      <c r="O141" s="86"/>
      <c r="P141" s="86"/>
      <c r="Q141" s="86"/>
      <c r="R141" s="86"/>
      <c r="S141" s="86"/>
      <c r="T141" s="86"/>
      <c r="U141" s="86"/>
    </row>
    <row r="142">
      <c r="N142" s="125"/>
      <c r="O142" s="86"/>
      <c r="P142" s="86"/>
      <c r="Q142" s="86"/>
      <c r="R142" s="86"/>
      <c r="S142" s="86"/>
      <c r="T142" s="86"/>
      <c r="U142" s="86"/>
    </row>
    <row r="143">
      <c r="N143" s="125"/>
      <c r="O143" s="86"/>
      <c r="P143" s="86"/>
      <c r="Q143" s="86"/>
      <c r="R143" s="86"/>
      <c r="S143" s="86"/>
      <c r="T143" s="86"/>
      <c r="U143" s="86"/>
    </row>
    <row r="144">
      <c r="N144" s="125"/>
      <c r="O144" s="86"/>
      <c r="P144" s="86"/>
      <c r="Q144" s="86"/>
      <c r="R144" s="86"/>
      <c r="S144" s="86"/>
      <c r="T144" s="86"/>
      <c r="U144" s="86"/>
    </row>
    <row r="145">
      <c r="N145" s="125"/>
      <c r="O145" s="86"/>
      <c r="P145" s="86"/>
      <c r="Q145" s="86"/>
      <c r="R145" s="86"/>
      <c r="S145" s="86"/>
      <c r="T145" s="86"/>
      <c r="U145" s="86"/>
    </row>
    <row r="146">
      <c r="N146" s="125"/>
      <c r="O146" s="86"/>
      <c r="P146" s="86"/>
      <c r="Q146" s="86"/>
      <c r="R146" s="86"/>
      <c r="S146" s="86"/>
      <c r="T146" s="86"/>
      <c r="U146" s="86"/>
    </row>
    <row r="147">
      <c r="N147" s="125"/>
      <c r="O147" s="86"/>
      <c r="P147" s="86"/>
      <c r="Q147" s="86"/>
      <c r="R147" s="86"/>
      <c r="S147" s="86"/>
      <c r="T147" s="86"/>
      <c r="U147" s="86"/>
    </row>
    <row r="148">
      <c r="N148" s="125"/>
      <c r="O148" s="86"/>
      <c r="P148" s="86"/>
      <c r="Q148" s="86"/>
      <c r="R148" s="86"/>
      <c r="S148" s="86"/>
      <c r="T148" s="86"/>
      <c r="U148" s="86"/>
    </row>
    <row r="149">
      <c r="N149" s="125"/>
      <c r="O149" s="86"/>
      <c r="P149" s="86"/>
      <c r="Q149" s="86"/>
      <c r="R149" s="86"/>
      <c r="S149" s="86"/>
      <c r="T149" s="86"/>
      <c r="U149" s="86"/>
    </row>
    <row r="150">
      <c r="N150" s="125"/>
      <c r="O150" s="86"/>
      <c r="P150" s="86"/>
      <c r="Q150" s="86"/>
      <c r="R150" s="86"/>
      <c r="S150" s="86"/>
      <c r="T150" s="86"/>
      <c r="U150" s="86"/>
    </row>
    <row r="151">
      <c r="N151" s="125"/>
      <c r="O151" s="86"/>
      <c r="P151" s="86"/>
      <c r="Q151" s="86"/>
      <c r="R151" s="86"/>
      <c r="S151" s="86"/>
      <c r="T151" s="86"/>
      <c r="U151" s="86"/>
    </row>
    <row r="152">
      <c r="N152" s="125"/>
      <c r="O152" s="86"/>
      <c r="P152" s="86"/>
      <c r="Q152" s="86"/>
      <c r="R152" s="86"/>
      <c r="S152" s="86"/>
      <c r="T152" s="86"/>
      <c r="U152" s="86"/>
    </row>
    <row r="153">
      <c r="N153" s="125"/>
      <c r="O153" s="86"/>
      <c r="P153" s="86"/>
      <c r="Q153" s="86"/>
      <c r="R153" s="86"/>
      <c r="S153" s="86"/>
      <c r="T153" s="86"/>
      <c r="U153" s="86"/>
    </row>
    <row r="154">
      <c r="N154" s="125"/>
      <c r="O154" s="86"/>
      <c r="P154" s="86"/>
      <c r="Q154" s="86"/>
      <c r="R154" s="86"/>
      <c r="S154" s="86"/>
      <c r="T154" s="86"/>
      <c r="U154" s="86"/>
    </row>
    <row r="155">
      <c r="N155" s="125"/>
      <c r="O155" s="86"/>
      <c r="P155" s="86"/>
      <c r="Q155" s="86"/>
      <c r="R155" s="86"/>
      <c r="S155" s="86"/>
      <c r="T155" s="86"/>
      <c r="U155" s="86"/>
    </row>
    <row r="156">
      <c r="N156" s="125"/>
      <c r="O156" s="86"/>
      <c r="P156" s="86"/>
      <c r="Q156" s="86"/>
      <c r="R156" s="86"/>
      <c r="S156" s="86"/>
      <c r="T156" s="86"/>
      <c r="U156" s="86"/>
    </row>
    <row r="157">
      <c r="N157" s="125"/>
      <c r="O157" s="86"/>
      <c r="P157" s="86"/>
      <c r="Q157" s="86"/>
      <c r="R157" s="86"/>
      <c r="S157" s="86"/>
      <c r="T157" s="86"/>
      <c r="U157" s="86"/>
    </row>
    <row r="158">
      <c r="N158" s="125"/>
      <c r="O158" s="86"/>
      <c r="P158" s="86"/>
      <c r="Q158" s="86"/>
      <c r="R158" s="86"/>
      <c r="S158" s="86"/>
      <c r="T158" s="86"/>
      <c r="U158" s="86"/>
    </row>
    <row r="159">
      <c r="N159" s="125"/>
      <c r="O159" s="86"/>
      <c r="P159" s="86"/>
      <c r="Q159" s="86"/>
      <c r="R159" s="86"/>
      <c r="S159" s="86"/>
      <c r="T159" s="86"/>
      <c r="U159" s="86"/>
    </row>
    <row r="160">
      <c r="N160" s="125"/>
      <c r="O160" s="86"/>
      <c r="P160" s="86"/>
      <c r="Q160" s="86"/>
      <c r="R160" s="86"/>
      <c r="S160" s="86"/>
      <c r="T160" s="86"/>
      <c r="U160" s="86"/>
    </row>
    <row r="161">
      <c r="N161" s="125"/>
      <c r="O161" s="86"/>
      <c r="P161" s="86"/>
      <c r="Q161" s="86"/>
      <c r="R161" s="86"/>
      <c r="S161" s="86"/>
      <c r="T161" s="86"/>
      <c r="U161" s="86"/>
    </row>
    <row r="162">
      <c r="N162" s="125"/>
      <c r="O162" s="86"/>
      <c r="P162" s="86"/>
      <c r="Q162" s="86"/>
      <c r="R162" s="86"/>
      <c r="S162" s="86"/>
      <c r="T162" s="86"/>
      <c r="U162" s="86"/>
    </row>
    <row r="163">
      <c r="N163" s="125"/>
      <c r="O163" s="86"/>
      <c r="P163" s="86"/>
      <c r="Q163" s="86"/>
      <c r="R163" s="86"/>
      <c r="S163" s="86"/>
      <c r="T163" s="86"/>
      <c r="U163" s="86"/>
    </row>
    <row r="164">
      <c r="N164" s="125"/>
      <c r="O164" s="86"/>
      <c r="P164" s="86"/>
      <c r="Q164" s="86"/>
      <c r="R164" s="86"/>
      <c r="S164" s="86"/>
      <c r="T164" s="86"/>
      <c r="U164" s="86"/>
    </row>
    <row r="165">
      <c r="N165" s="125"/>
      <c r="O165" s="86"/>
      <c r="P165" s="86"/>
      <c r="Q165" s="86"/>
      <c r="R165" s="86"/>
      <c r="S165" s="86"/>
      <c r="T165" s="86"/>
      <c r="U165" s="86"/>
    </row>
    <row r="166">
      <c r="N166" s="125"/>
      <c r="O166" s="86"/>
      <c r="P166" s="86"/>
      <c r="Q166" s="86"/>
      <c r="R166" s="86"/>
      <c r="S166" s="86"/>
      <c r="T166" s="86"/>
      <c r="U166" s="86"/>
    </row>
    <row r="167">
      <c r="N167" s="125"/>
      <c r="O167" s="86"/>
      <c r="P167" s="86"/>
      <c r="Q167" s="86"/>
      <c r="R167" s="86"/>
      <c r="S167" s="86"/>
      <c r="T167" s="86"/>
      <c r="U167" s="86"/>
    </row>
    <row r="168">
      <c r="N168" s="125"/>
      <c r="O168" s="86"/>
      <c r="P168" s="86"/>
      <c r="Q168" s="86"/>
      <c r="R168" s="86"/>
      <c r="S168" s="86"/>
      <c r="T168" s="86"/>
      <c r="U168" s="86"/>
    </row>
    <row r="169">
      <c r="N169" s="125"/>
      <c r="O169" s="86"/>
      <c r="P169" s="86"/>
      <c r="Q169" s="86"/>
      <c r="R169" s="86"/>
      <c r="S169" s="86"/>
      <c r="T169" s="86"/>
      <c r="U169" s="86"/>
    </row>
    <row r="170">
      <c r="N170" s="125"/>
      <c r="O170" s="86"/>
      <c r="P170" s="86"/>
      <c r="Q170" s="86"/>
      <c r="R170" s="86"/>
      <c r="S170" s="86"/>
      <c r="T170" s="86"/>
      <c r="U170" s="86"/>
    </row>
    <row r="171">
      <c r="N171" s="125"/>
      <c r="O171" s="86"/>
      <c r="P171" s="86"/>
      <c r="Q171" s="86"/>
      <c r="R171" s="86"/>
      <c r="S171" s="86"/>
      <c r="T171" s="86"/>
      <c r="U171" s="86"/>
    </row>
    <row r="172">
      <c r="N172" s="125"/>
      <c r="O172" s="86"/>
      <c r="P172" s="86"/>
      <c r="Q172" s="86"/>
      <c r="R172" s="86"/>
      <c r="S172" s="86"/>
      <c r="T172" s="86"/>
      <c r="U172" s="86"/>
    </row>
    <row r="173">
      <c r="N173" s="125"/>
      <c r="O173" s="86"/>
      <c r="P173" s="86"/>
      <c r="Q173" s="86"/>
      <c r="R173" s="86"/>
      <c r="S173" s="86"/>
      <c r="T173" s="86"/>
      <c r="U173" s="86"/>
    </row>
    <row r="174">
      <c r="N174" s="125"/>
      <c r="O174" s="86"/>
      <c r="P174" s="86"/>
      <c r="Q174" s="86"/>
      <c r="R174" s="86"/>
      <c r="S174" s="86"/>
      <c r="T174" s="86"/>
      <c r="U174" s="86"/>
    </row>
    <row r="175">
      <c r="N175" s="125"/>
      <c r="O175" s="86"/>
      <c r="P175" s="86"/>
      <c r="Q175" s="86"/>
      <c r="R175" s="86"/>
      <c r="S175" s="86"/>
      <c r="T175" s="86"/>
      <c r="U175" s="86"/>
    </row>
    <row r="176">
      <c r="N176" s="125"/>
      <c r="O176" s="86"/>
      <c r="P176" s="86"/>
      <c r="Q176" s="86"/>
      <c r="R176" s="86"/>
      <c r="S176" s="86"/>
      <c r="T176" s="86"/>
      <c r="U176" s="86"/>
    </row>
    <row r="177">
      <c r="N177" s="125"/>
      <c r="O177" s="86"/>
      <c r="P177" s="86"/>
      <c r="Q177" s="86"/>
      <c r="R177" s="86"/>
      <c r="S177" s="86"/>
      <c r="T177" s="86"/>
      <c r="U177" s="86"/>
    </row>
    <row r="178">
      <c r="N178" s="125"/>
      <c r="O178" s="86"/>
      <c r="P178" s="86"/>
      <c r="Q178" s="86"/>
      <c r="R178" s="86"/>
      <c r="S178" s="86"/>
      <c r="T178" s="86"/>
      <c r="U178" s="86"/>
    </row>
    <row r="179">
      <c r="N179" s="125"/>
      <c r="O179" s="86"/>
      <c r="P179" s="86"/>
      <c r="Q179" s="86"/>
      <c r="R179" s="86"/>
      <c r="S179" s="86"/>
      <c r="T179" s="86"/>
      <c r="U179" s="86"/>
    </row>
    <row r="180">
      <c r="N180" s="125"/>
      <c r="O180" s="86"/>
      <c r="P180" s="86"/>
      <c r="Q180" s="86"/>
      <c r="R180" s="86"/>
      <c r="S180" s="86"/>
      <c r="T180" s="86"/>
      <c r="U180" s="86"/>
    </row>
    <row r="181">
      <c r="N181" s="125"/>
      <c r="O181" s="86"/>
      <c r="P181" s="86"/>
      <c r="Q181" s="86"/>
      <c r="R181" s="86"/>
      <c r="S181" s="86"/>
      <c r="T181" s="86"/>
      <c r="U181" s="86"/>
    </row>
    <row r="182">
      <c r="N182" s="125"/>
      <c r="O182" s="86"/>
      <c r="P182" s="86"/>
      <c r="Q182" s="86"/>
      <c r="R182" s="86"/>
      <c r="S182" s="86"/>
      <c r="T182" s="86"/>
      <c r="U182" s="86"/>
    </row>
    <row r="183">
      <c r="N183" s="125"/>
      <c r="O183" s="86"/>
      <c r="P183" s="86"/>
      <c r="Q183" s="86"/>
      <c r="R183" s="86"/>
      <c r="S183" s="86"/>
      <c r="T183" s="86"/>
      <c r="U183" s="86"/>
    </row>
    <row r="184">
      <c r="N184" s="125"/>
      <c r="O184" s="86"/>
      <c r="P184" s="86"/>
      <c r="Q184" s="86"/>
      <c r="R184" s="86"/>
      <c r="S184" s="86"/>
      <c r="T184" s="86"/>
      <c r="U184" s="86"/>
    </row>
    <row r="185">
      <c r="N185" s="125"/>
      <c r="O185" s="86"/>
      <c r="P185" s="86"/>
      <c r="Q185" s="86"/>
      <c r="R185" s="86"/>
      <c r="S185" s="86"/>
      <c r="T185" s="86"/>
      <c r="U185" s="86"/>
    </row>
    <row r="186">
      <c r="N186" s="125"/>
      <c r="O186" s="86"/>
      <c r="P186" s="86"/>
      <c r="Q186" s="86"/>
      <c r="R186" s="86"/>
      <c r="S186" s="86"/>
      <c r="T186" s="86"/>
      <c r="U186" s="86"/>
    </row>
    <row r="187">
      <c r="N187" s="125"/>
      <c r="O187" s="86"/>
      <c r="P187" s="86"/>
      <c r="Q187" s="86"/>
      <c r="R187" s="86"/>
      <c r="S187" s="86"/>
      <c r="T187" s="86"/>
      <c r="U187" s="86"/>
    </row>
    <row r="188">
      <c r="N188" s="125"/>
      <c r="O188" s="86"/>
      <c r="P188" s="86"/>
      <c r="Q188" s="86"/>
      <c r="R188" s="86"/>
      <c r="S188" s="86"/>
      <c r="T188" s="86"/>
      <c r="U188" s="86"/>
    </row>
    <row r="189">
      <c r="N189" s="125"/>
      <c r="O189" s="86"/>
      <c r="P189" s="86"/>
      <c r="Q189" s="86"/>
      <c r="R189" s="86"/>
      <c r="S189" s="86"/>
      <c r="T189" s="86"/>
      <c r="U189" s="86"/>
    </row>
    <row r="190">
      <c r="N190" s="125"/>
      <c r="O190" s="86"/>
      <c r="P190" s="86"/>
      <c r="Q190" s="86"/>
      <c r="R190" s="86"/>
      <c r="S190" s="86"/>
      <c r="T190" s="86"/>
      <c r="U190" s="86"/>
    </row>
    <row r="191">
      <c r="N191" s="125"/>
      <c r="O191" s="86"/>
      <c r="P191" s="86"/>
      <c r="Q191" s="86"/>
      <c r="R191" s="86"/>
      <c r="S191" s="86"/>
      <c r="T191" s="86"/>
      <c r="U191" s="86"/>
    </row>
    <row r="192">
      <c r="N192" s="125"/>
      <c r="O192" s="86"/>
      <c r="P192" s="86"/>
      <c r="Q192" s="86"/>
      <c r="R192" s="86"/>
      <c r="S192" s="86"/>
      <c r="T192" s="86"/>
      <c r="U192" s="86"/>
    </row>
    <row r="193">
      <c r="N193" s="125"/>
      <c r="O193" s="86"/>
      <c r="P193" s="86"/>
      <c r="Q193" s="86"/>
      <c r="R193" s="86"/>
      <c r="S193" s="86"/>
      <c r="T193" s="86"/>
      <c r="U193" s="86"/>
    </row>
    <row r="194">
      <c r="N194" s="125"/>
      <c r="O194" s="86"/>
      <c r="P194" s="86"/>
      <c r="Q194" s="86"/>
      <c r="R194" s="86"/>
      <c r="S194" s="86"/>
      <c r="T194" s="86"/>
      <c r="U194" s="86"/>
    </row>
    <row r="195">
      <c r="N195" s="125"/>
      <c r="O195" s="86"/>
      <c r="P195" s="86"/>
      <c r="Q195" s="86"/>
      <c r="R195" s="86"/>
      <c r="S195" s="86"/>
      <c r="T195" s="86"/>
      <c r="U195" s="86"/>
    </row>
    <row r="196">
      <c r="N196" s="125"/>
      <c r="O196" s="86"/>
      <c r="P196" s="86"/>
      <c r="Q196" s="86"/>
      <c r="R196" s="86"/>
      <c r="S196" s="86"/>
      <c r="T196" s="86"/>
      <c r="U196" s="86"/>
    </row>
    <row r="197">
      <c r="N197" s="125"/>
      <c r="O197" s="86"/>
      <c r="P197" s="86"/>
      <c r="Q197" s="86"/>
      <c r="R197" s="86"/>
      <c r="S197" s="86"/>
      <c r="T197" s="86"/>
      <c r="U197" s="86"/>
    </row>
    <row r="198">
      <c r="N198" s="125"/>
      <c r="O198" s="86"/>
      <c r="P198" s="86"/>
      <c r="Q198" s="86"/>
      <c r="R198" s="86"/>
      <c r="S198" s="86"/>
      <c r="T198" s="86"/>
      <c r="U198" s="86"/>
    </row>
    <row r="199">
      <c r="N199" s="125"/>
      <c r="O199" s="86"/>
      <c r="P199" s="86"/>
      <c r="Q199" s="86"/>
      <c r="R199" s="86"/>
      <c r="S199" s="86"/>
      <c r="T199" s="86"/>
      <c r="U199" s="86"/>
    </row>
    <row r="200">
      <c r="N200" s="125"/>
      <c r="O200" s="86"/>
      <c r="P200" s="86"/>
      <c r="Q200" s="86"/>
      <c r="R200" s="86"/>
      <c r="S200" s="86"/>
      <c r="T200" s="86"/>
      <c r="U200" s="86"/>
    </row>
    <row r="201">
      <c r="N201" s="125"/>
      <c r="O201" s="86"/>
      <c r="P201" s="86"/>
      <c r="Q201" s="86"/>
      <c r="R201" s="86"/>
      <c r="S201" s="86"/>
      <c r="T201" s="86"/>
      <c r="U201" s="86"/>
    </row>
    <row r="202">
      <c r="N202" s="125"/>
      <c r="O202" s="86"/>
      <c r="P202" s="86"/>
      <c r="Q202" s="86"/>
      <c r="R202" s="86"/>
      <c r="S202" s="86"/>
      <c r="T202" s="86"/>
      <c r="U202" s="86"/>
    </row>
    <row r="203">
      <c r="N203" s="125"/>
      <c r="O203" s="86"/>
      <c r="P203" s="86"/>
      <c r="Q203" s="86"/>
      <c r="R203" s="86"/>
      <c r="S203" s="86"/>
      <c r="T203" s="86"/>
      <c r="U203" s="86"/>
    </row>
    <row r="204">
      <c r="N204" s="125"/>
      <c r="O204" s="86"/>
      <c r="P204" s="86"/>
      <c r="Q204" s="86"/>
      <c r="R204" s="86"/>
      <c r="S204" s="86"/>
      <c r="T204" s="86"/>
      <c r="U204" s="86"/>
    </row>
    <row r="205">
      <c r="N205" s="125"/>
      <c r="O205" s="86"/>
      <c r="P205" s="86"/>
      <c r="Q205" s="86"/>
      <c r="R205" s="86"/>
      <c r="S205" s="86"/>
      <c r="T205" s="86"/>
      <c r="U205" s="86"/>
    </row>
    <row r="206">
      <c r="N206" s="125"/>
      <c r="O206" s="86"/>
      <c r="P206" s="86"/>
      <c r="Q206" s="86"/>
      <c r="R206" s="86"/>
      <c r="S206" s="86"/>
      <c r="T206" s="86"/>
      <c r="U206" s="86"/>
    </row>
    <row r="207">
      <c r="N207" s="125"/>
      <c r="O207" s="86"/>
      <c r="P207" s="86"/>
      <c r="Q207" s="86"/>
      <c r="R207" s="86"/>
      <c r="S207" s="86"/>
      <c r="T207" s="86"/>
      <c r="U207" s="86"/>
    </row>
    <row r="208">
      <c r="N208" s="125"/>
      <c r="O208" s="86"/>
      <c r="P208" s="86"/>
      <c r="Q208" s="86"/>
      <c r="R208" s="86"/>
      <c r="S208" s="86"/>
      <c r="T208" s="86"/>
      <c r="U208" s="86"/>
    </row>
    <row r="209">
      <c r="N209" s="125"/>
      <c r="O209" s="86"/>
      <c r="P209" s="86"/>
      <c r="Q209" s="86"/>
      <c r="R209" s="86"/>
      <c r="S209" s="86"/>
      <c r="T209" s="86"/>
      <c r="U209" s="86"/>
    </row>
    <row r="210">
      <c r="N210" s="125"/>
      <c r="O210" s="86"/>
      <c r="P210" s="86"/>
      <c r="Q210" s="86"/>
      <c r="R210" s="86"/>
      <c r="S210" s="86"/>
      <c r="T210" s="86"/>
      <c r="U210" s="86"/>
    </row>
    <row r="211">
      <c r="N211" s="125"/>
      <c r="O211" s="86"/>
      <c r="P211" s="86"/>
      <c r="Q211" s="86"/>
      <c r="R211" s="86"/>
      <c r="S211" s="86"/>
      <c r="T211" s="86"/>
      <c r="U211" s="86"/>
    </row>
    <row r="212">
      <c r="N212" s="125"/>
      <c r="O212" s="86"/>
      <c r="P212" s="86"/>
      <c r="Q212" s="86"/>
      <c r="R212" s="86"/>
      <c r="S212" s="86"/>
      <c r="T212" s="86"/>
      <c r="U212" s="86"/>
    </row>
    <row r="213">
      <c r="N213" s="125"/>
      <c r="O213" s="86"/>
      <c r="P213" s="86"/>
      <c r="Q213" s="86"/>
      <c r="R213" s="86"/>
      <c r="S213" s="86"/>
      <c r="T213" s="86"/>
      <c r="U213" s="86"/>
    </row>
    <row r="214">
      <c r="N214" s="125"/>
      <c r="O214" s="86"/>
      <c r="P214" s="86"/>
      <c r="Q214" s="86"/>
      <c r="R214" s="86"/>
      <c r="S214" s="86"/>
      <c r="T214" s="86"/>
      <c r="U214" s="86"/>
    </row>
    <row r="215">
      <c r="N215" s="125"/>
      <c r="O215" s="86"/>
      <c r="P215" s="86"/>
      <c r="Q215" s="86"/>
      <c r="R215" s="86"/>
      <c r="S215" s="86"/>
      <c r="T215" s="86"/>
      <c r="U215" s="86"/>
    </row>
    <row r="216">
      <c r="N216" s="125"/>
      <c r="O216" s="86"/>
      <c r="P216" s="86"/>
      <c r="Q216" s="86"/>
      <c r="R216" s="86"/>
      <c r="S216" s="86"/>
      <c r="T216" s="86"/>
      <c r="U216" s="86"/>
    </row>
    <row r="217">
      <c r="N217" s="125"/>
      <c r="O217" s="86"/>
      <c r="P217" s="86"/>
      <c r="Q217" s="86"/>
      <c r="R217" s="86"/>
      <c r="S217" s="86"/>
      <c r="T217" s="86"/>
      <c r="U217" s="86"/>
    </row>
    <row r="218">
      <c r="N218" s="125"/>
      <c r="O218" s="86"/>
      <c r="P218" s="86"/>
      <c r="Q218" s="86"/>
      <c r="R218" s="86"/>
      <c r="S218" s="86"/>
      <c r="T218" s="86"/>
      <c r="U218" s="86"/>
    </row>
    <row r="219">
      <c r="N219" s="125"/>
      <c r="O219" s="86"/>
      <c r="P219" s="86"/>
      <c r="Q219" s="86"/>
      <c r="R219" s="86"/>
      <c r="S219" s="86"/>
      <c r="T219" s="86"/>
      <c r="U219" s="86"/>
    </row>
    <row r="220">
      <c r="N220" s="125"/>
      <c r="O220" s="86"/>
      <c r="P220" s="86"/>
      <c r="Q220" s="86"/>
      <c r="R220" s="86"/>
      <c r="S220" s="86"/>
      <c r="T220" s="86"/>
      <c r="U220" s="86"/>
    </row>
    <row r="221">
      <c r="N221" s="125"/>
      <c r="O221" s="86"/>
      <c r="P221" s="86"/>
      <c r="Q221" s="86"/>
      <c r="R221" s="86"/>
      <c r="S221" s="86"/>
      <c r="T221" s="86"/>
      <c r="U221" s="86"/>
    </row>
    <row r="222">
      <c r="N222" s="125"/>
      <c r="O222" s="86"/>
      <c r="P222" s="86"/>
      <c r="Q222" s="86"/>
      <c r="R222" s="86"/>
      <c r="S222" s="86"/>
      <c r="T222" s="86"/>
      <c r="U222" s="86"/>
    </row>
    <row r="223">
      <c r="N223" s="125"/>
      <c r="O223" s="86"/>
      <c r="P223" s="86"/>
      <c r="Q223" s="86"/>
      <c r="R223" s="86"/>
      <c r="S223" s="86"/>
      <c r="T223" s="86"/>
      <c r="U223" s="86"/>
    </row>
    <row r="224">
      <c r="N224" s="125"/>
      <c r="O224" s="86"/>
      <c r="P224" s="86"/>
      <c r="Q224" s="86"/>
      <c r="R224" s="86"/>
      <c r="S224" s="86"/>
      <c r="T224" s="86"/>
      <c r="U224" s="86"/>
    </row>
    <row r="225">
      <c r="N225" s="125"/>
      <c r="O225" s="86"/>
      <c r="P225" s="86"/>
      <c r="Q225" s="86"/>
      <c r="R225" s="86"/>
      <c r="S225" s="86"/>
      <c r="T225" s="86"/>
      <c r="U225" s="86"/>
    </row>
    <row r="226">
      <c r="N226" s="125"/>
      <c r="O226" s="86"/>
      <c r="P226" s="86"/>
      <c r="Q226" s="86"/>
      <c r="R226" s="86"/>
      <c r="S226" s="86"/>
      <c r="T226" s="86"/>
      <c r="U226" s="86"/>
    </row>
    <row r="227">
      <c r="N227" s="125"/>
      <c r="O227" s="86"/>
      <c r="P227" s="86"/>
      <c r="Q227" s="86"/>
      <c r="R227" s="86"/>
      <c r="S227" s="86"/>
      <c r="T227" s="86"/>
      <c r="U227" s="86"/>
    </row>
    <row r="228">
      <c r="N228" s="125"/>
      <c r="O228" s="86"/>
      <c r="P228" s="86"/>
      <c r="Q228" s="86"/>
      <c r="R228" s="86"/>
      <c r="S228" s="86"/>
      <c r="T228" s="86"/>
      <c r="U228" s="86"/>
    </row>
    <row r="229">
      <c r="N229" s="125"/>
      <c r="O229" s="86"/>
      <c r="P229" s="86"/>
      <c r="Q229" s="86"/>
      <c r="R229" s="86"/>
      <c r="S229" s="86"/>
      <c r="T229" s="86"/>
      <c r="U229" s="86"/>
    </row>
    <row r="230">
      <c r="N230" s="125"/>
      <c r="O230" s="86"/>
      <c r="P230" s="86"/>
      <c r="Q230" s="86"/>
      <c r="R230" s="86"/>
      <c r="S230" s="86"/>
      <c r="T230" s="86"/>
      <c r="U230" s="86"/>
    </row>
    <row r="231">
      <c r="N231" s="125"/>
      <c r="O231" s="86"/>
      <c r="P231" s="86"/>
      <c r="Q231" s="86"/>
      <c r="R231" s="86"/>
      <c r="S231" s="86"/>
      <c r="T231" s="86"/>
      <c r="U231" s="86"/>
    </row>
    <row r="232">
      <c r="N232" s="125"/>
      <c r="O232" s="86"/>
      <c r="P232" s="86"/>
      <c r="Q232" s="86"/>
      <c r="R232" s="86"/>
      <c r="S232" s="86"/>
      <c r="T232" s="86"/>
      <c r="U232" s="86"/>
    </row>
    <row r="233">
      <c r="N233" s="125"/>
      <c r="O233" s="86"/>
      <c r="P233" s="86"/>
      <c r="Q233" s="86"/>
      <c r="R233" s="86"/>
      <c r="S233" s="86"/>
      <c r="T233" s="86"/>
      <c r="U233" s="86"/>
    </row>
    <row r="234">
      <c r="N234" s="125"/>
      <c r="O234" s="86"/>
      <c r="P234" s="86"/>
      <c r="Q234" s="86"/>
      <c r="R234" s="86"/>
      <c r="S234" s="86"/>
      <c r="T234" s="86"/>
      <c r="U234" s="86"/>
    </row>
    <row r="235">
      <c r="N235" s="125"/>
      <c r="O235" s="86"/>
      <c r="P235" s="86"/>
      <c r="Q235" s="86"/>
      <c r="R235" s="86"/>
      <c r="S235" s="86"/>
      <c r="T235" s="86"/>
      <c r="U235" s="86"/>
    </row>
    <row r="236">
      <c r="N236" s="125"/>
      <c r="O236" s="86"/>
      <c r="P236" s="86"/>
      <c r="Q236" s="86"/>
      <c r="R236" s="86"/>
      <c r="S236" s="86"/>
      <c r="T236" s="86"/>
      <c r="U236" s="86"/>
    </row>
    <row r="237">
      <c r="N237" s="125"/>
      <c r="O237" s="86"/>
      <c r="P237" s="86"/>
      <c r="Q237" s="86"/>
      <c r="R237" s="86"/>
      <c r="S237" s="86"/>
      <c r="T237" s="86"/>
      <c r="U237" s="86"/>
    </row>
    <row r="238">
      <c r="N238" s="125"/>
      <c r="O238" s="86"/>
      <c r="P238" s="86"/>
      <c r="Q238" s="86"/>
      <c r="R238" s="86"/>
      <c r="S238" s="86"/>
      <c r="T238" s="86"/>
      <c r="U238" s="86"/>
    </row>
    <row r="239">
      <c r="N239" s="125"/>
      <c r="O239" s="86"/>
      <c r="P239" s="86"/>
      <c r="Q239" s="86"/>
      <c r="R239" s="86"/>
      <c r="S239" s="86"/>
      <c r="T239" s="86"/>
      <c r="U239" s="86"/>
    </row>
    <row r="240">
      <c r="N240" s="125"/>
      <c r="O240" s="86"/>
      <c r="P240" s="86"/>
      <c r="Q240" s="86"/>
      <c r="R240" s="86"/>
      <c r="S240" s="86"/>
      <c r="T240" s="86"/>
      <c r="U240" s="86"/>
    </row>
    <row r="241">
      <c r="N241" s="125"/>
      <c r="O241" s="86"/>
      <c r="P241" s="86"/>
      <c r="Q241" s="86"/>
      <c r="R241" s="86"/>
      <c r="S241" s="86"/>
      <c r="T241" s="86"/>
      <c r="U241" s="86"/>
    </row>
    <row r="242">
      <c r="N242" s="125"/>
      <c r="O242" s="86"/>
      <c r="P242" s="86"/>
      <c r="Q242" s="86"/>
      <c r="R242" s="86"/>
      <c r="S242" s="86"/>
      <c r="T242" s="86"/>
      <c r="U242" s="86"/>
    </row>
    <row r="243">
      <c r="N243" s="125"/>
      <c r="O243" s="86"/>
      <c r="P243" s="86"/>
      <c r="Q243" s="86"/>
      <c r="R243" s="86"/>
      <c r="S243" s="86"/>
      <c r="T243" s="86"/>
      <c r="U243" s="86"/>
    </row>
    <row r="244">
      <c r="N244" s="125"/>
      <c r="O244" s="86"/>
      <c r="P244" s="86"/>
      <c r="Q244" s="86"/>
      <c r="R244" s="86"/>
      <c r="S244" s="86"/>
      <c r="T244" s="86"/>
      <c r="U244" s="86"/>
    </row>
    <row r="245">
      <c r="N245" s="125"/>
      <c r="O245" s="86"/>
      <c r="P245" s="86"/>
      <c r="Q245" s="86"/>
      <c r="R245" s="86"/>
      <c r="S245" s="86"/>
      <c r="T245" s="86"/>
      <c r="U245" s="86"/>
    </row>
    <row r="246">
      <c r="N246" s="125"/>
      <c r="O246" s="86"/>
      <c r="P246" s="86"/>
      <c r="Q246" s="86"/>
      <c r="R246" s="86"/>
      <c r="S246" s="86"/>
      <c r="T246" s="86"/>
      <c r="U246" s="86"/>
    </row>
    <row r="247">
      <c r="N247" s="125"/>
      <c r="O247" s="86"/>
      <c r="P247" s="86"/>
      <c r="Q247" s="86"/>
      <c r="R247" s="86"/>
      <c r="S247" s="86"/>
      <c r="T247" s="86"/>
      <c r="U247" s="86"/>
    </row>
    <row r="248">
      <c r="N248" s="125"/>
      <c r="O248" s="86"/>
      <c r="P248" s="86"/>
      <c r="Q248" s="86"/>
      <c r="R248" s="86"/>
      <c r="S248" s="86"/>
      <c r="T248" s="86"/>
      <c r="U248" s="86"/>
    </row>
    <row r="249">
      <c r="N249" s="125"/>
      <c r="O249" s="86"/>
      <c r="P249" s="86"/>
      <c r="Q249" s="86"/>
      <c r="R249" s="86"/>
      <c r="S249" s="86"/>
      <c r="T249" s="86"/>
      <c r="U249" s="86"/>
    </row>
    <row r="250">
      <c r="N250" s="125"/>
      <c r="O250" s="86"/>
      <c r="P250" s="86"/>
      <c r="Q250" s="86"/>
      <c r="R250" s="86"/>
      <c r="S250" s="86"/>
      <c r="T250" s="86"/>
      <c r="U250" s="86"/>
    </row>
    <row r="251">
      <c r="N251" s="125"/>
      <c r="O251" s="86"/>
      <c r="P251" s="86"/>
      <c r="Q251" s="86"/>
      <c r="R251" s="86"/>
      <c r="S251" s="86"/>
      <c r="T251" s="86"/>
      <c r="U251" s="86"/>
    </row>
    <row r="252">
      <c r="N252" s="125"/>
      <c r="O252" s="86"/>
      <c r="P252" s="86"/>
      <c r="Q252" s="86"/>
      <c r="R252" s="86"/>
      <c r="S252" s="86"/>
      <c r="T252" s="86"/>
      <c r="U252" s="86"/>
    </row>
    <row r="253">
      <c r="N253" s="125"/>
      <c r="O253" s="86"/>
      <c r="P253" s="86"/>
      <c r="Q253" s="86"/>
      <c r="R253" s="86"/>
      <c r="S253" s="86"/>
      <c r="T253" s="86"/>
      <c r="U253" s="86"/>
    </row>
    <row r="254">
      <c r="N254" s="125"/>
      <c r="O254" s="86"/>
      <c r="P254" s="86"/>
      <c r="Q254" s="86"/>
      <c r="R254" s="86"/>
      <c r="S254" s="86"/>
      <c r="T254" s="86"/>
      <c r="U254" s="86"/>
    </row>
    <row r="255">
      <c r="N255" s="125"/>
      <c r="O255" s="86"/>
      <c r="P255" s="86"/>
      <c r="Q255" s="86"/>
      <c r="R255" s="86"/>
      <c r="S255" s="86"/>
      <c r="T255" s="86"/>
      <c r="U255" s="86"/>
    </row>
    <row r="256">
      <c r="N256" s="125"/>
      <c r="O256" s="86"/>
      <c r="P256" s="86"/>
      <c r="Q256" s="86"/>
      <c r="R256" s="86"/>
      <c r="S256" s="86"/>
      <c r="T256" s="86"/>
      <c r="U256" s="86"/>
    </row>
    <row r="257">
      <c r="N257" s="125"/>
      <c r="O257" s="86"/>
      <c r="P257" s="86"/>
      <c r="Q257" s="86"/>
      <c r="R257" s="86"/>
      <c r="S257" s="86"/>
      <c r="T257" s="86"/>
      <c r="U257" s="86"/>
    </row>
    <row r="258">
      <c r="N258" s="125"/>
      <c r="O258" s="86"/>
      <c r="P258" s="86"/>
      <c r="Q258" s="86"/>
      <c r="R258" s="86"/>
      <c r="S258" s="86"/>
      <c r="T258" s="86"/>
      <c r="U258" s="86"/>
    </row>
    <row r="259">
      <c r="N259" s="125"/>
      <c r="O259" s="86"/>
      <c r="P259" s="86"/>
      <c r="Q259" s="86"/>
      <c r="R259" s="86"/>
      <c r="S259" s="86"/>
      <c r="T259" s="86"/>
      <c r="U259" s="86"/>
    </row>
    <row r="260">
      <c r="N260" s="125"/>
      <c r="O260" s="86"/>
      <c r="P260" s="86"/>
      <c r="Q260" s="86"/>
      <c r="R260" s="86"/>
      <c r="S260" s="86"/>
      <c r="T260" s="86"/>
      <c r="U260" s="86"/>
    </row>
    <row r="261">
      <c r="N261" s="125"/>
      <c r="O261" s="86"/>
      <c r="P261" s="86"/>
      <c r="Q261" s="86"/>
      <c r="R261" s="86"/>
      <c r="S261" s="86"/>
      <c r="T261" s="86"/>
      <c r="U261" s="86"/>
    </row>
    <row r="262">
      <c r="N262" s="125"/>
      <c r="O262" s="86"/>
      <c r="P262" s="86"/>
      <c r="Q262" s="86"/>
      <c r="R262" s="86"/>
      <c r="S262" s="86"/>
      <c r="T262" s="86"/>
      <c r="U262" s="86"/>
    </row>
    <row r="263">
      <c r="N263" s="125"/>
      <c r="O263" s="86"/>
      <c r="P263" s="86"/>
      <c r="Q263" s="86"/>
      <c r="R263" s="86"/>
      <c r="S263" s="86"/>
      <c r="T263" s="86"/>
      <c r="U263" s="86"/>
    </row>
    <row r="264">
      <c r="N264" s="125"/>
      <c r="O264" s="86"/>
      <c r="P264" s="86"/>
      <c r="Q264" s="86"/>
      <c r="R264" s="86"/>
      <c r="S264" s="86"/>
      <c r="T264" s="86"/>
      <c r="U264" s="86"/>
    </row>
    <row r="265">
      <c r="N265" s="125"/>
      <c r="O265" s="86"/>
      <c r="P265" s="86"/>
      <c r="Q265" s="86"/>
      <c r="R265" s="86"/>
      <c r="S265" s="86"/>
      <c r="T265" s="86"/>
      <c r="U265" s="86"/>
    </row>
    <row r="266">
      <c r="N266" s="125"/>
      <c r="O266" s="86"/>
      <c r="P266" s="86"/>
      <c r="Q266" s="86"/>
      <c r="R266" s="86"/>
      <c r="S266" s="86"/>
      <c r="T266" s="86"/>
      <c r="U266" s="86"/>
    </row>
    <row r="267">
      <c r="N267" s="125"/>
      <c r="O267" s="86"/>
      <c r="P267" s="86"/>
      <c r="Q267" s="86"/>
      <c r="R267" s="86"/>
      <c r="S267" s="86"/>
      <c r="T267" s="86"/>
      <c r="U267" s="86"/>
    </row>
    <row r="268">
      <c r="N268" s="125"/>
      <c r="O268" s="86"/>
      <c r="P268" s="86"/>
      <c r="Q268" s="86"/>
      <c r="R268" s="86"/>
      <c r="S268" s="86"/>
      <c r="T268" s="86"/>
      <c r="U268" s="86"/>
    </row>
    <row r="269">
      <c r="N269" s="125"/>
      <c r="O269" s="86"/>
      <c r="P269" s="86"/>
      <c r="Q269" s="86"/>
      <c r="R269" s="86"/>
      <c r="S269" s="86"/>
      <c r="T269" s="86"/>
      <c r="U269" s="86"/>
    </row>
    <row r="270">
      <c r="N270" s="125"/>
      <c r="O270" s="86"/>
      <c r="P270" s="86"/>
      <c r="Q270" s="86"/>
      <c r="R270" s="86"/>
      <c r="S270" s="86"/>
      <c r="T270" s="86"/>
      <c r="U270" s="86"/>
    </row>
    <row r="271">
      <c r="N271" s="125"/>
      <c r="O271" s="86"/>
      <c r="P271" s="86"/>
      <c r="Q271" s="86"/>
      <c r="R271" s="86"/>
      <c r="S271" s="86"/>
      <c r="T271" s="86"/>
      <c r="U271" s="86"/>
    </row>
    <row r="272">
      <c r="N272" s="125"/>
      <c r="O272" s="86"/>
      <c r="P272" s="86"/>
      <c r="Q272" s="86"/>
      <c r="R272" s="86"/>
      <c r="S272" s="86"/>
      <c r="T272" s="86"/>
      <c r="U272" s="86"/>
    </row>
    <row r="273">
      <c r="N273" s="125"/>
      <c r="O273" s="86"/>
      <c r="P273" s="86"/>
      <c r="Q273" s="86"/>
      <c r="R273" s="86"/>
      <c r="S273" s="86"/>
      <c r="T273" s="86"/>
      <c r="U273" s="86"/>
    </row>
    <row r="274">
      <c r="N274" s="125"/>
      <c r="O274" s="86"/>
      <c r="P274" s="86"/>
      <c r="Q274" s="86"/>
      <c r="R274" s="86"/>
      <c r="S274" s="86"/>
      <c r="T274" s="86"/>
      <c r="U274" s="86"/>
    </row>
    <row r="275">
      <c r="N275" s="125"/>
      <c r="O275" s="86"/>
      <c r="P275" s="86"/>
      <c r="Q275" s="86"/>
      <c r="R275" s="86"/>
      <c r="S275" s="86"/>
      <c r="T275" s="86"/>
      <c r="U275" s="86"/>
    </row>
    <row r="276">
      <c r="N276" s="125"/>
      <c r="O276" s="86"/>
      <c r="P276" s="86"/>
      <c r="Q276" s="86"/>
      <c r="R276" s="86"/>
      <c r="S276" s="86"/>
      <c r="T276" s="86"/>
      <c r="U276" s="86"/>
    </row>
    <row r="277">
      <c r="N277" s="125"/>
      <c r="O277" s="86"/>
      <c r="P277" s="86"/>
      <c r="Q277" s="86"/>
      <c r="R277" s="86"/>
      <c r="S277" s="86"/>
      <c r="T277" s="86"/>
      <c r="U277" s="86"/>
    </row>
    <row r="278">
      <c r="N278" s="125"/>
      <c r="O278" s="86"/>
      <c r="P278" s="86"/>
      <c r="Q278" s="86"/>
      <c r="R278" s="86"/>
      <c r="S278" s="86"/>
      <c r="T278" s="86"/>
      <c r="U278" s="86"/>
    </row>
    <row r="279">
      <c r="N279" s="125"/>
      <c r="O279" s="86"/>
      <c r="P279" s="86"/>
      <c r="Q279" s="86"/>
      <c r="R279" s="86"/>
      <c r="S279" s="86"/>
      <c r="T279" s="86"/>
      <c r="U279" s="86"/>
    </row>
    <row r="280">
      <c r="N280" s="125"/>
      <c r="O280" s="86"/>
      <c r="P280" s="86"/>
      <c r="Q280" s="86"/>
      <c r="R280" s="86"/>
      <c r="S280" s="86"/>
      <c r="T280" s="86"/>
      <c r="U280" s="86"/>
    </row>
    <row r="281">
      <c r="N281" s="125"/>
      <c r="O281" s="86"/>
      <c r="P281" s="86"/>
      <c r="Q281" s="86"/>
      <c r="R281" s="86"/>
      <c r="S281" s="86"/>
      <c r="T281" s="86"/>
      <c r="U281" s="86"/>
    </row>
    <row r="282">
      <c r="N282" s="125"/>
      <c r="O282" s="86"/>
      <c r="P282" s="86"/>
      <c r="Q282" s="86"/>
      <c r="R282" s="86"/>
      <c r="S282" s="86"/>
      <c r="T282" s="86"/>
      <c r="U282" s="86"/>
    </row>
    <row r="283">
      <c r="N283" s="125"/>
      <c r="O283" s="86"/>
      <c r="P283" s="86"/>
      <c r="Q283" s="86"/>
      <c r="R283" s="86"/>
      <c r="S283" s="86"/>
      <c r="T283" s="86"/>
      <c r="U283" s="86"/>
    </row>
    <row r="284">
      <c r="N284" s="125"/>
      <c r="O284" s="86"/>
      <c r="P284" s="86"/>
      <c r="Q284" s="86"/>
      <c r="R284" s="86"/>
      <c r="S284" s="86"/>
      <c r="T284" s="86"/>
      <c r="U284" s="86"/>
    </row>
    <row r="285">
      <c r="N285" s="125"/>
      <c r="O285" s="86"/>
      <c r="P285" s="86"/>
      <c r="Q285" s="86"/>
      <c r="R285" s="86"/>
      <c r="S285" s="86"/>
      <c r="T285" s="86"/>
      <c r="U285" s="86"/>
    </row>
    <row r="286">
      <c r="N286" s="125"/>
      <c r="O286" s="86"/>
      <c r="P286" s="86"/>
      <c r="Q286" s="86"/>
      <c r="R286" s="86"/>
      <c r="S286" s="86"/>
      <c r="T286" s="86"/>
      <c r="U286" s="86"/>
    </row>
    <row r="287">
      <c r="N287" s="125"/>
      <c r="O287" s="86"/>
      <c r="P287" s="86"/>
      <c r="Q287" s="86"/>
      <c r="R287" s="86"/>
      <c r="S287" s="86"/>
      <c r="T287" s="86"/>
      <c r="U287" s="86"/>
    </row>
    <row r="288">
      <c r="N288" s="125"/>
      <c r="O288" s="86"/>
      <c r="P288" s="86"/>
      <c r="Q288" s="86"/>
      <c r="R288" s="86"/>
      <c r="S288" s="86"/>
      <c r="T288" s="86"/>
      <c r="U288" s="86"/>
    </row>
    <row r="289">
      <c r="N289" s="125"/>
      <c r="O289" s="86"/>
      <c r="P289" s="86"/>
      <c r="Q289" s="86"/>
      <c r="R289" s="86"/>
      <c r="S289" s="86"/>
      <c r="T289" s="86"/>
      <c r="U289" s="86"/>
    </row>
    <row r="290">
      <c r="N290" s="125"/>
      <c r="O290" s="86"/>
      <c r="P290" s="86"/>
      <c r="Q290" s="86"/>
      <c r="R290" s="86"/>
      <c r="S290" s="86"/>
      <c r="T290" s="86"/>
      <c r="U290" s="86"/>
    </row>
    <row r="291">
      <c r="N291" s="125"/>
      <c r="O291" s="86"/>
      <c r="P291" s="86"/>
      <c r="Q291" s="86"/>
      <c r="R291" s="86"/>
      <c r="S291" s="86"/>
      <c r="T291" s="86"/>
      <c r="U291" s="86"/>
    </row>
    <row r="292">
      <c r="N292" s="125"/>
      <c r="O292" s="86"/>
      <c r="P292" s="86"/>
      <c r="Q292" s="86"/>
      <c r="R292" s="86"/>
      <c r="S292" s="86"/>
      <c r="T292" s="86"/>
      <c r="U292" s="86"/>
    </row>
    <row r="293">
      <c r="N293" s="125"/>
      <c r="O293" s="86"/>
      <c r="P293" s="86"/>
      <c r="Q293" s="86"/>
      <c r="R293" s="86"/>
      <c r="S293" s="86"/>
      <c r="T293" s="86"/>
      <c r="U293" s="86"/>
    </row>
    <row r="294">
      <c r="N294" s="125"/>
      <c r="O294" s="86"/>
      <c r="P294" s="86"/>
      <c r="Q294" s="86"/>
      <c r="R294" s="86"/>
      <c r="S294" s="86"/>
      <c r="T294" s="86"/>
      <c r="U294" s="86"/>
    </row>
    <row r="295">
      <c r="N295" s="125"/>
      <c r="O295" s="86"/>
      <c r="P295" s="86"/>
      <c r="Q295" s="86"/>
      <c r="R295" s="86"/>
      <c r="S295" s="86"/>
      <c r="T295" s="86"/>
      <c r="U295" s="86"/>
    </row>
    <row r="296">
      <c r="N296" s="125"/>
      <c r="O296" s="86"/>
      <c r="P296" s="86"/>
      <c r="Q296" s="86"/>
      <c r="R296" s="86"/>
      <c r="S296" s="86"/>
      <c r="T296" s="86"/>
      <c r="U296" s="86"/>
    </row>
    <row r="297">
      <c r="N297" s="125"/>
      <c r="O297" s="86"/>
      <c r="P297" s="86"/>
      <c r="Q297" s="86"/>
      <c r="R297" s="86"/>
      <c r="S297" s="86"/>
      <c r="T297" s="86"/>
      <c r="U297" s="86"/>
    </row>
    <row r="298">
      <c r="N298" s="125"/>
      <c r="O298" s="86"/>
      <c r="P298" s="86"/>
      <c r="Q298" s="86"/>
      <c r="R298" s="86"/>
      <c r="S298" s="86"/>
      <c r="T298" s="86"/>
      <c r="U298" s="86"/>
    </row>
    <row r="299">
      <c r="N299" s="125"/>
      <c r="O299" s="86"/>
      <c r="P299" s="86"/>
      <c r="Q299" s="86"/>
      <c r="R299" s="86"/>
      <c r="S299" s="86"/>
      <c r="T299" s="86"/>
      <c r="U299" s="86"/>
    </row>
    <row r="300">
      <c r="N300" s="125"/>
      <c r="O300" s="86"/>
      <c r="P300" s="86"/>
      <c r="Q300" s="86"/>
      <c r="R300" s="86"/>
      <c r="S300" s="86"/>
      <c r="T300" s="86"/>
      <c r="U300" s="86"/>
    </row>
    <row r="301">
      <c r="N301" s="125"/>
      <c r="O301" s="86"/>
      <c r="P301" s="86"/>
      <c r="Q301" s="86"/>
      <c r="R301" s="86"/>
      <c r="S301" s="86"/>
      <c r="T301" s="86"/>
      <c r="U301" s="86"/>
    </row>
    <row r="302">
      <c r="N302" s="125"/>
      <c r="O302" s="86"/>
      <c r="P302" s="86"/>
      <c r="Q302" s="86"/>
      <c r="R302" s="86"/>
      <c r="S302" s="86"/>
      <c r="T302" s="86"/>
      <c r="U302" s="86"/>
    </row>
    <row r="303">
      <c r="N303" s="125"/>
      <c r="O303" s="86"/>
      <c r="P303" s="86"/>
      <c r="Q303" s="86"/>
      <c r="R303" s="86"/>
      <c r="S303" s="86"/>
      <c r="T303" s="86"/>
      <c r="U303" s="86"/>
    </row>
    <row r="304">
      <c r="N304" s="125"/>
      <c r="O304" s="86"/>
      <c r="P304" s="86"/>
      <c r="Q304" s="86"/>
      <c r="R304" s="86"/>
      <c r="S304" s="86"/>
      <c r="T304" s="86"/>
      <c r="U304" s="86"/>
    </row>
    <row r="305">
      <c r="N305" s="125"/>
      <c r="O305" s="86"/>
      <c r="P305" s="86"/>
      <c r="Q305" s="86"/>
      <c r="R305" s="86"/>
      <c r="S305" s="86"/>
      <c r="T305" s="86"/>
      <c r="U305" s="86"/>
    </row>
    <row r="306">
      <c r="N306" s="125"/>
      <c r="O306" s="86"/>
      <c r="P306" s="86"/>
      <c r="Q306" s="86"/>
      <c r="R306" s="86"/>
      <c r="S306" s="86"/>
      <c r="T306" s="86"/>
      <c r="U306" s="86"/>
    </row>
    <row r="307">
      <c r="N307" s="125"/>
      <c r="O307" s="86"/>
      <c r="P307" s="86"/>
      <c r="Q307" s="86"/>
      <c r="R307" s="86"/>
      <c r="S307" s="86"/>
      <c r="T307" s="86"/>
      <c r="U307" s="86"/>
    </row>
    <row r="308">
      <c r="N308" s="125"/>
      <c r="O308" s="86"/>
      <c r="P308" s="86"/>
      <c r="Q308" s="86"/>
      <c r="R308" s="86"/>
      <c r="S308" s="86"/>
      <c r="T308" s="86"/>
      <c r="U308" s="86"/>
    </row>
    <row r="309">
      <c r="N309" s="125"/>
      <c r="O309" s="86"/>
      <c r="P309" s="86"/>
      <c r="Q309" s="86"/>
      <c r="R309" s="86"/>
      <c r="S309" s="86"/>
      <c r="T309" s="86"/>
      <c r="U309" s="86"/>
    </row>
    <row r="310">
      <c r="N310" s="125"/>
      <c r="O310" s="86"/>
      <c r="P310" s="86"/>
      <c r="Q310" s="86"/>
      <c r="R310" s="86"/>
      <c r="S310" s="86"/>
      <c r="T310" s="86"/>
      <c r="U310" s="86"/>
    </row>
    <row r="311">
      <c r="N311" s="125"/>
      <c r="O311" s="86"/>
      <c r="P311" s="86"/>
      <c r="Q311" s="86"/>
      <c r="R311" s="86"/>
      <c r="S311" s="86"/>
      <c r="T311" s="86"/>
      <c r="U311" s="86"/>
    </row>
    <row r="312">
      <c r="N312" s="125"/>
      <c r="O312" s="86"/>
      <c r="P312" s="86"/>
      <c r="Q312" s="86"/>
      <c r="R312" s="86"/>
      <c r="S312" s="86"/>
      <c r="T312" s="86"/>
      <c r="U312" s="86"/>
    </row>
    <row r="313">
      <c r="N313" s="125"/>
      <c r="O313" s="86"/>
      <c r="P313" s="86"/>
      <c r="Q313" s="86"/>
      <c r="R313" s="86"/>
      <c r="S313" s="86"/>
      <c r="T313" s="86"/>
      <c r="U313" s="86"/>
    </row>
    <row r="314">
      <c r="N314" s="125"/>
      <c r="O314" s="86"/>
      <c r="P314" s="86"/>
      <c r="Q314" s="86"/>
      <c r="R314" s="86"/>
      <c r="S314" s="86"/>
      <c r="T314" s="86"/>
      <c r="U314" s="86"/>
    </row>
    <row r="315">
      <c r="N315" s="125"/>
      <c r="O315" s="86"/>
      <c r="P315" s="86"/>
      <c r="Q315" s="86"/>
      <c r="R315" s="86"/>
      <c r="S315" s="86"/>
      <c r="T315" s="86"/>
      <c r="U315" s="86"/>
    </row>
    <row r="316">
      <c r="N316" s="125"/>
      <c r="O316" s="86"/>
      <c r="P316" s="86"/>
      <c r="Q316" s="86"/>
      <c r="R316" s="86"/>
      <c r="S316" s="86"/>
      <c r="T316" s="86"/>
      <c r="U316" s="86"/>
    </row>
    <row r="317">
      <c r="N317" s="125"/>
      <c r="O317" s="86"/>
      <c r="P317" s="86"/>
      <c r="Q317" s="86"/>
      <c r="R317" s="86"/>
      <c r="S317" s="86"/>
      <c r="T317" s="86"/>
      <c r="U317" s="86"/>
    </row>
    <row r="318">
      <c r="N318" s="125"/>
      <c r="O318" s="86"/>
      <c r="P318" s="86"/>
      <c r="Q318" s="86"/>
      <c r="R318" s="86"/>
      <c r="S318" s="86"/>
      <c r="T318" s="86"/>
      <c r="U318" s="86"/>
    </row>
    <row r="319">
      <c r="N319" s="125"/>
      <c r="O319" s="86"/>
      <c r="P319" s="86"/>
      <c r="Q319" s="86"/>
      <c r="R319" s="86"/>
      <c r="S319" s="86"/>
      <c r="T319" s="86"/>
      <c r="U319" s="86"/>
    </row>
    <row r="320">
      <c r="N320" s="125"/>
      <c r="O320" s="86"/>
      <c r="P320" s="86"/>
      <c r="Q320" s="86"/>
      <c r="R320" s="86"/>
      <c r="S320" s="86"/>
      <c r="T320" s="86"/>
      <c r="U320" s="86"/>
    </row>
    <row r="321">
      <c r="N321" s="125"/>
      <c r="O321" s="86"/>
      <c r="P321" s="86"/>
      <c r="Q321" s="86"/>
      <c r="R321" s="86"/>
      <c r="S321" s="86"/>
      <c r="T321" s="86"/>
      <c r="U321" s="86"/>
    </row>
    <row r="322">
      <c r="N322" s="125"/>
      <c r="O322" s="86"/>
      <c r="P322" s="86"/>
      <c r="Q322" s="86"/>
      <c r="R322" s="86"/>
      <c r="S322" s="86"/>
      <c r="T322" s="86"/>
      <c r="U322" s="86"/>
    </row>
    <row r="323">
      <c r="N323" s="125"/>
      <c r="O323" s="86"/>
      <c r="P323" s="86"/>
      <c r="Q323" s="86"/>
      <c r="R323" s="86"/>
      <c r="S323" s="86"/>
      <c r="T323" s="86"/>
      <c r="U323" s="86"/>
    </row>
    <row r="324">
      <c r="N324" s="125"/>
      <c r="O324" s="86"/>
      <c r="P324" s="86"/>
      <c r="Q324" s="86"/>
      <c r="R324" s="86"/>
      <c r="S324" s="86"/>
      <c r="T324" s="86"/>
      <c r="U324" s="86"/>
    </row>
    <row r="325">
      <c r="N325" s="125"/>
      <c r="O325" s="86"/>
      <c r="P325" s="86"/>
      <c r="Q325" s="86"/>
      <c r="R325" s="86"/>
      <c r="S325" s="86"/>
      <c r="T325" s="86"/>
      <c r="U325" s="86"/>
    </row>
    <row r="326">
      <c r="N326" s="125"/>
      <c r="O326" s="86"/>
      <c r="P326" s="86"/>
      <c r="Q326" s="86"/>
      <c r="R326" s="86"/>
      <c r="S326" s="86"/>
      <c r="T326" s="86"/>
      <c r="U326" s="86"/>
    </row>
    <row r="327">
      <c r="N327" s="125"/>
      <c r="O327" s="86"/>
      <c r="P327" s="86"/>
      <c r="Q327" s="86"/>
      <c r="R327" s="86"/>
      <c r="S327" s="86"/>
      <c r="T327" s="86"/>
      <c r="U327" s="86"/>
    </row>
    <row r="328">
      <c r="N328" s="125"/>
      <c r="O328" s="86"/>
      <c r="P328" s="86"/>
      <c r="Q328" s="86"/>
      <c r="R328" s="86"/>
      <c r="S328" s="86"/>
      <c r="T328" s="86"/>
      <c r="U328" s="86"/>
    </row>
    <row r="329">
      <c r="N329" s="125"/>
      <c r="O329" s="86"/>
      <c r="P329" s="86"/>
      <c r="Q329" s="86"/>
      <c r="R329" s="86"/>
      <c r="S329" s="86"/>
      <c r="T329" s="86"/>
      <c r="U329" s="86"/>
    </row>
    <row r="330">
      <c r="N330" s="125"/>
      <c r="O330" s="86"/>
      <c r="P330" s="86"/>
      <c r="Q330" s="86"/>
      <c r="R330" s="86"/>
      <c r="S330" s="86"/>
      <c r="T330" s="86"/>
      <c r="U330" s="86"/>
    </row>
    <row r="331">
      <c r="N331" s="125"/>
      <c r="O331" s="86"/>
      <c r="P331" s="86"/>
      <c r="Q331" s="86"/>
      <c r="R331" s="86"/>
      <c r="S331" s="86"/>
      <c r="T331" s="86"/>
      <c r="U331" s="86"/>
    </row>
    <row r="332">
      <c r="N332" s="125"/>
      <c r="O332" s="86"/>
      <c r="P332" s="86"/>
      <c r="Q332" s="86"/>
      <c r="R332" s="86"/>
      <c r="S332" s="86"/>
      <c r="T332" s="86"/>
      <c r="U332" s="86"/>
    </row>
    <row r="333">
      <c r="N333" s="125"/>
      <c r="O333" s="86"/>
      <c r="P333" s="86"/>
      <c r="Q333" s="86"/>
      <c r="R333" s="86"/>
      <c r="S333" s="86"/>
      <c r="T333" s="86"/>
      <c r="U333" s="86"/>
    </row>
    <row r="334">
      <c r="N334" s="125"/>
      <c r="O334" s="86"/>
      <c r="P334" s="86"/>
      <c r="Q334" s="86"/>
      <c r="R334" s="86"/>
      <c r="S334" s="86"/>
      <c r="T334" s="86"/>
      <c r="U334" s="86"/>
    </row>
    <row r="335">
      <c r="N335" s="125"/>
      <c r="O335" s="86"/>
      <c r="P335" s="86"/>
      <c r="Q335" s="86"/>
      <c r="R335" s="86"/>
      <c r="S335" s="86"/>
      <c r="T335" s="86"/>
      <c r="U335" s="86"/>
    </row>
    <row r="336">
      <c r="N336" s="125"/>
      <c r="O336" s="86"/>
      <c r="P336" s="86"/>
      <c r="Q336" s="86"/>
      <c r="R336" s="86"/>
      <c r="S336" s="86"/>
      <c r="T336" s="86"/>
      <c r="U336" s="86"/>
    </row>
    <row r="337">
      <c r="N337" s="125"/>
      <c r="O337" s="86"/>
      <c r="P337" s="86"/>
      <c r="Q337" s="86"/>
      <c r="R337" s="86"/>
      <c r="S337" s="86"/>
      <c r="T337" s="86"/>
      <c r="U337" s="86"/>
    </row>
    <row r="338">
      <c r="N338" s="125"/>
      <c r="O338" s="86"/>
      <c r="P338" s="86"/>
      <c r="Q338" s="86"/>
      <c r="R338" s="86"/>
      <c r="S338" s="86"/>
      <c r="T338" s="86"/>
      <c r="U338" s="86"/>
    </row>
    <row r="339">
      <c r="N339" s="125"/>
      <c r="O339" s="86"/>
      <c r="P339" s="86"/>
      <c r="Q339" s="86"/>
      <c r="R339" s="86"/>
      <c r="S339" s="86"/>
      <c r="T339" s="86"/>
      <c r="U339" s="86"/>
    </row>
    <row r="340">
      <c r="N340" s="125"/>
      <c r="O340" s="86"/>
      <c r="P340" s="86"/>
      <c r="Q340" s="86"/>
      <c r="R340" s="86"/>
      <c r="S340" s="86"/>
      <c r="T340" s="86"/>
      <c r="U340" s="86"/>
    </row>
    <row r="341">
      <c r="N341" s="125"/>
      <c r="O341" s="86"/>
      <c r="P341" s="86"/>
      <c r="Q341" s="86"/>
      <c r="R341" s="86"/>
      <c r="S341" s="86"/>
      <c r="T341" s="86"/>
      <c r="U341" s="86"/>
    </row>
    <row r="342">
      <c r="N342" s="125"/>
      <c r="O342" s="86"/>
      <c r="P342" s="86"/>
      <c r="Q342" s="86"/>
      <c r="R342" s="86"/>
      <c r="S342" s="86"/>
      <c r="T342" s="86"/>
      <c r="U342" s="86"/>
    </row>
    <row r="343">
      <c r="N343" s="125"/>
      <c r="O343" s="86"/>
      <c r="P343" s="86"/>
      <c r="Q343" s="86"/>
      <c r="R343" s="86"/>
      <c r="S343" s="86"/>
      <c r="T343" s="86"/>
      <c r="U343" s="86"/>
    </row>
    <row r="344">
      <c r="N344" s="125"/>
      <c r="O344" s="86"/>
      <c r="P344" s="86"/>
      <c r="Q344" s="86"/>
      <c r="R344" s="86"/>
      <c r="S344" s="86"/>
      <c r="T344" s="86"/>
      <c r="U344" s="86"/>
    </row>
    <row r="345">
      <c r="N345" s="125"/>
      <c r="O345" s="86"/>
      <c r="P345" s="86"/>
      <c r="Q345" s="86"/>
      <c r="R345" s="86"/>
      <c r="S345" s="86"/>
      <c r="T345" s="86"/>
      <c r="U345" s="86"/>
    </row>
    <row r="346">
      <c r="N346" s="125"/>
      <c r="O346" s="86"/>
      <c r="P346" s="86"/>
      <c r="Q346" s="86"/>
      <c r="R346" s="86"/>
      <c r="S346" s="86"/>
      <c r="T346" s="86"/>
      <c r="U346" s="86"/>
    </row>
    <row r="347">
      <c r="N347" s="125"/>
      <c r="O347" s="86"/>
      <c r="P347" s="86"/>
      <c r="Q347" s="86"/>
      <c r="R347" s="86"/>
      <c r="S347" s="86"/>
      <c r="T347" s="86"/>
      <c r="U347" s="86"/>
    </row>
    <row r="348">
      <c r="N348" s="125"/>
      <c r="O348" s="86"/>
      <c r="P348" s="86"/>
      <c r="Q348" s="86"/>
      <c r="R348" s="86"/>
      <c r="S348" s="86"/>
      <c r="T348" s="86"/>
      <c r="U348" s="86"/>
    </row>
    <row r="349">
      <c r="N349" s="125"/>
      <c r="O349" s="86"/>
      <c r="P349" s="86"/>
      <c r="Q349" s="86"/>
      <c r="R349" s="86"/>
      <c r="S349" s="86"/>
      <c r="T349" s="86"/>
      <c r="U349" s="86"/>
    </row>
    <row r="350">
      <c r="N350" s="125"/>
      <c r="O350" s="86"/>
      <c r="P350" s="86"/>
      <c r="Q350" s="86"/>
      <c r="R350" s="86"/>
      <c r="S350" s="86"/>
      <c r="T350" s="86"/>
      <c r="U350" s="86"/>
    </row>
    <row r="351">
      <c r="N351" s="125"/>
      <c r="O351" s="86"/>
      <c r="P351" s="86"/>
      <c r="Q351" s="86"/>
      <c r="R351" s="86"/>
      <c r="S351" s="86"/>
      <c r="T351" s="86"/>
      <c r="U351" s="86"/>
    </row>
    <row r="352">
      <c r="N352" s="125"/>
      <c r="O352" s="86"/>
      <c r="P352" s="86"/>
      <c r="Q352" s="86"/>
      <c r="R352" s="86"/>
      <c r="S352" s="86"/>
      <c r="T352" s="86"/>
      <c r="U352" s="86"/>
    </row>
    <row r="353">
      <c r="N353" s="125"/>
      <c r="O353" s="86"/>
      <c r="P353" s="86"/>
      <c r="Q353" s="86"/>
      <c r="R353" s="86"/>
      <c r="S353" s="86"/>
      <c r="T353" s="86"/>
      <c r="U353" s="86"/>
    </row>
    <row r="354">
      <c r="N354" s="125"/>
      <c r="O354" s="86"/>
      <c r="P354" s="86"/>
      <c r="Q354" s="86"/>
      <c r="R354" s="86"/>
      <c r="S354" s="86"/>
      <c r="T354" s="86"/>
      <c r="U354" s="86"/>
    </row>
    <row r="355">
      <c r="N355" s="125"/>
      <c r="O355" s="86"/>
      <c r="P355" s="86"/>
      <c r="Q355" s="86"/>
      <c r="R355" s="86"/>
      <c r="S355" s="86"/>
      <c r="T355" s="86"/>
      <c r="U355" s="86"/>
    </row>
    <row r="356">
      <c r="N356" s="125"/>
      <c r="O356" s="86"/>
      <c r="P356" s="86"/>
      <c r="Q356" s="86"/>
      <c r="R356" s="86"/>
      <c r="S356" s="86"/>
      <c r="T356" s="86"/>
      <c r="U356" s="86"/>
    </row>
    <row r="357">
      <c r="N357" s="125"/>
      <c r="O357" s="86"/>
      <c r="P357" s="86"/>
      <c r="Q357" s="86"/>
      <c r="R357" s="86"/>
      <c r="S357" s="86"/>
      <c r="T357" s="86"/>
      <c r="U357" s="86"/>
    </row>
    <row r="358">
      <c r="N358" s="125"/>
      <c r="O358" s="86"/>
      <c r="P358" s="86"/>
      <c r="Q358" s="86"/>
      <c r="R358" s="86"/>
      <c r="S358" s="86"/>
      <c r="T358" s="86"/>
      <c r="U358" s="86"/>
    </row>
    <row r="359">
      <c r="N359" s="125"/>
      <c r="O359" s="86"/>
      <c r="P359" s="86"/>
      <c r="Q359" s="86"/>
      <c r="R359" s="86"/>
      <c r="S359" s="86"/>
      <c r="T359" s="86"/>
      <c r="U359" s="86"/>
    </row>
    <row r="360">
      <c r="N360" s="125"/>
      <c r="O360" s="86"/>
      <c r="P360" s="86"/>
      <c r="Q360" s="86"/>
      <c r="R360" s="86"/>
      <c r="S360" s="86"/>
      <c r="T360" s="86"/>
      <c r="U360" s="86"/>
    </row>
    <row r="361">
      <c r="N361" s="125"/>
      <c r="O361" s="86"/>
      <c r="P361" s="86"/>
      <c r="Q361" s="86"/>
      <c r="R361" s="86"/>
      <c r="S361" s="86"/>
      <c r="T361" s="86"/>
      <c r="U361" s="86"/>
    </row>
    <row r="362">
      <c r="N362" s="125"/>
      <c r="O362" s="86"/>
      <c r="P362" s="86"/>
      <c r="Q362" s="86"/>
      <c r="R362" s="86"/>
      <c r="S362" s="86"/>
      <c r="T362" s="86"/>
      <c r="U362" s="86"/>
    </row>
    <row r="363">
      <c r="N363" s="125"/>
      <c r="O363" s="86"/>
      <c r="P363" s="86"/>
      <c r="Q363" s="86"/>
      <c r="R363" s="86"/>
      <c r="S363" s="86"/>
      <c r="T363" s="86"/>
      <c r="U363" s="86"/>
    </row>
    <row r="364">
      <c r="N364" s="125"/>
      <c r="O364" s="86"/>
      <c r="P364" s="86"/>
      <c r="Q364" s="86"/>
      <c r="R364" s="86"/>
      <c r="S364" s="86"/>
      <c r="T364" s="86"/>
      <c r="U364" s="86"/>
    </row>
    <row r="365">
      <c r="N365" s="125"/>
      <c r="O365" s="86"/>
      <c r="P365" s="86"/>
      <c r="Q365" s="86"/>
      <c r="R365" s="86"/>
      <c r="S365" s="86"/>
      <c r="T365" s="86"/>
      <c r="U365" s="86"/>
    </row>
    <row r="366">
      <c r="N366" s="125"/>
      <c r="O366" s="86"/>
      <c r="P366" s="86"/>
      <c r="Q366" s="86"/>
      <c r="R366" s="86"/>
      <c r="S366" s="86"/>
      <c r="T366" s="86"/>
      <c r="U366" s="86"/>
    </row>
    <row r="367">
      <c r="N367" s="125"/>
      <c r="O367" s="86"/>
      <c r="P367" s="86"/>
      <c r="Q367" s="86"/>
      <c r="R367" s="86"/>
      <c r="S367" s="86"/>
      <c r="T367" s="86"/>
      <c r="U367" s="86"/>
    </row>
    <row r="368">
      <c r="N368" s="125"/>
      <c r="O368" s="86"/>
      <c r="P368" s="86"/>
      <c r="Q368" s="86"/>
      <c r="R368" s="86"/>
      <c r="S368" s="86"/>
      <c r="T368" s="86"/>
      <c r="U368" s="86"/>
    </row>
    <row r="369">
      <c r="N369" s="125"/>
      <c r="O369" s="86"/>
      <c r="P369" s="86"/>
      <c r="Q369" s="86"/>
      <c r="R369" s="86"/>
      <c r="S369" s="86"/>
      <c r="T369" s="86"/>
      <c r="U369" s="86"/>
    </row>
    <row r="370">
      <c r="N370" s="125"/>
      <c r="O370" s="86"/>
      <c r="P370" s="86"/>
      <c r="Q370" s="86"/>
      <c r="R370" s="86"/>
      <c r="S370" s="86"/>
      <c r="T370" s="86"/>
      <c r="U370" s="86"/>
    </row>
    <row r="371">
      <c r="N371" s="125"/>
      <c r="O371" s="86"/>
      <c r="P371" s="86"/>
      <c r="Q371" s="86"/>
      <c r="R371" s="86"/>
      <c r="S371" s="86"/>
      <c r="T371" s="86"/>
      <c r="U371" s="86"/>
    </row>
    <row r="372">
      <c r="N372" s="125"/>
      <c r="O372" s="86"/>
      <c r="P372" s="86"/>
      <c r="Q372" s="86"/>
      <c r="R372" s="86"/>
      <c r="S372" s="86"/>
      <c r="T372" s="86"/>
      <c r="U372" s="86"/>
    </row>
    <row r="373">
      <c r="N373" s="125"/>
      <c r="O373" s="86"/>
      <c r="P373" s="86"/>
      <c r="Q373" s="86"/>
      <c r="R373" s="86"/>
      <c r="S373" s="86"/>
      <c r="T373" s="86"/>
      <c r="U373" s="86"/>
    </row>
    <row r="374">
      <c r="N374" s="125"/>
      <c r="O374" s="86"/>
      <c r="P374" s="86"/>
      <c r="Q374" s="86"/>
      <c r="R374" s="86"/>
      <c r="S374" s="86"/>
      <c r="T374" s="86"/>
      <c r="U374" s="86"/>
    </row>
    <row r="375">
      <c r="N375" s="125"/>
      <c r="O375" s="86"/>
      <c r="P375" s="86"/>
      <c r="Q375" s="86"/>
      <c r="R375" s="86"/>
      <c r="S375" s="86"/>
      <c r="T375" s="86"/>
      <c r="U375" s="86"/>
    </row>
    <row r="376">
      <c r="N376" s="125"/>
      <c r="O376" s="86"/>
      <c r="P376" s="86"/>
      <c r="Q376" s="86"/>
      <c r="R376" s="86"/>
      <c r="S376" s="86"/>
      <c r="T376" s="86"/>
      <c r="U376" s="86"/>
    </row>
    <row r="377">
      <c r="N377" s="125"/>
      <c r="O377" s="86"/>
      <c r="P377" s="86"/>
      <c r="Q377" s="86"/>
      <c r="R377" s="86"/>
      <c r="S377" s="86"/>
      <c r="T377" s="86"/>
      <c r="U377" s="86"/>
    </row>
    <row r="378">
      <c r="N378" s="125"/>
      <c r="O378" s="86"/>
      <c r="P378" s="86"/>
      <c r="Q378" s="86"/>
      <c r="R378" s="86"/>
      <c r="S378" s="86"/>
      <c r="T378" s="86"/>
      <c r="U378" s="86"/>
    </row>
    <row r="379">
      <c r="N379" s="125"/>
      <c r="O379" s="86"/>
      <c r="P379" s="86"/>
      <c r="Q379" s="86"/>
      <c r="R379" s="86"/>
      <c r="S379" s="86"/>
      <c r="T379" s="86"/>
      <c r="U379" s="86"/>
    </row>
    <row r="380">
      <c r="N380" s="125"/>
      <c r="O380" s="86"/>
      <c r="P380" s="86"/>
      <c r="Q380" s="86"/>
      <c r="R380" s="86"/>
      <c r="S380" s="86"/>
      <c r="T380" s="86"/>
      <c r="U380" s="86"/>
    </row>
    <row r="381">
      <c r="N381" s="125"/>
      <c r="O381" s="86"/>
      <c r="P381" s="86"/>
      <c r="Q381" s="86"/>
      <c r="R381" s="86"/>
      <c r="S381" s="86"/>
      <c r="T381" s="86"/>
      <c r="U381" s="86"/>
    </row>
    <row r="382">
      <c r="N382" s="125"/>
      <c r="O382" s="86"/>
      <c r="P382" s="86"/>
      <c r="Q382" s="86"/>
      <c r="R382" s="86"/>
      <c r="S382" s="86"/>
      <c r="T382" s="86"/>
      <c r="U382" s="86"/>
    </row>
    <row r="383">
      <c r="N383" s="125"/>
      <c r="O383" s="86"/>
      <c r="P383" s="86"/>
      <c r="Q383" s="86"/>
      <c r="R383" s="86"/>
      <c r="S383" s="86"/>
      <c r="T383" s="86"/>
      <c r="U383" s="86"/>
    </row>
    <row r="384">
      <c r="N384" s="125"/>
      <c r="O384" s="86"/>
      <c r="P384" s="86"/>
      <c r="Q384" s="86"/>
      <c r="R384" s="86"/>
      <c r="S384" s="86"/>
      <c r="T384" s="86"/>
      <c r="U384" s="86"/>
    </row>
    <row r="385">
      <c r="N385" s="125"/>
      <c r="O385" s="86"/>
      <c r="P385" s="86"/>
      <c r="Q385" s="86"/>
      <c r="R385" s="86"/>
      <c r="S385" s="86"/>
      <c r="T385" s="86"/>
      <c r="U385" s="86"/>
    </row>
    <row r="386">
      <c r="N386" s="125"/>
      <c r="O386" s="86"/>
      <c r="P386" s="86"/>
      <c r="Q386" s="86"/>
      <c r="R386" s="86"/>
      <c r="S386" s="86"/>
      <c r="T386" s="86"/>
      <c r="U386" s="86"/>
    </row>
    <row r="387">
      <c r="N387" s="125"/>
      <c r="O387" s="86"/>
      <c r="P387" s="86"/>
      <c r="Q387" s="86"/>
      <c r="R387" s="86"/>
      <c r="S387" s="86"/>
      <c r="T387" s="86"/>
      <c r="U387" s="86"/>
    </row>
    <row r="388">
      <c r="N388" s="125"/>
      <c r="O388" s="86"/>
      <c r="P388" s="86"/>
      <c r="Q388" s="86"/>
      <c r="R388" s="86"/>
      <c r="S388" s="86"/>
      <c r="T388" s="86"/>
      <c r="U388" s="86"/>
    </row>
    <row r="389">
      <c r="N389" s="125"/>
      <c r="O389" s="86"/>
      <c r="P389" s="86"/>
      <c r="Q389" s="86"/>
      <c r="R389" s="86"/>
      <c r="S389" s="86"/>
      <c r="T389" s="86"/>
      <c r="U389" s="86"/>
    </row>
    <row r="390">
      <c r="N390" s="125"/>
      <c r="O390" s="86"/>
      <c r="P390" s="86"/>
      <c r="Q390" s="86"/>
      <c r="R390" s="86"/>
      <c r="S390" s="86"/>
      <c r="T390" s="86"/>
      <c r="U390" s="86"/>
    </row>
    <row r="391">
      <c r="N391" s="125"/>
      <c r="O391" s="86"/>
      <c r="P391" s="86"/>
      <c r="Q391" s="86"/>
      <c r="R391" s="86"/>
      <c r="S391" s="86"/>
      <c r="T391" s="86"/>
      <c r="U391" s="86"/>
    </row>
    <row r="392">
      <c r="N392" s="125"/>
      <c r="O392" s="86"/>
      <c r="P392" s="86"/>
      <c r="Q392" s="86"/>
      <c r="R392" s="86"/>
      <c r="S392" s="86"/>
      <c r="T392" s="86"/>
      <c r="U392" s="86"/>
    </row>
    <row r="393">
      <c r="N393" s="125"/>
      <c r="O393" s="86"/>
      <c r="P393" s="86"/>
      <c r="Q393" s="86"/>
      <c r="R393" s="86"/>
      <c r="S393" s="86"/>
      <c r="T393" s="86"/>
      <c r="U393" s="86"/>
    </row>
    <row r="394">
      <c r="N394" s="125"/>
      <c r="O394" s="86"/>
      <c r="P394" s="86"/>
      <c r="Q394" s="86"/>
      <c r="R394" s="86"/>
      <c r="S394" s="86"/>
      <c r="T394" s="86"/>
      <c r="U394" s="86"/>
    </row>
    <row r="395">
      <c r="N395" s="125"/>
      <c r="O395" s="86"/>
      <c r="P395" s="86"/>
      <c r="Q395" s="86"/>
      <c r="R395" s="86"/>
      <c r="S395" s="86"/>
      <c r="T395" s="86"/>
      <c r="U395" s="86"/>
    </row>
    <row r="396">
      <c r="N396" s="125"/>
      <c r="O396" s="86"/>
      <c r="P396" s="86"/>
      <c r="Q396" s="86"/>
      <c r="R396" s="86"/>
      <c r="S396" s="86"/>
      <c r="T396" s="86"/>
      <c r="U396" s="86"/>
    </row>
    <row r="397">
      <c r="N397" s="125"/>
      <c r="O397" s="86"/>
      <c r="P397" s="86"/>
      <c r="Q397" s="86"/>
      <c r="R397" s="86"/>
      <c r="S397" s="86"/>
      <c r="T397" s="86"/>
      <c r="U397" s="86"/>
    </row>
    <row r="398">
      <c r="N398" s="125"/>
      <c r="O398" s="86"/>
      <c r="P398" s="86"/>
      <c r="Q398" s="86"/>
      <c r="R398" s="86"/>
      <c r="S398" s="86"/>
      <c r="T398" s="86"/>
      <c r="U398" s="86"/>
    </row>
    <row r="399">
      <c r="N399" s="125"/>
      <c r="O399" s="86"/>
      <c r="P399" s="86"/>
      <c r="Q399" s="86"/>
      <c r="R399" s="86"/>
      <c r="S399" s="86"/>
      <c r="T399" s="86"/>
      <c r="U399" s="86"/>
    </row>
    <row r="400">
      <c r="N400" s="125"/>
      <c r="O400" s="86"/>
      <c r="P400" s="86"/>
      <c r="Q400" s="86"/>
      <c r="R400" s="86"/>
      <c r="S400" s="86"/>
      <c r="T400" s="86"/>
      <c r="U400" s="86"/>
    </row>
    <row r="401">
      <c r="N401" s="125"/>
      <c r="O401" s="86"/>
      <c r="P401" s="86"/>
      <c r="Q401" s="86"/>
      <c r="R401" s="86"/>
      <c r="S401" s="86"/>
      <c r="T401" s="86"/>
      <c r="U401" s="86"/>
    </row>
    <row r="402">
      <c r="N402" s="125"/>
      <c r="O402" s="86"/>
      <c r="P402" s="86"/>
      <c r="Q402" s="86"/>
      <c r="R402" s="86"/>
      <c r="S402" s="86"/>
      <c r="T402" s="86"/>
      <c r="U402" s="86"/>
    </row>
    <row r="403">
      <c r="N403" s="125"/>
      <c r="O403" s="86"/>
      <c r="P403" s="86"/>
      <c r="Q403" s="86"/>
      <c r="R403" s="86"/>
      <c r="S403" s="86"/>
      <c r="T403" s="86"/>
      <c r="U403" s="86"/>
    </row>
    <row r="404">
      <c r="N404" s="125"/>
      <c r="O404" s="86"/>
      <c r="P404" s="86"/>
      <c r="Q404" s="86"/>
      <c r="R404" s="86"/>
      <c r="S404" s="86"/>
      <c r="T404" s="86"/>
      <c r="U404" s="86"/>
    </row>
    <row r="405">
      <c r="N405" s="125"/>
      <c r="O405" s="86"/>
      <c r="P405" s="86"/>
      <c r="Q405" s="86"/>
      <c r="R405" s="86"/>
      <c r="S405" s="86"/>
      <c r="T405" s="86"/>
      <c r="U405" s="86"/>
    </row>
    <row r="406">
      <c r="N406" s="125"/>
      <c r="O406" s="86"/>
      <c r="P406" s="86"/>
      <c r="Q406" s="86"/>
      <c r="R406" s="86"/>
      <c r="S406" s="86"/>
      <c r="T406" s="86"/>
      <c r="U406" s="86"/>
    </row>
    <row r="407">
      <c r="N407" s="125"/>
      <c r="O407" s="86"/>
      <c r="P407" s="86"/>
      <c r="Q407" s="86"/>
      <c r="R407" s="86"/>
      <c r="S407" s="86"/>
      <c r="T407" s="86"/>
      <c r="U407" s="86"/>
    </row>
    <row r="408">
      <c r="N408" s="125"/>
      <c r="O408" s="86"/>
      <c r="P408" s="86"/>
      <c r="Q408" s="86"/>
      <c r="R408" s="86"/>
      <c r="S408" s="86"/>
      <c r="T408" s="86"/>
      <c r="U408" s="86"/>
    </row>
    <row r="409">
      <c r="N409" s="125"/>
      <c r="O409" s="86"/>
      <c r="P409" s="86"/>
      <c r="Q409" s="86"/>
      <c r="R409" s="86"/>
      <c r="S409" s="86"/>
      <c r="T409" s="86"/>
      <c r="U409" s="86"/>
    </row>
    <row r="410">
      <c r="N410" s="125"/>
      <c r="O410" s="86"/>
      <c r="P410" s="86"/>
      <c r="Q410" s="86"/>
      <c r="R410" s="86"/>
      <c r="S410" s="86"/>
      <c r="T410" s="86"/>
      <c r="U410" s="86"/>
    </row>
    <row r="411">
      <c r="N411" s="125"/>
      <c r="O411" s="86"/>
      <c r="P411" s="86"/>
      <c r="Q411" s="86"/>
      <c r="R411" s="86"/>
      <c r="S411" s="86"/>
      <c r="T411" s="86"/>
      <c r="U411" s="86"/>
    </row>
    <row r="412">
      <c r="N412" s="125"/>
      <c r="O412" s="86"/>
      <c r="P412" s="86"/>
      <c r="Q412" s="86"/>
      <c r="R412" s="86"/>
      <c r="S412" s="86"/>
      <c r="T412" s="86"/>
      <c r="U412" s="86"/>
    </row>
    <row r="413">
      <c r="N413" s="125"/>
      <c r="O413" s="86"/>
      <c r="P413" s="86"/>
      <c r="Q413" s="86"/>
      <c r="R413" s="86"/>
      <c r="S413" s="86"/>
      <c r="T413" s="86"/>
      <c r="U413" s="86"/>
    </row>
    <row r="414">
      <c r="N414" s="125"/>
      <c r="O414" s="86"/>
      <c r="P414" s="86"/>
      <c r="Q414" s="86"/>
      <c r="R414" s="86"/>
      <c r="S414" s="86"/>
      <c r="T414" s="86"/>
      <c r="U414" s="86"/>
    </row>
    <row r="415">
      <c r="N415" s="125"/>
      <c r="O415" s="86"/>
      <c r="P415" s="86"/>
      <c r="Q415" s="86"/>
      <c r="R415" s="86"/>
      <c r="S415" s="86"/>
      <c r="T415" s="86"/>
      <c r="U415" s="86"/>
    </row>
    <row r="416">
      <c r="N416" s="125"/>
      <c r="O416" s="86"/>
      <c r="P416" s="86"/>
      <c r="Q416" s="86"/>
      <c r="R416" s="86"/>
      <c r="S416" s="86"/>
      <c r="T416" s="86"/>
      <c r="U416" s="86"/>
    </row>
    <row r="417">
      <c r="N417" s="125"/>
      <c r="O417" s="86"/>
      <c r="P417" s="86"/>
      <c r="Q417" s="86"/>
      <c r="R417" s="86"/>
      <c r="S417" s="86"/>
      <c r="T417" s="86"/>
      <c r="U417" s="86"/>
    </row>
    <row r="418">
      <c r="N418" s="125"/>
      <c r="O418" s="86"/>
      <c r="P418" s="86"/>
      <c r="Q418" s="86"/>
      <c r="R418" s="86"/>
      <c r="S418" s="86"/>
      <c r="T418" s="86"/>
      <c r="U418" s="86"/>
    </row>
    <row r="419">
      <c r="N419" s="125"/>
      <c r="O419" s="86"/>
      <c r="P419" s="86"/>
      <c r="Q419" s="86"/>
      <c r="R419" s="86"/>
      <c r="S419" s="86"/>
      <c r="T419" s="86"/>
      <c r="U419" s="86"/>
    </row>
    <row r="420">
      <c r="N420" s="125"/>
      <c r="O420" s="86"/>
      <c r="P420" s="86"/>
      <c r="Q420" s="86"/>
      <c r="R420" s="86"/>
      <c r="S420" s="86"/>
      <c r="T420" s="86"/>
      <c r="U420" s="86"/>
    </row>
    <row r="421">
      <c r="N421" s="125"/>
      <c r="O421" s="86"/>
      <c r="P421" s="86"/>
      <c r="Q421" s="86"/>
      <c r="R421" s="86"/>
      <c r="S421" s="86"/>
      <c r="T421" s="86"/>
      <c r="U421" s="86"/>
    </row>
    <row r="422">
      <c r="N422" s="125"/>
      <c r="O422" s="86"/>
      <c r="P422" s="86"/>
      <c r="Q422" s="86"/>
      <c r="R422" s="86"/>
      <c r="S422" s="86"/>
      <c r="T422" s="86"/>
      <c r="U422" s="86"/>
    </row>
    <row r="423">
      <c r="N423" s="125"/>
      <c r="O423" s="86"/>
      <c r="P423" s="86"/>
      <c r="Q423" s="86"/>
      <c r="R423" s="86"/>
      <c r="S423" s="86"/>
      <c r="T423" s="86"/>
      <c r="U423" s="86"/>
    </row>
    <row r="424">
      <c r="N424" s="125"/>
      <c r="O424" s="86"/>
      <c r="P424" s="86"/>
      <c r="Q424" s="86"/>
      <c r="R424" s="86"/>
      <c r="S424" s="86"/>
      <c r="T424" s="86"/>
      <c r="U424" s="86"/>
    </row>
    <row r="425">
      <c r="N425" s="125"/>
      <c r="O425" s="86"/>
      <c r="P425" s="86"/>
      <c r="Q425" s="86"/>
      <c r="R425" s="86"/>
      <c r="S425" s="86"/>
      <c r="T425" s="86"/>
      <c r="U425" s="86"/>
    </row>
    <row r="426">
      <c r="N426" s="125"/>
      <c r="O426" s="86"/>
      <c r="P426" s="86"/>
      <c r="Q426" s="86"/>
      <c r="R426" s="86"/>
      <c r="S426" s="86"/>
      <c r="T426" s="86"/>
      <c r="U426" s="86"/>
    </row>
    <row r="427">
      <c r="N427" s="125"/>
      <c r="O427" s="86"/>
      <c r="P427" s="86"/>
      <c r="Q427" s="86"/>
      <c r="R427" s="86"/>
      <c r="S427" s="86"/>
      <c r="T427" s="86"/>
      <c r="U427" s="86"/>
    </row>
    <row r="428">
      <c r="N428" s="125"/>
      <c r="O428" s="86"/>
      <c r="P428" s="86"/>
      <c r="Q428" s="86"/>
      <c r="R428" s="86"/>
      <c r="S428" s="86"/>
      <c r="T428" s="86"/>
      <c r="U428" s="86"/>
    </row>
    <row r="429">
      <c r="N429" s="125"/>
      <c r="O429" s="86"/>
      <c r="P429" s="86"/>
      <c r="Q429" s="86"/>
      <c r="R429" s="86"/>
      <c r="S429" s="86"/>
      <c r="T429" s="86"/>
      <c r="U429" s="86"/>
    </row>
    <row r="430">
      <c r="N430" s="125"/>
      <c r="O430" s="86"/>
      <c r="P430" s="86"/>
      <c r="Q430" s="86"/>
      <c r="R430" s="86"/>
      <c r="S430" s="86"/>
      <c r="T430" s="86"/>
      <c r="U430" s="86"/>
    </row>
    <row r="431">
      <c r="N431" s="125"/>
      <c r="O431" s="86"/>
      <c r="P431" s="86"/>
      <c r="Q431" s="86"/>
      <c r="R431" s="86"/>
      <c r="S431" s="86"/>
      <c r="T431" s="86"/>
      <c r="U431" s="86"/>
    </row>
    <row r="432">
      <c r="N432" s="125"/>
      <c r="O432" s="86"/>
      <c r="P432" s="86"/>
      <c r="Q432" s="86"/>
      <c r="R432" s="86"/>
      <c r="S432" s="86"/>
      <c r="T432" s="86"/>
      <c r="U432" s="86"/>
    </row>
    <row r="433">
      <c r="N433" s="125"/>
      <c r="O433" s="86"/>
      <c r="P433" s="86"/>
      <c r="Q433" s="86"/>
      <c r="R433" s="86"/>
      <c r="S433" s="86"/>
      <c r="T433" s="86"/>
      <c r="U433" s="86"/>
    </row>
    <row r="434">
      <c r="N434" s="125"/>
      <c r="O434" s="86"/>
      <c r="P434" s="86"/>
      <c r="Q434" s="86"/>
      <c r="R434" s="86"/>
      <c r="S434" s="86"/>
      <c r="T434" s="86"/>
      <c r="U434" s="86"/>
    </row>
    <row r="435">
      <c r="N435" s="125"/>
      <c r="O435" s="86"/>
      <c r="P435" s="86"/>
      <c r="Q435" s="86"/>
      <c r="R435" s="86"/>
      <c r="S435" s="86"/>
      <c r="T435" s="86"/>
      <c r="U435" s="86"/>
    </row>
    <row r="436">
      <c r="N436" s="125"/>
      <c r="O436" s="86"/>
      <c r="P436" s="86"/>
      <c r="Q436" s="86"/>
      <c r="R436" s="86"/>
      <c r="S436" s="86"/>
      <c r="T436" s="86"/>
      <c r="U436" s="86"/>
    </row>
    <row r="437">
      <c r="N437" s="125"/>
      <c r="O437" s="86"/>
      <c r="P437" s="86"/>
      <c r="Q437" s="86"/>
      <c r="R437" s="86"/>
      <c r="S437" s="86"/>
      <c r="T437" s="86"/>
      <c r="U437" s="86"/>
    </row>
    <row r="438">
      <c r="N438" s="125"/>
      <c r="O438" s="86"/>
      <c r="P438" s="86"/>
      <c r="Q438" s="86"/>
      <c r="R438" s="86"/>
      <c r="S438" s="86"/>
      <c r="T438" s="86"/>
      <c r="U438" s="86"/>
    </row>
    <row r="439">
      <c r="N439" s="125"/>
      <c r="O439" s="86"/>
      <c r="P439" s="86"/>
      <c r="Q439" s="86"/>
      <c r="R439" s="86"/>
      <c r="S439" s="86"/>
      <c r="T439" s="86"/>
      <c r="U439" s="86"/>
    </row>
    <row r="440">
      <c r="N440" s="125"/>
      <c r="O440" s="86"/>
      <c r="P440" s="86"/>
      <c r="Q440" s="86"/>
      <c r="R440" s="86"/>
      <c r="S440" s="86"/>
      <c r="T440" s="86"/>
      <c r="U440" s="86"/>
    </row>
    <row r="441">
      <c r="N441" s="125"/>
      <c r="O441" s="86"/>
      <c r="P441" s="86"/>
      <c r="Q441" s="86"/>
      <c r="R441" s="86"/>
      <c r="S441" s="86"/>
      <c r="T441" s="86"/>
      <c r="U441" s="86"/>
    </row>
    <row r="442">
      <c r="N442" s="125"/>
      <c r="O442" s="86"/>
      <c r="P442" s="86"/>
      <c r="Q442" s="86"/>
      <c r="R442" s="86"/>
      <c r="S442" s="86"/>
      <c r="T442" s="86"/>
      <c r="U442" s="86"/>
    </row>
    <row r="443">
      <c r="N443" s="125"/>
      <c r="O443" s="86"/>
      <c r="P443" s="86"/>
      <c r="Q443" s="86"/>
      <c r="R443" s="86"/>
      <c r="S443" s="86"/>
      <c r="T443" s="86"/>
      <c r="U443" s="86"/>
    </row>
    <row r="444">
      <c r="N444" s="125"/>
      <c r="O444" s="86"/>
      <c r="P444" s="86"/>
      <c r="Q444" s="86"/>
      <c r="R444" s="86"/>
      <c r="S444" s="86"/>
      <c r="T444" s="86"/>
      <c r="U444" s="86"/>
    </row>
    <row r="445">
      <c r="N445" s="125"/>
      <c r="O445" s="86"/>
      <c r="P445" s="86"/>
      <c r="Q445" s="86"/>
      <c r="R445" s="86"/>
      <c r="S445" s="86"/>
      <c r="T445" s="86"/>
      <c r="U445" s="86"/>
    </row>
    <row r="446">
      <c r="N446" s="125"/>
      <c r="O446" s="86"/>
      <c r="P446" s="86"/>
      <c r="Q446" s="86"/>
      <c r="R446" s="86"/>
      <c r="S446" s="86"/>
      <c r="T446" s="86"/>
      <c r="U446" s="86"/>
    </row>
    <row r="447">
      <c r="N447" s="125"/>
      <c r="O447" s="86"/>
      <c r="P447" s="86"/>
      <c r="Q447" s="86"/>
      <c r="R447" s="86"/>
      <c r="S447" s="86"/>
      <c r="T447" s="86"/>
      <c r="U447" s="86"/>
    </row>
    <row r="448">
      <c r="N448" s="125"/>
      <c r="O448" s="86"/>
      <c r="P448" s="86"/>
      <c r="Q448" s="86"/>
      <c r="R448" s="86"/>
      <c r="S448" s="86"/>
      <c r="T448" s="86"/>
      <c r="U448" s="86"/>
    </row>
    <row r="449">
      <c r="N449" s="125"/>
      <c r="O449" s="86"/>
      <c r="P449" s="86"/>
      <c r="Q449" s="86"/>
      <c r="R449" s="86"/>
      <c r="S449" s="86"/>
      <c r="T449" s="86"/>
      <c r="U449" s="86"/>
    </row>
    <row r="450">
      <c r="N450" s="125"/>
      <c r="O450" s="86"/>
      <c r="P450" s="86"/>
      <c r="Q450" s="86"/>
      <c r="R450" s="86"/>
      <c r="S450" s="86"/>
      <c r="T450" s="86"/>
      <c r="U450" s="86"/>
    </row>
    <row r="451">
      <c r="N451" s="125"/>
      <c r="O451" s="86"/>
      <c r="P451" s="86"/>
      <c r="Q451" s="86"/>
      <c r="R451" s="86"/>
      <c r="S451" s="86"/>
      <c r="T451" s="86"/>
      <c r="U451" s="86"/>
    </row>
    <row r="452">
      <c r="N452" s="125"/>
      <c r="O452" s="86"/>
      <c r="P452" s="86"/>
      <c r="Q452" s="86"/>
      <c r="R452" s="86"/>
      <c r="S452" s="86"/>
      <c r="T452" s="86"/>
      <c r="U452" s="86"/>
    </row>
    <row r="453">
      <c r="N453" s="125"/>
      <c r="O453" s="86"/>
      <c r="P453" s="86"/>
      <c r="Q453" s="86"/>
      <c r="R453" s="86"/>
      <c r="S453" s="86"/>
      <c r="T453" s="86"/>
      <c r="U453" s="86"/>
    </row>
    <row r="454">
      <c r="N454" s="125"/>
      <c r="O454" s="86"/>
      <c r="P454" s="86"/>
      <c r="Q454" s="86"/>
      <c r="R454" s="86"/>
      <c r="S454" s="86"/>
      <c r="T454" s="86"/>
      <c r="U454" s="86"/>
    </row>
    <row r="455">
      <c r="N455" s="125"/>
      <c r="O455" s="86"/>
      <c r="P455" s="86"/>
      <c r="Q455" s="86"/>
      <c r="R455" s="86"/>
      <c r="S455" s="86"/>
      <c r="T455" s="86"/>
      <c r="U455" s="86"/>
    </row>
    <row r="456">
      <c r="N456" s="125"/>
      <c r="O456" s="86"/>
      <c r="P456" s="86"/>
      <c r="Q456" s="86"/>
      <c r="R456" s="86"/>
      <c r="S456" s="86"/>
      <c r="T456" s="86"/>
      <c r="U456" s="86"/>
    </row>
    <row r="457">
      <c r="N457" s="125"/>
      <c r="O457" s="86"/>
      <c r="P457" s="86"/>
      <c r="Q457" s="86"/>
      <c r="R457" s="86"/>
      <c r="S457" s="86"/>
      <c r="T457" s="86"/>
      <c r="U457" s="86"/>
    </row>
    <row r="458">
      <c r="N458" s="125"/>
      <c r="O458" s="86"/>
      <c r="P458" s="86"/>
      <c r="Q458" s="86"/>
      <c r="R458" s="86"/>
      <c r="S458" s="86"/>
      <c r="T458" s="86"/>
      <c r="U458" s="86"/>
    </row>
    <row r="459">
      <c r="N459" s="125"/>
      <c r="O459" s="86"/>
      <c r="P459" s="86"/>
      <c r="Q459" s="86"/>
      <c r="R459" s="86"/>
      <c r="S459" s="86"/>
      <c r="T459" s="86"/>
      <c r="U459" s="86"/>
    </row>
    <row r="460">
      <c r="N460" s="125"/>
      <c r="O460" s="86"/>
      <c r="P460" s="86"/>
      <c r="Q460" s="86"/>
      <c r="R460" s="86"/>
      <c r="S460" s="86"/>
      <c r="T460" s="86"/>
      <c r="U460" s="86"/>
    </row>
    <row r="461">
      <c r="N461" s="125"/>
      <c r="O461" s="86"/>
      <c r="P461" s="86"/>
      <c r="Q461" s="86"/>
      <c r="R461" s="86"/>
      <c r="S461" s="86"/>
      <c r="T461" s="86"/>
      <c r="U461" s="86"/>
    </row>
    <row r="462">
      <c r="N462" s="125"/>
      <c r="O462" s="86"/>
      <c r="P462" s="86"/>
      <c r="Q462" s="86"/>
      <c r="R462" s="86"/>
      <c r="S462" s="86"/>
      <c r="T462" s="86"/>
      <c r="U462" s="86"/>
    </row>
    <row r="463">
      <c r="N463" s="125"/>
      <c r="O463" s="86"/>
      <c r="P463" s="86"/>
      <c r="Q463" s="86"/>
      <c r="R463" s="86"/>
      <c r="S463" s="86"/>
      <c r="T463" s="86"/>
      <c r="U463" s="86"/>
    </row>
    <row r="464">
      <c r="N464" s="125"/>
      <c r="O464" s="86"/>
      <c r="P464" s="86"/>
      <c r="Q464" s="86"/>
      <c r="R464" s="86"/>
      <c r="S464" s="86"/>
      <c r="T464" s="86"/>
      <c r="U464" s="86"/>
    </row>
    <row r="465">
      <c r="N465" s="125"/>
      <c r="O465" s="86"/>
      <c r="P465" s="86"/>
      <c r="Q465" s="86"/>
      <c r="R465" s="86"/>
      <c r="S465" s="86"/>
      <c r="T465" s="86"/>
      <c r="U465" s="86"/>
    </row>
    <row r="466">
      <c r="N466" s="125"/>
      <c r="O466" s="86"/>
      <c r="P466" s="86"/>
      <c r="Q466" s="86"/>
      <c r="R466" s="86"/>
      <c r="S466" s="86"/>
      <c r="T466" s="86"/>
      <c r="U466" s="86"/>
    </row>
    <row r="467">
      <c r="N467" s="125"/>
      <c r="O467" s="86"/>
      <c r="P467" s="86"/>
      <c r="Q467" s="86"/>
      <c r="R467" s="86"/>
      <c r="S467" s="86"/>
      <c r="T467" s="86"/>
      <c r="U467" s="86"/>
    </row>
    <row r="468">
      <c r="N468" s="125"/>
      <c r="O468" s="86"/>
      <c r="P468" s="86"/>
      <c r="Q468" s="86"/>
      <c r="R468" s="86"/>
      <c r="S468" s="86"/>
      <c r="T468" s="86"/>
      <c r="U468" s="86"/>
    </row>
    <row r="469">
      <c r="N469" s="125"/>
      <c r="O469" s="86"/>
      <c r="P469" s="86"/>
      <c r="Q469" s="86"/>
      <c r="R469" s="86"/>
      <c r="S469" s="86"/>
      <c r="T469" s="86"/>
      <c r="U469" s="86"/>
    </row>
    <row r="470">
      <c r="N470" s="125"/>
      <c r="O470" s="86"/>
      <c r="P470" s="86"/>
      <c r="Q470" s="86"/>
      <c r="R470" s="86"/>
      <c r="S470" s="86"/>
      <c r="T470" s="86"/>
      <c r="U470" s="86"/>
    </row>
    <row r="471">
      <c r="N471" s="125"/>
      <c r="O471" s="86"/>
      <c r="P471" s="86"/>
      <c r="Q471" s="86"/>
      <c r="R471" s="86"/>
      <c r="S471" s="86"/>
      <c r="T471" s="86"/>
      <c r="U471" s="86"/>
    </row>
    <row r="472">
      <c r="N472" s="125"/>
      <c r="O472" s="86"/>
      <c r="P472" s="86"/>
      <c r="Q472" s="86"/>
      <c r="R472" s="86"/>
      <c r="S472" s="86"/>
      <c r="T472" s="86"/>
      <c r="U472" s="86"/>
    </row>
    <row r="473">
      <c r="N473" s="125"/>
      <c r="O473" s="86"/>
      <c r="P473" s="86"/>
      <c r="Q473" s="86"/>
      <c r="R473" s="86"/>
      <c r="S473" s="86"/>
      <c r="T473" s="86"/>
      <c r="U473" s="86"/>
    </row>
    <row r="474">
      <c r="N474" s="125"/>
      <c r="O474" s="86"/>
      <c r="P474" s="86"/>
      <c r="Q474" s="86"/>
      <c r="R474" s="86"/>
      <c r="S474" s="86"/>
      <c r="T474" s="86"/>
      <c r="U474" s="86"/>
    </row>
    <row r="475">
      <c r="N475" s="125"/>
      <c r="O475" s="86"/>
      <c r="P475" s="86"/>
      <c r="Q475" s="86"/>
      <c r="R475" s="86"/>
      <c r="S475" s="86"/>
      <c r="T475" s="86"/>
      <c r="U475" s="86"/>
    </row>
    <row r="476">
      <c r="N476" s="125"/>
      <c r="O476" s="86"/>
      <c r="P476" s="86"/>
      <c r="Q476" s="86"/>
      <c r="R476" s="86"/>
      <c r="S476" s="86"/>
      <c r="T476" s="86"/>
      <c r="U476" s="86"/>
    </row>
    <row r="477">
      <c r="N477" s="125"/>
      <c r="O477" s="86"/>
      <c r="P477" s="86"/>
      <c r="Q477" s="86"/>
      <c r="R477" s="86"/>
      <c r="S477" s="86"/>
      <c r="T477" s="86"/>
      <c r="U477" s="86"/>
    </row>
    <row r="478">
      <c r="N478" s="125"/>
      <c r="O478" s="86"/>
      <c r="P478" s="86"/>
      <c r="Q478" s="86"/>
      <c r="R478" s="86"/>
      <c r="S478" s="86"/>
      <c r="T478" s="86"/>
      <c r="U478" s="86"/>
    </row>
    <row r="479">
      <c r="N479" s="125"/>
      <c r="O479" s="86"/>
      <c r="P479" s="86"/>
      <c r="Q479" s="86"/>
      <c r="R479" s="86"/>
      <c r="S479" s="86"/>
      <c r="T479" s="86"/>
      <c r="U479" s="86"/>
    </row>
    <row r="480">
      <c r="N480" s="125"/>
      <c r="O480" s="86"/>
      <c r="P480" s="86"/>
      <c r="Q480" s="86"/>
      <c r="R480" s="86"/>
      <c r="S480" s="86"/>
      <c r="T480" s="86"/>
      <c r="U480" s="86"/>
    </row>
    <row r="481">
      <c r="N481" s="125"/>
      <c r="O481" s="86"/>
      <c r="P481" s="86"/>
      <c r="Q481" s="86"/>
      <c r="R481" s="86"/>
      <c r="S481" s="86"/>
      <c r="T481" s="86"/>
      <c r="U481" s="86"/>
    </row>
    <row r="482">
      <c r="N482" s="125"/>
      <c r="O482" s="86"/>
      <c r="P482" s="86"/>
      <c r="Q482" s="86"/>
      <c r="R482" s="86"/>
      <c r="S482" s="86"/>
      <c r="T482" s="86"/>
      <c r="U482" s="86"/>
    </row>
    <row r="483">
      <c r="N483" s="125"/>
      <c r="O483" s="86"/>
      <c r="P483" s="86"/>
      <c r="Q483" s="86"/>
      <c r="R483" s="86"/>
      <c r="S483" s="86"/>
      <c r="T483" s="86"/>
      <c r="U483" s="86"/>
    </row>
    <row r="484">
      <c r="N484" s="125"/>
      <c r="O484" s="86"/>
      <c r="P484" s="86"/>
      <c r="Q484" s="86"/>
      <c r="R484" s="86"/>
      <c r="S484" s="86"/>
      <c r="T484" s="86"/>
      <c r="U484" s="86"/>
    </row>
    <row r="485">
      <c r="N485" s="125"/>
      <c r="O485" s="86"/>
      <c r="P485" s="86"/>
      <c r="Q485" s="86"/>
      <c r="R485" s="86"/>
      <c r="S485" s="86"/>
      <c r="T485" s="86"/>
      <c r="U485" s="86"/>
    </row>
    <row r="486">
      <c r="N486" s="125"/>
      <c r="O486" s="86"/>
      <c r="P486" s="86"/>
      <c r="Q486" s="86"/>
      <c r="R486" s="86"/>
      <c r="S486" s="86"/>
      <c r="T486" s="86"/>
      <c r="U486" s="86"/>
    </row>
    <row r="487">
      <c r="N487" s="125"/>
      <c r="O487" s="86"/>
      <c r="P487" s="86"/>
      <c r="Q487" s="86"/>
      <c r="R487" s="86"/>
      <c r="S487" s="86"/>
      <c r="T487" s="86"/>
      <c r="U487" s="86"/>
    </row>
    <row r="488">
      <c r="N488" s="125"/>
      <c r="O488" s="86"/>
      <c r="P488" s="86"/>
      <c r="Q488" s="86"/>
      <c r="R488" s="86"/>
      <c r="S488" s="86"/>
      <c r="T488" s="86"/>
      <c r="U488" s="86"/>
    </row>
    <row r="489">
      <c r="N489" s="125"/>
      <c r="O489" s="86"/>
      <c r="P489" s="86"/>
      <c r="Q489" s="86"/>
      <c r="R489" s="86"/>
      <c r="S489" s="86"/>
      <c r="T489" s="86"/>
      <c r="U489" s="86"/>
    </row>
    <row r="490">
      <c r="N490" s="125"/>
      <c r="O490" s="86"/>
      <c r="P490" s="86"/>
      <c r="Q490" s="86"/>
      <c r="R490" s="86"/>
      <c r="S490" s="86"/>
      <c r="T490" s="86"/>
      <c r="U490" s="86"/>
    </row>
    <row r="491">
      <c r="N491" s="125"/>
      <c r="O491" s="86"/>
      <c r="P491" s="86"/>
      <c r="Q491" s="86"/>
      <c r="R491" s="86"/>
      <c r="S491" s="86"/>
      <c r="T491" s="86"/>
      <c r="U491" s="86"/>
    </row>
    <row r="492">
      <c r="N492" s="125"/>
      <c r="O492" s="86"/>
      <c r="P492" s="86"/>
      <c r="Q492" s="86"/>
      <c r="R492" s="86"/>
      <c r="S492" s="86"/>
      <c r="T492" s="86"/>
      <c r="U492" s="86"/>
    </row>
    <row r="493">
      <c r="N493" s="125"/>
      <c r="O493" s="86"/>
      <c r="P493" s="86"/>
      <c r="Q493" s="86"/>
      <c r="R493" s="86"/>
      <c r="S493" s="86"/>
      <c r="T493" s="86"/>
      <c r="U493" s="86"/>
    </row>
    <row r="494">
      <c r="N494" s="125"/>
      <c r="O494" s="86"/>
      <c r="P494" s="86"/>
      <c r="Q494" s="86"/>
      <c r="R494" s="86"/>
      <c r="S494" s="86"/>
      <c r="T494" s="86"/>
      <c r="U494" s="86"/>
    </row>
    <row r="495">
      <c r="N495" s="125"/>
      <c r="O495" s="86"/>
      <c r="P495" s="86"/>
      <c r="Q495" s="86"/>
      <c r="R495" s="86"/>
      <c r="S495" s="86"/>
      <c r="T495" s="86"/>
      <c r="U495" s="86"/>
    </row>
    <row r="496">
      <c r="N496" s="125"/>
      <c r="O496" s="86"/>
      <c r="P496" s="86"/>
      <c r="Q496" s="86"/>
      <c r="R496" s="86"/>
      <c r="S496" s="86"/>
      <c r="T496" s="86"/>
      <c r="U496" s="86"/>
    </row>
    <row r="497">
      <c r="N497" s="125"/>
      <c r="O497" s="86"/>
      <c r="P497" s="86"/>
      <c r="Q497" s="86"/>
      <c r="R497" s="86"/>
      <c r="S497" s="86"/>
      <c r="T497" s="86"/>
      <c r="U497" s="86"/>
    </row>
    <row r="498">
      <c r="N498" s="125"/>
      <c r="O498" s="86"/>
      <c r="P498" s="86"/>
      <c r="Q498" s="86"/>
      <c r="R498" s="86"/>
      <c r="S498" s="86"/>
      <c r="T498" s="86"/>
      <c r="U498" s="86"/>
    </row>
    <row r="499">
      <c r="N499" s="125"/>
      <c r="O499" s="86"/>
      <c r="P499" s="86"/>
      <c r="Q499" s="86"/>
      <c r="R499" s="86"/>
      <c r="S499" s="86"/>
      <c r="T499" s="86"/>
      <c r="U499" s="86"/>
    </row>
    <row r="500">
      <c r="N500" s="125"/>
      <c r="O500" s="86"/>
      <c r="P500" s="86"/>
      <c r="Q500" s="86"/>
      <c r="R500" s="86"/>
      <c r="S500" s="86"/>
      <c r="T500" s="86"/>
      <c r="U500" s="86"/>
    </row>
    <row r="501">
      <c r="N501" s="125"/>
      <c r="O501" s="86"/>
      <c r="P501" s="86"/>
      <c r="Q501" s="86"/>
      <c r="R501" s="86"/>
      <c r="S501" s="86"/>
      <c r="T501" s="86"/>
      <c r="U501" s="86"/>
    </row>
    <row r="502">
      <c r="N502" s="125"/>
      <c r="O502" s="86"/>
      <c r="P502" s="86"/>
      <c r="Q502" s="86"/>
      <c r="R502" s="86"/>
      <c r="S502" s="86"/>
      <c r="T502" s="86"/>
      <c r="U502" s="86"/>
    </row>
    <row r="503">
      <c r="N503" s="125"/>
      <c r="O503" s="86"/>
      <c r="P503" s="86"/>
      <c r="Q503" s="86"/>
      <c r="R503" s="86"/>
      <c r="S503" s="86"/>
      <c r="T503" s="86"/>
      <c r="U503" s="86"/>
    </row>
    <row r="504">
      <c r="N504" s="125"/>
      <c r="O504" s="86"/>
      <c r="P504" s="86"/>
      <c r="Q504" s="86"/>
      <c r="R504" s="86"/>
      <c r="S504" s="86"/>
      <c r="T504" s="86"/>
      <c r="U504" s="86"/>
    </row>
    <row r="505">
      <c r="N505" s="125"/>
      <c r="O505" s="86"/>
      <c r="P505" s="86"/>
      <c r="Q505" s="86"/>
      <c r="R505" s="86"/>
      <c r="S505" s="86"/>
      <c r="T505" s="86"/>
      <c r="U505" s="86"/>
    </row>
    <row r="506">
      <c r="N506" s="125"/>
      <c r="O506" s="86"/>
      <c r="P506" s="86"/>
      <c r="Q506" s="86"/>
      <c r="R506" s="86"/>
      <c r="S506" s="86"/>
      <c r="T506" s="86"/>
      <c r="U506" s="86"/>
    </row>
    <row r="507">
      <c r="N507" s="125"/>
      <c r="O507" s="86"/>
      <c r="P507" s="86"/>
      <c r="Q507" s="86"/>
      <c r="R507" s="86"/>
      <c r="S507" s="86"/>
      <c r="T507" s="86"/>
      <c r="U507" s="86"/>
    </row>
    <row r="508">
      <c r="N508" s="125"/>
      <c r="O508" s="86"/>
      <c r="P508" s="86"/>
      <c r="Q508" s="86"/>
      <c r="R508" s="86"/>
      <c r="S508" s="86"/>
      <c r="T508" s="86"/>
      <c r="U508" s="86"/>
    </row>
    <row r="509">
      <c r="N509" s="125"/>
      <c r="O509" s="86"/>
      <c r="P509" s="86"/>
      <c r="Q509" s="86"/>
      <c r="R509" s="86"/>
      <c r="S509" s="86"/>
      <c r="T509" s="86"/>
      <c r="U509" s="86"/>
    </row>
    <row r="510">
      <c r="N510" s="125"/>
      <c r="O510" s="86"/>
      <c r="P510" s="86"/>
      <c r="Q510" s="86"/>
      <c r="R510" s="86"/>
      <c r="S510" s="86"/>
      <c r="T510" s="86"/>
      <c r="U510" s="86"/>
    </row>
    <row r="511">
      <c r="N511" s="125"/>
      <c r="O511" s="86"/>
      <c r="P511" s="86"/>
      <c r="Q511" s="86"/>
      <c r="R511" s="86"/>
      <c r="S511" s="86"/>
      <c r="T511" s="86"/>
      <c r="U511" s="86"/>
    </row>
    <row r="512">
      <c r="N512" s="125"/>
      <c r="O512" s="86"/>
      <c r="P512" s="86"/>
      <c r="Q512" s="86"/>
      <c r="R512" s="86"/>
      <c r="S512" s="86"/>
      <c r="T512" s="86"/>
      <c r="U512" s="86"/>
    </row>
    <row r="513">
      <c r="N513" s="125"/>
      <c r="O513" s="86"/>
      <c r="P513" s="86"/>
      <c r="Q513" s="86"/>
      <c r="R513" s="86"/>
      <c r="S513" s="86"/>
      <c r="T513" s="86"/>
      <c r="U513" s="86"/>
    </row>
    <row r="514">
      <c r="N514" s="125"/>
      <c r="O514" s="86"/>
      <c r="P514" s="86"/>
      <c r="Q514" s="86"/>
      <c r="R514" s="86"/>
      <c r="S514" s="86"/>
      <c r="T514" s="86"/>
      <c r="U514" s="86"/>
    </row>
    <row r="515">
      <c r="N515" s="125"/>
      <c r="O515" s="86"/>
      <c r="P515" s="86"/>
      <c r="Q515" s="86"/>
      <c r="R515" s="86"/>
      <c r="S515" s="86"/>
      <c r="T515" s="86"/>
      <c r="U515" s="86"/>
    </row>
    <row r="516">
      <c r="N516" s="125"/>
      <c r="O516" s="86"/>
      <c r="P516" s="86"/>
      <c r="Q516" s="86"/>
      <c r="R516" s="86"/>
      <c r="S516" s="86"/>
      <c r="T516" s="86"/>
      <c r="U516" s="86"/>
    </row>
    <row r="517">
      <c r="N517" s="125"/>
      <c r="O517" s="86"/>
      <c r="P517" s="86"/>
      <c r="Q517" s="86"/>
      <c r="R517" s="86"/>
      <c r="S517" s="86"/>
      <c r="T517" s="86"/>
      <c r="U517" s="86"/>
    </row>
    <row r="518">
      <c r="N518" s="125"/>
      <c r="O518" s="86"/>
      <c r="P518" s="86"/>
      <c r="Q518" s="86"/>
      <c r="R518" s="86"/>
      <c r="S518" s="86"/>
      <c r="T518" s="86"/>
      <c r="U518" s="86"/>
    </row>
    <row r="519">
      <c r="N519" s="125"/>
      <c r="O519" s="86"/>
      <c r="P519" s="86"/>
      <c r="Q519" s="86"/>
      <c r="R519" s="86"/>
      <c r="S519" s="86"/>
      <c r="T519" s="86"/>
      <c r="U519" s="86"/>
    </row>
    <row r="520">
      <c r="N520" s="125"/>
      <c r="O520" s="86"/>
      <c r="P520" s="86"/>
      <c r="Q520" s="86"/>
      <c r="R520" s="86"/>
      <c r="S520" s="86"/>
      <c r="T520" s="86"/>
      <c r="U520" s="86"/>
    </row>
    <row r="521">
      <c r="N521" s="125"/>
      <c r="O521" s="86"/>
      <c r="P521" s="86"/>
      <c r="Q521" s="86"/>
      <c r="R521" s="86"/>
      <c r="S521" s="86"/>
      <c r="T521" s="86"/>
      <c r="U521" s="86"/>
    </row>
    <row r="522">
      <c r="N522" s="125"/>
      <c r="O522" s="86"/>
      <c r="P522" s="86"/>
      <c r="Q522" s="86"/>
      <c r="R522" s="86"/>
      <c r="S522" s="86"/>
      <c r="T522" s="86"/>
      <c r="U522" s="86"/>
    </row>
    <row r="523">
      <c r="N523" s="125"/>
      <c r="O523" s="86"/>
      <c r="P523" s="86"/>
      <c r="Q523" s="86"/>
      <c r="R523" s="86"/>
      <c r="S523" s="86"/>
      <c r="T523" s="86"/>
      <c r="U523" s="86"/>
    </row>
    <row r="524">
      <c r="N524" s="125"/>
      <c r="O524" s="86"/>
      <c r="P524" s="86"/>
      <c r="Q524" s="86"/>
      <c r="R524" s="86"/>
      <c r="S524" s="86"/>
      <c r="T524" s="86"/>
      <c r="U524" s="86"/>
    </row>
    <row r="525">
      <c r="N525" s="125"/>
      <c r="O525" s="86"/>
      <c r="P525" s="86"/>
      <c r="Q525" s="86"/>
      <c r="R525" s="86"/>
      <c r="S525" s="86"/>
      <c r="T525" s="86"/>
      <c r="U525" s="86"/>
    </row>
    <row r="526">
      <c r="N526" s="125"/>
      <c r="O526" s="86"/>
      <c r="P526" s="86"/>
      <c r="Q526" s="86"/>
      <c r="R526" s="86"/>
      <c r="S526" s="86"/>
      <c r="T526" s="86"/>
      <c r="U526" s="86"/>
    </row>
    <row r="527">
      <c r="N527" s="125"/>
      <c r="O527" s="86"/>
      <c r="P527" s="86"/>
      <c r="Q527" s="86"/>
      <c r="R527" s="86"/>
      <c r="S527" s="86"/>
      <c r="T527" s="86"/>
      <c r="U527" s="86"/>
    </row>
    <row r="528">
      <c r="N528" s="125"/>
      <c r="O528" s="86"/>
      <c r="P528" s="86"/>
      <c r="Q528" s="86"/>
      <c r="R528" s="86"/>
      <c r="S528" s="86"/>
      <c r="T528" s="86"/>
      <c r="U528" s="86"/>
    </row>
    <row r="529">
      <c r="N529" s="125"/>
      <c r="O529" s="86"/>
      <c r="P529" s="86"/>
      <c r="Q529" s="86"/>
      <c r="R529" s="86"/>
      <c r="S529" s="86"/>
      <c r="T529" s="86"/>
      <c r="U529" s="86"/>
    </row>
    <row r="530">
      <c r="N530" s="125"/>
      <c r="O530" s="86"/>
      <c r="P530" s="86"/>
      <c r="Q530" s="86"/>
      <c r="R530" s="86"/>
      <c r="S530" s="86"/>
      <c r="T530" s="86"/>
      <c r="U530" s="86"/>
    </row>
    <row r="531">
      <c r="N531" s="125"/>
      <c r="O531" s="86"/>
      <c r="P531" s="86"/>
      <c r="Q531" s="86"/>
      <c r="R531" s="86"/>
      <c r="S531" s="86"/>
      <c r="T531" s="86"/>
      <c r="U531" s="86"/>
    </row>
    <row r="532">
      <c r="N532" s="125"/>
      <c r="O532" s="86"/>
      <c r="P532" s="86"/>
      <c r="Q532" s="86"/>
      <c r="R532" s="86"/>
      <c r="S532" s="86"/>
      <c r="T532" s="86"/>
      <c r="U532" s="86"/>
    </row>
    <row r="533">
      <c r="N533" s="125"/>
      <c r="O533" s="86"/>
      <c r="P533" s="86"/>
      <c r="Q533" s="86"/>
      <c r="R533" s="86"/>
      <c r="S533" s="86"/>
      <c r="T533" s="86"/>
      <c r="U533" s="86"/>
    </row>
    <row r="534">
      <c r="N534" s="125"/>
      <c r="O534" s="86"/>
      <c r="P534" s="86"/>
      <c r="Q534" s="86"/>
      <c r="R534" s="86"/>
      <c r="S534" s="86"/>
      <c r="T534" s="86"/>
      <c r="U534" s="86"/>
    </row>
    <row r="535">
      <c r="N535" s="125"/>
      <c r="O535" s="86"/>
      <c r="P535" s="86"/>
      <c r="Q535" s="86"/>
      <c r="R535" s="86"/>
      <c r="S535" s="86"/>
      <c r="T535" s="86"/>
      <c r="U535" s="86"/>
    </row>
    <row r="536">
      <c r="N536" s="125"/>
      <c r="O536" s="86"/>
      <c r="P536" s="86"/>
      <c r="Q536" s="86"/>
      <c r="R536" s="86"/>
      <c r="S536" s="86"/>
      <c r="T536" s="86"/>
      <c r="U536" s="86"/>
    </row>
    <row r="537">
      <c r="N537" s="125"/>
      <c r="O537" s="86"/>
      <c r="P537" s="86"/>
      <c r="Q537" s="86"/>
      <c r="R537" s="86"/>
      <c r="S537" s="86"/>
      <c r="T537" s="86"/>
      <c r="U537" s="86"/>
    </row>
    <row r="538">
      <c r="N538" s="125"/>
      <c r="O538" s="86"/>
      <c r="P538" s="86"/>
      <c r="Q538" s="86"/>
      <c r="R538" s="86"/>
      <c r="S538" s="86"/>
      <c r="T538" s="86"/>
      <c r="U538" s="86"/>
    </row>
    <row r="539">
      <c r="N539" s="125"/>
      <c r="O539" s="86"/>
      <c r="P539" s="86"/>
      <c r="Q539" s="86"/>
      <c r="R539" s="86"/>
      <c r="S539" s="86"/>
      <c r="T539" s="86"/>
      <c r="U539" s="86"/>
    </row>
    <row r="540">
      <c r="N540" s="125"/>
      <c r="O540" s="86"/>
      <c r="P540" s="86"/>
      <c r="Q540" s="86"/>
      <c r="R540" s="86"/>
      <c r="S540" s="86"/>
      <c r="T540" s="86"/>
      <c r="U540" s="86"/>
    </row>
    <row r="541">
      <c r="N541" s="125"/>
      <c r="O541" s="86"/>
      <c r="P541" s="86"/>
      <c r="Q541" s="86"/>
      <c r="R541" s="86"/>
      <c r="S541" s="86"/>
      <c r="T541" s="86"/>
      <c r="U541" s="86"/>
    </row>
    <row r="542">
      <c r="N542" s="125"/>
      <c r="O542" s="86"/>
      <c r="P542" s="86"/>
      <c r="Q542" s="86"/>
      <c r="R542" s="86"/>
      <c r="S542" s="86"/>
      <c r="T542" s="86"/>
      <c r="U542" s="86"/>
    </row>
    <row r="543">
      <c r="N543" s="125"/>
      <c r="O543" s="86"/>
      <c r="P543" s="86"/>
      <c r="Q543" s="86"/>
      <c r="R543" s="86"/>
      <c r="S543" s="86"/>
      <c r="T543" s="86"/>
      <c r="U543" s="86"/>
    </row>
    <row r="544">
      <c r="N544" s="125"/>
      <c r="O544" s="86"/>
      <c r="P544" s="86"/>
      <c r="Q544" s="86"/>
      <c r="R544" s="86"/>
      <c r="S544" s="86"/>
      <c r="T544" s="86"/>
      <c r="U544" s="86"/>
    </row>
    <row r="545">
      <c r="N545" s="125"/>
      <c r="O545" s="86"/>
      <c r="P545" s="86"/>
      <c r="Q545" s="86"/>
      <c r="R545" s="86"/>
      <c r="S545" s="86"/>
      <c r="T545" s="86"/>
      <c r="U545" s="86"/>
    </row>
    <row r="546">
      <c r="N546" s="125"/>
      <c r="O546" s="86"/>
      <c r="P546" s="86"/>
      <c r="Q546" s="86"/>
      <c r="R546" s="86"/>
      <c r="S546" s="86"/>
      <c r="T546" s="86"/>
      <c r="U546" s="86"/>
    </row>
    <row r="547">
      <c r="N547" s="125"/>
      <c r="O547" s="86"/>
      <c r="P547" s="86"/>
      <c r="Q547" s="86"/>
      <c r="R547" s="86"/>
      <c r="S547" s="86"/>
      <c r="T547" s="86"/>
      <c r="U547" s="86"/>
    </row>
    <row r="548">
      <c r="N548" s="125"/>
      <c r="O548" s="86"/>
      <c r="P548" s="86"/>
      <c r="Q548" s="86"/>
      <c r="R548" s="86"/>
      <c r="S548" s="86"/>
      <c r="T548" s="86"/>
      <c r="U548" s="86"/>
    </row>
    <row r="549">
      <c r="N549" s="125"/>
      <c r="O549" s="86"/>
      <c r="P549" s="86"/>
      <c r="Q549" s="86"/>
      <c r="R549" s="86"/>
      <c r="S549" s="86"/>
      <c r="T549" s="86"/>
      <c r="U549" s="86"/>
    </row>
    <row r="550">
      <c r="N550" s="125"/>
      <c r="O550" s="86"/>
      <c r="P550" s="86"/>
      <c r="Q550" s="86"/>
      <c r="R550" s="86"/>
      <c r="S550" s="86"/>
      <c r="T550" s="86"/>
      <c r="U550" s="86"/>
    </row>
    <row r="551">
      <c r="N551" s="125"/>
      <c r="O551" s="86"/>
      <c r="P551" s="86"/>
      <c r="Q551" s="86"/>
      <c r="R551" s="86"/>
      <c r="S551" s="86"/>
      <c r="T551" s="86"/>
      <c r="U551" s="86"/>
    </row>
    <row r="552">
      <c r="N552" s="125"/>
      <c r="O552" s="86"/>
      <c r="P552" s="86"/>
      <c r="Q552" s="86"/>
      <c r="R552" s="86"/>
      <c r="S552" s="86"/>
      <c r="T552" s="86"/>
      <c r="U552" s="86"/>
    </row>
    <row r="553">
      <c r="N553" s="125"/>
      <c r="O553" s="86"/>
      <c r="P553" s="86"/>
      <c r="Q553" s="86"/>
      <c r="R553" s="86"/>
      <c r="S553" s="86"/>
      <c r="T553" s="86"/>
      <c r="U553" s="86"/>
    </row>
    <row r="554">
      <c r="N554" s="125"/>
      <c r="O554" s="86"/>
      <c r="P554" s="86"/>
      <c r="Q554" s="86"/>
      <c r="R554" s="86"/>
      <c r="S554" s="86"/>
      <c r="T554" s="86"/>
      <c r="U554" s="86"/>
    </row>
    <row r="555">
      <c r="N555" s="125"/>
      <c r="O555" s="86"/>
      <c r="P555" s="86"/>
      <c r="Q555" s="86"/>
      <c r="R555" s="86"/>
      <c r="S555" s="86"/>
      <c r="T555" s="86"/>
      <c r="U555" s="86"/>
    </row>
    <row r="556">
      <c r="N556" s="125"/>
      <c r="O556" s="86"/>
      <c r="P556" s="86"/>
      <c r="Q556" s="86"/>
      <c r="R556" s="86"/>
      <c r="S556" s="86"/>
      <c r="T556" s="86"/>
      <c r="U556" s="86"/>
    </row>
    <row r="557">
      <c r="N557" s="125"/>
      <c r="O557" s="86"/>
      <c r="P557" s="86"/>
      <c r="Q557" s="86"/>
      <c r="R557" s="86"/>
      <c r="S557" s="86"/>
      <c r="T557" s="86"/>
      <c r="U557" s="86"/>
    </row>
    <row r="558">
      <c r="N558" s="125"/>
      <c r="O558" s="86"/>
      <c r="P558" s="86"/>
      <c r="Q558" s="86"/>
      <c r="R558" s="86"/>
      <c r="S558" s="86"/>
      <c r="T558" s="86"/>
      <c r="U558" s="86"/>
    </row>
    <row r="559">
      <c r="N559" s="125"/>
      <c r="O559" s="86"/>
      <c r="P559" s="86"/>
      <c r="Q559" s="86"/>
      <c r="R559" s="86"/>
      <c r="S559" s="86"/>
      <c r="T559" s="86"/>
      <c r="U559" s="86"/>
    </row>
    <row r="560">
      <c r="N560" s="125"/>
      <c r="O560" s="86"/>
      <c r="P560" s="86"/>
      <c r="Q560" s="86"/>
      <c r="R560" s="86"/>
      <c r="S560" s="86"/>
      <c r="T560" s="86"/>
      <c r="U560" s="86"/>
    </row>
    <row r="561">
      <c r="N561" s="125"/>
      <c r="O561" s="86"/>
      <c r="P561" s="86"/>
      <c r="Q561" s="86"/>
      <c r="R561" s="86"/>
      <c r="S561" s="86"/>
      <c r="T561" s="86"/>
      <c r="U561" s="86"/>
    </row>
    <row r="562">
      <c r="N562" s="125"/>
      <c r="O562" s="86"/>
      <c r="P562" s="86"/>
      <c r="Q562" s="86"/>
      <c r="R562" s="86"/>
      <c r="S562" s="86"/>
      <c r="T562" s="86"/>
      <c r="U562" s="86"/>
    </row>
    <row r="563">
      <c r="N563" s="125"/>
      <c r="O563" s="86"/>
      <c r="P563" s="86"/>
      <c r="Q563" s="86"/>
      <c r="R563" s="86"/>
      <c r="S563" s="86"/>
      <c r="T563" s="86"/>
      <c r="U563" s="86"/>
    </row>
    <row r="564">
      <c r="N564" s="125"/>
      <c r="O564" s="86"/>
      <c r="P564" s="86"/>
      <c r="Q564" s="86"/>
      <c r="R564" s="86"/>
      <c r="S564" s="86"/>
      <c r="T564" s="86"/>
      <c r="U564" s="86"/>
    </row>
    <row r="565">
      <c r="N565" s="125"/>
      <c r="O565" s="86"/>
      <c r="P565" s="86"/>
      <c r="Q565" s="86"/>
      <c r="R565" s="86"/>
      <c r="S565" s="86"/>
      <c r="T565" s="86"/>
      <c r="U565" s="86"/>
    </row>
    <row r="566">
      <c r="N566" s="125"/>
      <c r="O566" s="86"/>
      <c r="P566" s="86"/>
      <c r="Q566" s="86"/>
      <c r="R566" s="86"/>
      <c r="S566" s="86"/>
      <c r="T566" s="86"/>
      <c r="U566" s="86"/>
    </row>
    <row r="567">
      <c r="N567" s="125"/>
      <c r="O567" s="86"/>
      <c r="P567" s="86"/>
      <c r="Q567" s="86"/>
      <c r="R567" s="86"/>
      <c r="S567" s="86"/>
      <c r="T567" s="86"/>
      <c r="U567" s="86"/>
    </row>
    <row r="568">
      <c r="N568" s="125"/>
      <c r="O568" s="86"/>
      <c r="P568" s="86"/>
      <c r="Q568" s="86"/>
      <c r="R568" s="86"/>
      <c r="S568" s="86"/>
      <c r="T568" s="86"/>
      <c r="U568" s="86"/>
    </row>
    <row r="569">
      <c r="N569" s="125"/>
      <c r="O569" s="86"/>
      <c r="P569" s="86"/>
      <c r="Q569" s="86"/>
      <c r="R569" s="86"/>
      <c r="S569" s="86"/>
      <c r="T569" s="86"/>
      <c r="U569" s="86"/>
    </row>
    <row r="570">
      <c r="N570" s="125"/>
      <c r="O570" s="86"/>
      <c r="P570" s="86"/>
      <c r="Q570" s="86"/>
      <c r="R570" s="86"/>
      <c r="S570" s="86"/>
      <c r="T570" s="86"/>
      <c r="U570" s="86"/>
    </row>
    <row r="571">
      <c r="N571" s="125"/>
      <c r="O571" s="86"/>
      <c r="P571" s="86"/>
      <c r="Q571" s="86"/>
      <c r="R571" s="86"/>
      <c r="S571" s="86"/>
      <c r="T571" s="86"/>
      <c r="U571" s="86"/>
    </row>
    <row r="572">
      <c r="N572" s="125"/>
      <c r="O572" s="86"/>
      <c r="P572" s="86"/>
      <c r="Q572" s="86"/>
      <c r="R572" s="86"/>
      <c r="S572" s="86"/>
      <c r="T572" s="86"/>
      <c r="U572" s="86"/>
    </row>
    <row r="573">
      <c r="N573" s="125"/>
      <c r="O573" s="86"/>
      <c r="P573" s="86"/>
      <c r="Q573" s="86"/>
      <c r="R573" s="86"/>
      <c r="S573" s="86"/>
      <c r="T573" s="86"/>
      <c r="U573" s="86"/>
    </row>
    <row r="574">
      <c r="N574" s="125"/>
      <c r="O574" s="86"/>
      <c r="P574" s="86"/>
      <c r="Q574" s="86"/>
      <c r="R574" s="86"/>
      <c r="S574" s="86"/>
      <c r="T574" s="86"/>
      <c r="U574" s="86"/>
    </row>
    <row r="575">
      <c r="N575" s="125"/>
      <c r="O575" s="86"/>
      <c r="P575" s="86"/>
      <c r="Q575" s="86"/>
      <c r="R575" s="86"/>
      <c r="S575" s="86"/>
      <c r="T575" s="86"/>
      <c r="U575" s="86"/>
    </row>
    <row r="576">
      <c r="N576" s="125"/>
      <c r="O576" s="86"/>
      <c r="P576" s="86"/>
      <c r="Q576" s="86"/>
      <c r="R576" s="86"/>
      <c r="S576" s="86"/>
      <c r="T576" s="86"/>
      <c r="U576" s="86"/>
    </row>
    <row r="577">
      <c r="N577" s="125"/>
      <c r="O577" s="86"/>
      <c r="P577" s="86"/>
      <c r="Q577" s="86"/>
      <c r="R577" s="86"/>
      <c r="S577" s="86"/>
      <c r="T577" s="86"/>
      <c r="U577" s="86"/>
    </row>
    <row r="578">
      <c r="N578" s="125"/>
      <c r="O578" s="86"/>
      <c r="P578" s="86"/>
      <c r="Q578" s="86"/>
      <c r="R578" s="86"/>
      <c r="S578" s="86"/>
      <c r="T578" s="86"/>
      <c r="U578" s="86"/>
    </row>
    <row r="579">
      <c r="N579" s="125"/>
      <c r="O579" s="86"/>
      <c r="P579" s="86"/>
      <c r="Q579" s="86"/>
      <c r="R579" s="86"/>
      <c r="S579" s="86"/>
      <c r="T579" s="86"/>
      <c r="U579" s="86"/>
    </row>
    <row r="580">
      <c r="N580" s="125"/>
      <c r="O580" s="86"/>
      <c r="P580" s="86"/>
      <c r="Q580" s="86"/>
      <c r="R580" s="86"/>
      <c r="S580" s="86"/>
      <c r="T580" s="86"/>
      <c r="U580" s="86"/>
    </row>
    <row r="581">
      <c r="N581" s="125"/>
      <c r="O581" s="86"/>
      <c r="P581" s="86"/>
      <c r="Q581" s="86"/>
      <c r="R581" s="86"/>
      <c r="S581" s="86"/>
      <c r="T581" s="86"/>
      <c r="U581" s="86"/>
    </row>
    <row r="582">
      <c r="N582" s="125"/>
      <c r="O582" s="86"/>
      <c r="P582" s="86"/>
      <c r="Q582" s="86"/>
      <c r="R582" s="86"/>
      <c r="S582" s="86"/>
      <c r="T582" s="86"/>
      <c r="U582" s="86"/>
    </row>
    <row r="583">
      <c r="N583" s="125"/>
      <c r="O583" s="86"/>
      <c r="P583" s="86"/>
      <c r="Q583" s="86"/>
      <c r="R583" s="86"/>
      <c r="S583" s="86"/>
      <c r="T583" s="86"/>
      <c r="U583" s="86"/>
    </row>
    <row r="584">
      <c r="N584" s="125"/>
      <c r="O584" s="86"/>
      <c r="P584" s="86"/>
      <c r="Q584" s="86"/>
      <c r="R584" s="86"/>
      <c r="S584" s="86"/>
      <c r="T584" s="86"/>
      <c r="U584" s="86"/>
    </row>
    <row r="585">
      <c r="N585" s="125"/>
      <c r="O585" s="86"/>
      <c r="P585" s="86"/>
      <c r="Q585" s="86"/>
      <c r="R585" s="86"/>
      <c r="S585" s="86"/>
      <c r="T585" s="86"/>
      <c r="U585" s="86"/>
    </row>
    <row r="586">
      <c r="N586" s="125"/>
      <c r="O586" s="86"/>
      <c r="P586" s="86"/>
      <c r="Q586" s="86"/>
      <c r="R586" s="86"/>
      <c r="S586" s="86"/>
      <c r="T586" s="86"/>
      <c r="U586" s="86"/>
    </row>
    <row r="587">
      <c r="N587" s="125"/>
      <c r="O587" s="86"/>
      <c r="P587" s="86"/>
      <c r="Q587" s="86"/>
      <c r="R587" s="86"/>
      <c r="S587" s="86"/>
      <c r="T587" s="86"/>
      <c r="U587" s="86"/>
    </row>
    <row r="588">
      <c r="N588" s="125"/>
      <c r="O588" s="86"/>
      <c r="P588" s="86"/>
      <c r="Q588" s="86"/>
      <c r="R588" s="86"/>
      <c r="S588" s="86"/>
      <c r="T588" s="86"/>
      <c r="U588" s="86"/>
    </row>
    <row r="589">
      <c r="N589" s="125"/>
      <c r="O589" s="86"/>
      <c r="P589" s="86"/>
      <c r="Q589" s="86"/>
      <c r="R589" s="86"/>
      <c r="S589" s="86"/>
      <c r="T589" s="86"/>
      <c r="U589" s="86"/>
    </row>
    <row r="590">
      <c r="N590" s="125"/>
      <c r="O590" s="86"/>
      <c r="P590" s="86"/>
      <c r="Q590" s="86"/>
      <c r="R590" s="86"/>
      <c r="S590" s="86"/>
      <c r="T590" s="86"/>
      <c r="U590" s="86"/>
    </row>
    <row r="591">
      <c r="N591" s="125"/>
      <c r="O591" s="86"/>
      <c r="P591" s="86"/>
      <c r="Q591" s="86"/>
      <c r="R591" s="86"/>
      <c r="S591" s="86"/>
      <c r="T591" s="86"/>
      <c r="U591" s="86"/>
    </row>
    <row r="592">
      <c r="N592" s="125"/>
      <c r="O592" s="86"/>
      <c r="P592" s="86"/>
      <c r="Q592" s="86"/>
      <c r="R592" s="86"/>
      <c r="S592" s="86"/>
      <c r="T592" s="86"/>
      <c r="U592" s="86"/>
    </row>
    <row r="593">
      <c r="N593" s="125"/>
      <c r="O593" s="86"/>
      <c r="P593" s="86"/>
      <c r="Q593" s="86"/>
      <c r="R593" s="86"/>
      <c r="S593" s="86"/>
      <c r="T593" s="86"/>
      <c r="U593" s="86"/>
    </row>
    <row r="594">
      <c r="N594" s="125"/>
      <c r="O594" s="86"/>
      <c r="P594" s="86"/>
      <c r="Q594" s="86"/>
      <c r="R594" s="86"/>
      <c r="S594" s="86"/>
      <c r="T594" s="86"/>
      <c r="U594" s="86"/>
    </row>
    <row r="595">
      <c r="N595" s="125"/>
      <c r="O595" s="86"/>
      <c r="P595" s="86"/>
      <c r="Q595" s="86"/>
      <c r="R595" s="86"/>
      <c r="S595" s="86"/>
      <c r="T595" s="86"/>
      <c r="U595" s="86"/>
    </row>
    <row r="596">
      <c r="N596" s="125"/>
      <c r="O596" s="86"/>
      <c r="P596" s="86"/>
      <c r="Q596" s="86"/>
      <c r="R596" s="86"/>
      <c r="S596" s="86"/>
      <c r="T596" s="86"/>
      <c r="U596" s="86"/>
    </row>
    <row r="597">
      <c r="N597" s="125"/>
      <c r="O597" s="86"/>
      <c r="P597" s="86"/>
      <c r="Q597" s="86"/>
      <c r="R597" s="86"/>
      <c r="S597" s="86"/>
      <c r="T597" s="86"/>
      <c r="U597" s="86"/>
    </row>
    <row r="598">
      <c r="N598" s="125"/>
      <c r="O598" s="86"/>
      <c r="P598" s="86"/>
      <c r="Q598" s="86"/>
      <c r="R598" s="86"/>
      <c r="S598" s="86"/>
      <c r="T598" s="86"/>
      <c r="U598" s="86"/>
    </row>
    <row r="599">
      <c r="N599" s="125"/>
      <c r="O599" s="86"/>
      <c r="P599" s="86"/>
      <c r="Q599" s="86"/>
      <c r="R599" s="86"/>
      <c r="S599" s="86"/>
      <c r="T599" s="86"/>
      <c r="U599" s="86"/>
    </row>
    <row r="600">
      <c r="N600" s="125"/>
      <c r="O600" s="86"/>
      <c r="P600" s="86"/>
      <c r="Q600" s="86"/>
      <c r="R600" s="86"/>
      <c r="S600" s="86"/>
      <c r="T600" s="86"/>
      <c r="U600" s="86"/>
    </row>
    <row r="601">
      <c r="N601" s="125"/>
      <c r="O601" s="86"/>
      <c r="P601" s="86"/>
      <c r="Q601" s="86"/>
      <c r="R601" s="86"/>
      <c r="S601" s="86"/>
      <c r="T601" s="86"/>
      <c r="U601" s="86"/>
    </row>
    <row r="602">
      <c r="N602" s="125"/>
      <c r="O602" s="86"/>
      <c r="P602" s="86"/>
      <c r="Q602" s="86"/>
      <c r="R602" s="86"/>
      <c r="S602" s="86"/>
      <c r="T602" s="86"/>
      <c r="U602" s="86"/>
    </row>
    <row r="603">
      <c r="N603" s="125"/>
      <c r="O603" s="86"/>
      <c r="P603" s="86"/>
      <c r="Q603" s="86"/>
      <c r="R603" s="86"/>
      <c r="S603" s="86"/>
      <c r="T603" s="86"/>
      <c r="U603" s="86"/>
    </row>
    <row r="604">
      <c r="N604" s="125"/>
      <c r="O604" s="86"/>
      <c r="P604" s="86"/>
      <c r="Q604" s="86"/>
      <c r="R604" s="86"/>
      <c r="S604" s="86"/>
      <c r="T604" s="86"/>
      <c r="U604" s="86"/>
    </row>
    <row r="605">
      <c r="N605" s="125"/>
      <c r="O605" s="86"/>
      <c r="P605" s="86"/>
      <c r="Q605" s="86"/>
      <c r="R605" s="86"/>
      <c r="S605" s="86"/>
      <c r="T605" s="86"/>
      <c r="U605" s="86"/>
    </row>
    <row r="606">
      <c r="N606" s="125"/>
      <c r="O606" s="86"/>
      <c r="P606" s="86"/>
      <c r="Q606" s="86"/>
      <c r="R606" s="86"/>
      <c r="S606" s="86"/>
      <c r="T606" s="86"/>
      <c r="U606" s="86"/>
    </row>
    <row r="607">
      <c r="N607" s="125"/>
      <c r="O607" s="86"/>
      <c r="P607" s="86"/>
      <c r="Q607" s="86"/>
      <c r="R607" s="86"/>
      <c r="S607" s="86"/>
      <c r="T607" s="86"/>
      <c r="U607" s="86"/>
    </row>
    <row r="608">
      <c r="N608" s="125"/>
      <c r="O608" s="86"/>
      <c r="P608" s="86"/>
      <c r="Q608" s="86"/>
      <c r="R608" s="86"/>
      <c r="S608" s="86"/>
      <c r="T608" s="86"/>
      <c r="U608" s="86"/>
    </row>
    <row r="609">
      <c r="N609" s="125"/>
      <c r="O609" s="86"/>
      <c r="P609" s="86"/>
      <c r="Q609" s="86"/>
      <c r="R609" s="86"/>
      <c r="S609" s="86"/>
      <c r="T609" s="86"/>
      <c r="U609" s="86"/>
    </row>
    <row r="610">
      <c r="N610" s="125"/>
      <c r="O610" s="86"/>
      <c r="P610" s="86"/>
      <c r="Q610" s="86"/>
      <c r="R610" s="86"/>
      <c r="S610" s="86"/>
      <c r="T610" s="86"/>
      <c r="U610" s="86"/>
    </row>
    <row r="611">
      <c r="N611" s="125"/>
      <c r="O611" s="86"/>
      <c r="P611" s="86"/>
      <c r="Q611" s="86"/>
      <c r="R611" s="86"/>
      <c r="S611" s="86"/>
      <c r="T611" s="86"/>
      <c r="U611" s="86"/>
    </row>
    <row r="612">
      <c r="N612" s="125"/>
      <c r="O612" s="86"/>
      <c r="P612" s="86"/>
      <c r="Q612" s="86"/>
      <c r="R612" s="86"/>
      <c r="S612" s="86"/>
      <c r="T612" s="86"/>
      <c r="U612" s="86"/>
    </row>
    <row r="613">
      <c r="N613" s="125"/>
      <c r="O613" s="86"/>
      <c r="P613" s="86"/>
      <c r="Q613" s="86"/>
      <c r="R613" s="86"/>
      <c r="S613" s="86"/>
      <c r="T613" s="86"/>
      <c r="U613" s="86"/>
    </row>
    <row r="614">
      <c r="N614" s="125"/>
      <c r="O614" s="86"/>
      <c r="P614" s="86"/>
      <c r="Q614" s="86"/>
      <c r="R614" s="86"/>
      <c r="S614" s="86"/>
      <c r="T614" s="86"/>
      <c r="U614" s="86"/>
    </row>
    <row r="615">
      <c r="N615" s="125"/>
      <c r="O615" s="86"/>
      <c r="P615" s="86"/>
      <c r="Q615" s="86"/>
      <c r="R615" s="86"/>
      <c r="S615" s="86"/>
      <c r="T615" s="86"/>
      <c r="U615" s="86"/>
    </row>
    <row r="616">
      <c r="N616" s="125"/>
      <c r="O616" s="86"/>
      <c r="P616" s="86"/>
      <c r="Q616" s="86"/>
      <c r="R616" s="86"/>
      <c r="S616" s="86"/>
      <c r="T616" s="86"/>
      <c r="U616" s="86"/>
    </row>
    <row r="617">
      <c r="N617" s="125"/>
      <c r="O617" s="86"/>
      <c r="P617" s="86"/>
      <c r="Q617" s="86"/>
      <c r="R617" s="86"/>
      <c r="S617" s="86"/>
      <c r="T617" s="86"/>
      <c r="U617" s="86"/>
    </row>
    <row r="618">
      <c r="N618" s="125"/>
      <c r="O618" s="86"/>
      <c r="P618" s="86"/>
      <c r="Q618" s="86"/>
      <c r="R618" s="86"/>
      <c r="S618" s="86"/>
      <c r="T618" s="86"/>
      <c r="U618" s="86"/>
    </row>
    <row r="619">
      <c r="N619" s="125"/>
      <c r="O619" s="86"/>
      <c r="P619" s="86"/>
      <c r="Q619" s="86"/>
      <c r="R619" s="86"/>
      <c r="S619" s="86"/>
      <c r="T619" s="86"/>
      <c r="U619" s="86"/>
    </row>
    <row r="620">
      <c r="N620" s="125"/>
      <c r="O620" s="86"/>
      <c r="P620" s="86"/>
      <c r="Q620" s="86"/>
      <c r="R620" s="86"/>
      <c r="S620" s="86"/>
      <c r="T620" s="86"/>
      <c r="U620" s="86"/>
    </row>
    <row r="621">
      <c r="N621" s="125"/>
      <c r="O621" s="86"/>
      <c r="P621" s="86"/>
      <c r="Q621" s="86"/>
      <c r="R621" s="86"/>
      <c r="S621" s="86"/>
      <c r="T621" s="86"/>
      <c r="U621" s="86"/>
    </row>
    <row r="622">
      <c r="N622" s="125"/>
      <c r="O622" s="86"/>
      <c r="P622" s="86"/>
      <c r="Q622" s="86"/>
      <c r="R622" s="86"/>
      <c r="S622" s="86"/>
      <c r="T622" s="86"/>
      <c r="U622" s="86"/>
    </row>
    <row r="623">
      <c r="N623" s="125"/>
      <c r="O623" s="86"/>
      <c r="P623" s="86"/>
      <c r="Q623" s="86"/>
      <c r="R623" s="86"/>
      <c r="S623" s="86"/>
      <c r="T623" s="86"/>
      <c r="U623" s="86"/>
    </row>
    <row r="624">
      <c r="N624" s="125"/>
      <c r="O624" s="86"/>
      <c r="P624" s="86"/>
      <c r="Q624" s="86"/>
      <c r="R624" s="86"/>
      <c r="S624" s="86"/>
      <c r="T624" s="86"/>
      <c r="U624" s="86"/>
    </row>
    <row r="625">
      <c r="N625" s="125"/>
      <c r="O625" s="86"/>
      <c r="P625" s="86"/>
      <c r="Q625" s="86"/>
      <c r="R625" s="86"/>
      <c r="S625" s="86"/>
      <c r="T625" s="86"/>
      <c r="U625" s="86"/>
    </row>
    <row r="626">
      <c r="N626" s="125"/>
      <c r="O626" s="86"/>
      <c r="P626" s="86"/>
      <c r="Q626" s="86"/>
      <c r="R626" s="86"/>
      <c r="S626" s="86"/>
      <c r="T626" s="86"/>
      <c r="U626" s="86"/>
    </row>
    <row r="627">
      <c r="N627" s="125"/>
      <c r="O627" s="86"/>
      <c r="P627" s="86"/>
      <c r="Q627" s="86"/>
      <c r="R627" s="86"/>
      <c r="S627" s="86"/>
      <c r="T627" s="86"/>
      <c r="U627" s="86"/>
    </row>
    <row r="628">
      <c r="N628" s="125"/>
      <c r="O628" s="86"/>
      <c r="P628" s="86"/>
      <c r="Q628" s="86"/>
      <c r="R628" s="86"/>
      <c r="S628" s="86"/>
      <c r="T628" s="86"/>
      <c r="U628" s="86"/>
    </row>
    <row r="629">
      <c r="N629" s="125"/>
      <c r="O629" s="86"/>
      <c r="P629" s="86"/>
      <c r="Q629" s="86"/>
      <c r="R629" s="86"/>
      <c r="S629" s="86"/>
      <c r="T629" s="86"/>
      <c r="U629" s="86"/>
    </row>
    <row r="630">
      <c r="N630" s="125"/>
      <c r="O630" s="86"/>
      <c r="P630" s="86"/>
      <c r="Q630" s="86"/>
      <c r="R630" s="86"/>
      <c r="S630" s="86"/>
      <c r="T630" s="86"/>
      <c r="U630" s="86"/>
    </row>
    <row r="631">
      <c r="N631" s="125"/>
      <c r="O631" s="86"/>
      <c r="P631" s="86"/>
      <c r="Q631" s="86"/>
      <c r="R631" s="86"/>
      <c r="S631" s="86"/>
      <c r="T631" s="86"/>
      <c r="U631" s="86"/>
    </row>
    <row r="632">
      <c r="N632" s="125"/>
      <c r="O632" s="86"/>
      <c r="P632" s="86"/>
      <c r="Q632" s="86"/>
      <c r="R632" s="86"/>
      <c r="S632" s="86"/>
      <c r="T632" s="86"/>
      <c r="U632" s="86"/>
    </row>
    <row r="633">
      <c r="N633" s="125"/>
      <c r="O633" s="86"/>
      <c r="P633" s="86"/>
      <c r="Q633" s="86"/>
      <c r="R633" s="86"/>
      <c r="S633" s="86"/>
      <c r="T633" s="86"/>
      <c r="U633" s="86"/>
    </row>
    <row r="634">
      <c r="N634" s="125"/>
      <c r="O634" s="86"/>
      <c r="P634" s="86"/>
      <c r="Q634" s="86"/>
      <c r="R634" s="86"/>
      <c r="S634" s="86"/>
      <c r="T634" s="86"/>
      <c r="U634" s="86"/>
    </row>
    <row r="635">
      <c r="N635" s="125"/>
      <c r="O635" s="86"/>
      <c r="P635" s="86"/>
      <c r="Q635" s="86"/>
      <c r="R635" s="86"/>
      <c r="S635" s="86"/>
      <c r="T635" s="86"/>
      <c r="U635" s="86"/>
    </row>
    <row r="636">
      <c r="N636" s="125"/>
      <c r="O636" s="86"/>
      <c r="P636" s="86"/>
      <c r="Q636" s="86"/>
      <c r="R636" s="86"/>
      <c r="S636" s="86"/>
      <c r="T636" s="86"/>
      <c r="U636" s="86"/>
    </row>
    <row r="637">
      <c r="N637" s="125"/>
      <c r="O637" s="86"/>
      <c r="P637" s="86"/>
      <c r="Q637" s="86"/>
      <c r="R637" s="86"/>
      <c r="S637" s="86"/>
      <c r="T637" s="86"/>
      <c r="U637" s="86"/>
    </row>
    <row r="638">
      <c r="N638" s="125"/>
      <c r="O638" s="86"/>
      <c r="P638" s="86"/>
      <c r="Q638" s="86"/>
      <c r="R638" s="86"/>
      <c r="S638" s="86"/>
      <c r="T638" s="86"/>
      <c r="U638" s="86"/>
    </row>
    <row r="639">
      <c r="N639" s="125"/>
      <c r="O639" s="86"/>
      <c r="P639" s="86"/>
      <c r="Q639" s="86"/>
      <c r="R639" s="86"/>
      <c r="S639" s="86"/>
      <c r="T639" s="86"/>
      <c r="U639" s="86"/>
    </row>
    <row r="640">
      <c r="N640" s="125"/>
      <c r="O640" s="86"/>
      <c r="P640" s="86"/>
      <c r="Q640" s="86"/>
      <c r="R640" s="86"/>
      <c r="S640" s="86"/>
      <c r="T640" s="86"/>
      <c r="U640" s="86"/>
    </row>
    <row r="641">
      <c r="N641" s="125"/>
      <c r="O641" s="86"/>
      <c r="P641" s="86"/>
      <c r="Q641" s="86"/>
      <c r="R641" s="86"/>
      <c r="S641" s="86"/>
      <c r="T641" s="86"/>
      <c r="U641" s="86"/>
    </row>
    <row r="642">
      <c r="N642" s="125"/>
      <c r="O642" s="86"/>
      <c r="P642" s="86"/>
      <c r="Q642" s="86"/>
      <c r="R642" s="86"/>
      <c r="S642" s="86"/>
      <c r="T642" s="86"/>
      <c r="U642" s="86"/>
    </row>
    <row r="643">
      <c r="N643" s="125"/>
      <c r="O643" s="86"/>
      <c r="P643" s="86"/>
      <c r="Q643" s="86"/>
      <c r="R643" s="86"/>
      <c r="S643" s="86"/>
      <c r="T643" s="86"/>
      <c r="U643" s="86"/>
    </row>
    <row r="644">
      <c r="N644" s="125"/>
      <c r="O644" s="86"/>
      <c r="P644" s="86"/>
      <c r="Q644" s="86"/>
      <c r="R644" s="86"/>
      <c r="S644" s="86"/>
      <c r="T644" s="86"/>
      <c r="U644" s="86"/>
    </row>
    <row r="645">
      <c r="N645" s="125"/>
      <c r="O645" s="86"/>
      <c r="P645" s="86"/>
      <c r="Q645" s="86"/>
      <c r="R645" s="86"/>
      <c r="S645" s="86"/>
      <c r="T645" s="86"/>
      <c r="U645" s="86"/>
    </row>
    <row r="646">
      <c r="N646" s="125"/>
      <c r="O646" s="86"/>
      <c r="P646" s="86"/>
      <c r="Q646" s="86"/>
      <c r="R646" s="86"/>
      <c r="S646" s="86"/>
      <c r="T646" s="86"/>
      <c r="U646" s="86"/>
    </row>
    <row r="647">
      <c r="N647" s="125"/>
      <c r="O647" s="86"/>
      <c r="P647" s="86"/>
      <c r="Q647" s="86"/>
      <c r="R647" s="86"/>
      <c r="S647" s="86"/>
      <c r="T647" s="86"/>
      <c r="U647" s="86"/>
    </row>
    <row r="648">
      <c r="N648" s="125"/>
      <c r="O648" s="86"/>
      <c r="P648" s="86"/>
      <c r="Q648" s="86"/>
      <c r="R648" s="86"/>
      <c r="S648" s="86"/>
      <c r="T648" s="86"/>
      <c r="U648" s="86"/>
    </row>
    <row r="649">
      <c r="N649" s="125"/>
      <c r="O649" s="86"/>
      <c r="P649" s="86"/>
      <c r="Q649" s="86"/>
      <c r="R649" s="86"/>
      <c r="S649" s="86"/>
      <c r="T649" s="86"/>
      <c r="U649" s="86"/>
    </row>
    <row r="650">
      <c r="N650" s="125"/>
      <c r="O650" s="86"/>
      <c r="P650" s="86"/>
      <c r="Q650" s="86"/>
      <c r="R650" s="86"/>
      <c r="S650" s="86"/>
      <c r="T650" s="86"/>
      <c r="U650" s="86"/>
    </row>
    <row r="651">
      <c r="N651" s="125"/>
      <c r="O651" s="86"/>
      <c r="P651" s="86"/>
      <c r="Q651" s="86"/>
      <c r="R651" s="86"/>
      <c r="S651" s="86"/>
      <c r="T651" s="86"/>
      <c r="U651" s="86"/>
    </row>
    <row r="652">
      <c r="N652" s="125"/>
      <c r="O652" s="86"/>
      <c r="P652" s="86"/>
      <c r="Q652" s="86"/>
      <c r="R652" s="86"/>
      <c r="S652" s="86"/>
      <c r="T652" s="86"/>
      <c r="U652" s="86"/>
    </row>
    <row r="653">
      <c r="N653" s="125"/>
      <c r="O653" s="86"/>
      <c r="P653" s="86"/>
      <c r="Q653" s="86"/>
      <c r="R653" s="86"/>
      <c r="S653" s="86"/>
      <c r="T653" s="86"/>
      <c r="U653" s="86"/>
    </row>
    <row r="654">
      <c r="N654" s="125"/>
      <c r="O654" s="86"/>
      <c r="P654" s="86"/>
      <c r="Q654" s="86"/>
      <c r="R654" s="86"/>
      <c r="S654" s="86"/>
      <c r="T654" s="86"/>
      <c r="U654" s="86"/>
    </row>
    <row r="655">
      <c r="N655" s="125"/>
      <c r="O655" s="86"/>
      <c r="P655" s="86"/>
      <c r="Q655" s="86"/>
      <c r="R655" s="86"/>
      <c r="S655" s="86"/>
      <c r="T655" s="86"/>
      <c r="U655" s="86"/>
    </row>
    <row r="656">
      <c r="N656" s="125"/>
      <c r="O656" s="86"/>
      <c r="P656" s="86"/>
      <c r="Q656" s="86"/>
      <c r="R656" s="86"/>
      <c r="S656" s="86"/>
      <c r="T656" s="86"/>
      <c r="U656" s="86"/>
    </row>
    <row r="657">
      <c r="N657" s="125"/>
      <c r="O657" s="86"/>
      <c r="P657" s="86"/>
      <c r="Q657" s="86"/>
      <c r="R657" s="86"/>
      <c r="S657" s="86"/>
      <c r="T657" s="86"/>
      <c r="U657" s="86"/>
    </row>
    <row r="658">
      <c r="N658" s="125"/>
      <c r="O658" s="86"/>
      <c r="P658" s="86"/>
      <c r="Q658" s="86"/>
      <c r="R658" s="86"/>
      <c r="S658" s="86"/>
      <c r="T658" s="86"/>
      <c r="U658" s="86"/>
    </row>
    <row r="659">
      <c r="N659" s="125"/>
      <c r="O659" s="86"/>
      <c r="P659" s="86"/>
      <c r="Q659" s="86"/>
      <c r="R659" s="86"/>
      <c r="S659" s="86"/>
      <c r="T659" s="86"/>
      <c r="U659" s="86"/>
    </row>
    <row r="660">
      <c r="N660" s="125"/>
      <c r="O660" s="86"/>
      <c r="P660" s="86"/>
      <c r="Q660" s="86"/>
      <c r="R660" s="86"/>
      <c r="S660" s="86"/>
      <c r="T660" s="86"/>
      <c r="U660" s="86"/>
    </row>
    <row r="661">
      <c r="N661" s="125"/>
      <c r="O661" s="86"/>
      <c r="P661" s="86"/>
      <c r="Q661" s="86"/>
      <c r="R661" s="86"/>
      <c r="S661" s="86"/>
      <c r="T661" s="86"/>
      <c r="U661" s="86"/>
    </row>
    <row r="662">
      <c r="N662" s="125"/>
      <c r="O662" s="86"/>
      <c r="P662" s="86"/>
      <c r="Q662" s="86"/>
      <c r="R662" s="86"/>
      <c r="S662" s="86"/>
      <c r="T662" s="86"/>
      <c r="U662" s="86"/>
    </row>
    <row r="663">
      <c r="N663" s="125"/>
      <c r="O663" s="86"/>
      <c r="P663" s="86"/>
      <c r="Q663" s="86"/>
      <c r="R663" s="86"/>
      <c r="S663" s="86"/>
      <c r="T663" s="86"/>
      <c r="U663" s="86"/>
    </row>
    <row r="664">
      <c r="N664" s="125"/>
      <c r="O664" s="86"/>
      <c r="P664" s="86"/>
      <c r="Q664" s="86"/>
      <c r="R664" s="86"/>
      <c r="S664" s="86"/>
      <c r="T664" s="86"/>
      <c r="U664" s="86"/>
    </row>
    <row r="665">
      <c r="N665" s="125"/>
      <c r="O665" s="86"/>
      <c r="P665" s="86"/>
      <c r="Q665" s="86"/>
      <c r="R665" s="86"/>
      <c r="S665" s="86"/>
      <c r="T665" s="86"/>
      <c r="U665" s="86"/>
    </row>
    <row r="666">
      <c r="N666" s="125"/>
      <c r="O666" s="86"/>
      <c r="P666" s="86"/>
      <c r="Q666" s="86"/>
      <c r="R666" s="86"/>
      <c r="S666" s="86"/>
      <c r="T666" s="86"/>
      <c r="U666" s="86"/>
    </row>
    <row r="667">
      <c r="N667" s="125"/>
      <c r="O667" s="86"/>
      <c r="P667" s="86"/>
      <c r="Q667" s="86"/>
      <c r="R667" s="86"/>
      <c r="S667" s="86"/>
      <c r="T667" s="86"/>
      <c r="U667" s="86"/>
    </row>
    <row r="668">
      <c r="N668" s="125"/>
      <c r="O668" s="86"/>
      <c r="P668" s="86"/>
      <c r="Q668" s="86"/>
      <c r="R668" s="86"/>
      <c r="S668" s="86"/>
      <c r="T668" s="86"/>
      <c r="U668" s="86"/>
    </row>
    <row r="669">
      <c r="N669" s="125"/>
      <c r="O669" s="86"/>
      <c r="P669" s="86"/>
      <c r="Q669" s="86"/>
      <c r="R669" s="86"/>
      <c r="S669" s="86"/>
      <c r="T669" s="86"/>
      <c r="U669" s="86"/>
    </row>
    <row r="670">
      <c r="N670" s="125"/>
      <c r="O670" s="86"/>
      <c r="P670" s="86"/>
      <c r="Q670" s="86"/>
      <c r="R670" s="86"/>
      <c r="S670" s="86"/>
      <c r="T670" s="86"/>
      <c r="U670" s="86"/>
    </row>
    <row r="671">
      <c r="N671" s="125"/>
      <c r="O671" s="86"/>
      <c r="P671" s="86"/>
      <c r="Q671" s="86"/>
      <c r="R671" s="86"/>
      <c r="S671" s="86"/>
      <c r="T671" s="86"/>
      <c r="U671" s="86"/>
    </row>
    <row r="672">
      <c r="N672" s="125"/>
      <c r="O672" s="86"/>
      <c r="P672" s="86"/>
      <c r="Q672" s="86"/>
      <c r="R672" s="86"/>
      <c r="S672" s="86"/>
      <c r="T672" s="86"/>
      <c r="U672" s="86"/>
    </row>
    <row r="673">
      <c r="N673" s="125"/>
      <c r="O673" s="86"/>
      <c r="P673" s="86"/>
      <c r="Q673" s="86"/>
      <c r="R673" s="86"/>
      <c r="S673" s="86"/>
      <c r="T673" s="86"/>
      <c r="U673" s="86"/>
    </row>
    <row r="674">
      <c r="N674" s="125"/>
      <c r="O674" s="86"/>
      <c r="P674" s="86"/>
      <c r="Q674" s="86"/>
      <c r="R674" s="86"/>
      <c r="S674" s="86"/>
      <c r="T674" s="86"/>
      <c r="U674" s="86"/>
    </row>
    <row r="675">
      <c r="N675" s="125"/>
      <c r="O675" s="86"/>
      <c r="P675" s="86"/>
      <c r="Q675" s="86"/>
      <c r="R675" s="86"/>
      <c r="S675" s="86"/>
      <c r="T675" s="86"/>
      <c r="U675" s="86"/>
    </row>
    <row r="676">
      <c r="N676" s="125"/>
      <c r="O676" s="86"/>
      <c r="P676" s="86"/>
      <c r="Q676" s="86"/>
      <c r="R676" s="86"/>
      <c r="S676" s="86"/>
      <c r="T676" s="86"/>
      <c r="U676" s="86"/>
    </row>
    <row r="677">
      <c r="N677" s="125"/>
      <c r="O677" s="86"/>
      <c r="P677" s="86"/>
      <c r="Q677" s="86"/>
      <c r="R677" s="86"/>
      <c r="S677" s="86"/>
      <c r="T677" s="86"/>
      <c r="U677" s="86"/>
    </row>
    <row r="678">
      <c r="N678" s="125"/>
      <c r="O678" s="86"/>
      <c r="P678" s="86"/>
      <c r="Q678" s="86"/>
      <c r="R678" s="86"/>
      <c r="S678" s="86"/>
      <c r="T678" s="86"/>
      <c r="U678" s="86"/>
    </row>
    <row r="679">
      <c r="N679" s="125"/>
      <c r="O679" s="86"/>
      <c r="P679" s="86"/>
      <c r="Q679" s="86"/>
      <c r="R679" s="86"/>
      <c r="S679" s="86"/>
      <c r="T679" s="86"/>
      <c r="U679" s="86"/>
    </row>
    <row r="680">
      <c r="N680" s="125"/>
      <c r="O680" s="86"/>
      <c r="P680" s="86"/>
      <c r="Q680" s="86"/>
      <c r="R680" s="86"/>
      <c r="S680" s="86"/>
      <c r="T680" s="86"/>
      <c r="U680" s="86"/>
    </row>
    <row r="681">
      <c r="N681" s="125"/>
      <c r="O681" s="86"/>
      <c r="P681" s="86"/>
      <c r="Q681" s="86"/>
      <c r="R681" s="86"/>
      <c r="S681" s="86"/>
      <c r="T681" s="86"/>
      <c r="U681" s="86"/>
    </row>
    <row r="682">
      <c r="N682" s="125"/>
      <c r="O682" s="86"/>
      <c r="P682" s="86"/>
      <c r="Q682" s="86"/>
      <c r="R682" s="86"/>
      <c r="S682" s="86"/>
      <c r="T682" s="86"/>
      <c r="U682" s="86"/>
    </row>
    <row r="683">
      <c r="N683" s="125"/>
      <c r="O683" s="86"/>
      <c r="P683" s="86"/>
      <c r="Q683" s="86"/>
      <c r="R683" s="86"/>
      <c r="S683" s="86"/>
      <c r="T683" s="86"/>
      <c r="U683" s="86"/>
    </row>
    <row r="684">
      <c r="N684" s="125"/>
      <c r="O684" s="86"/>
      <c r="P684" s="86"/>
      <c r="Q684" s="86"/>
      <c r="R684" s="86"/>
      <c r="S684" s="86"/>
      <c r="T684" s="86"/>
      <c r="U684" s="86"/>
    </row>
    <row r="685">
      <c r="N685" s="125"/>
      <c r="O685" s="86"/>
      <c r="P685" s="86"/>
      <c r="Q685" s="86"/>
      <c r="R685" s="86"/>
      <c r="S685" s="86"/>
      <c r="T685" s="86"/>
      <c r="U685" s="86"/>
    </row>
    <row r="686">
      <c r="N686" s="125"/>
      <c r="O686" s="86"/>
      <c r="P686" s="86"/>
      <c r="Q686" s="86"/>
      <c r="R686" s="86"/>
      <c r="S686" s="86"/>
      <c r="T686" s="86"/>
      <c r="U686" s="86"/>
    </row>
    <row r="687">
      <c r="N687" s="125"/>
      <c r="O687" s="86"/>
      <c r="P687" s="86"/>
      <c r="Q687" s="86"/>
      <c r="R687" s="86"/>
      <c r="S687" s="86"/>
      <c r="T687" s="86"/>
      <c r="U687" s="86"/>
    </row>
    <row r="688">
      <c r="N688" s="125"/>
      <c r="O688" s="86"/>
      <c r="P688" s="86"/>
      <c r="Q688" s="86"/>
      <c r="R688" s="86"/>
      <c r="S688" s="86"/>
      <c r="T688" s="86"/>
      <c r="U688" s="86"/>
    </row>
    <row r="689">
      <c r="N689" s="125"/>
      <c r="O689" s="86"/>
      <c r="P689" s="86"/>
      <c r="Q689" s="86"/>
      <c r="R689" s="86"/>
      <c r="S689" s="86"/>
      <c r="T689" s="86"/>
      <c r="U689" s="86"/>
    </row>
    <row r="690">
      <c r="N690" s="125"/>
      <c r="O690" s="86"/>
      <c r="P690" s="86"/>
      <c r="Q690" s="86"/>
      <c r="R690" s="86"/>
      <c r="S690" s="86"/>
      <c r="T690" s="86"/>
      <c r="U690" s="86"/>
    </row>
    <row r="691">
      <c r="N691" s="125"/>
      <c r="O691" s="86"/>
      <c r="P691" s="86"/>
      <c r="Q691" s="86"/>
      <c r="R691" s="86"/>
      <c r="S691" s="86"/>
      <c r="T691" s="86"/>
      <c r="U691" s="86"/>
    </row>
    <row r="692">
      <c r="N692" s="125"/>
      <c r="O692" s="86"/>
      <c r="P692" s="86"/>
      <c r="Q692" s="86"/>
      <c r="R692" s="86"/>
      <c r="S692" s="86"/>
      <c r="T692" s="86"/>
      <c r="U692" s="86"/>
    </row>
    <row r="693">
      <c r="N693" s="125"/>
      <c r="O693" s="86"/>
      <c r="P693" s="86"/>
      <c r="Q693" s="86"/>
      <c r="R693" s="86"/>
      <c r="S693" s="86"/>
      <c r="T693" s="86"/>
      <c r="U693" s="86"/>
    </row>
    <row r="694">
      <c r="N694" s="125"/>
      <c r="O694" s="86"/>
      <c r="P694" s="86"/>
      <c r="Q694" s="86"/>
      <c r="R694" s="86"/>
      <c r="S694" s="86"/>
      <c r="T694" s="86"/>
      <c r="U694" s="86"/>
    </row>
    <row r="695">
      <c r="N695" s="125"/>
      <c r="O695" s="86"/>
      <c r="P695" s="86"/>
      <c r="Q695" s="86"/>
      <c r="R695" s="86"/>
      <c r="S695" s="86"/>
      <c r="T695" s="86"/>
      <c r="U695" s="86"/>
    </row>
    <row r="696">
      <c r="N696" s="125"/>
      <c r="O696" s="86"/>
      <c r="P696" s="86"/>
      <c r="Q696" s="86"/>
      <c r="R696" s="86"/>
      <c r="S696" s="86"/>
      <c r="T696" s="86"/>
      <c r="U696" s="86"/>
    </row>
    <row r="697">
      <c r="N697" s="125"/>
      <c r="O697" s="86"/>
      <c r="P697" s="86"/>
      <c r="Q697" s="86"/>
      <c r="R697" s="86"/>
      <c r="S697" s="86"/>
      <c r="T697" s="86"/>
      <c r="U697" s="86"/>
    </row>
    <row r="698">
      <c r="N698" s="125"/>
      <c r="O698" s="86"/>
      <c r="P698" s="86"/>
      <c r="Q698" s="86"/>
      <c r="R698" s="86"/>
      <c r="S698" s="86"/>
      <c r="T698" s="86"/>
      <c r="U698" s="86"/>
    </row>
    <row r="699">
      <c r="N699" s="125"/>
      <c r="O699" s="86"/>
      <c r="P699" s="86"/>
      <c r="Q699" s="86"/>
      <c r="R699" s="86"/>
      <c r="S699" s="86"/>
      <c r="T699" s="86"/>
      <c r="U699" s="86"/>
    </row>
    <row r="700">
      <c r="N700" s="125"/>
      <c r="O700" s="86"/>
      <c r="P700" s="86"/>
      <c r="Q700" s="86"/>
      <c r="R700" s="86"/>
      <c r="S700" s="86"/>
      <c r="T700" s="86"/>
      <c r="U700" s="86"/>
    </row>
    <row r="701">
      <c r="N701" s="125"/>
      <c r="O701" s="86"/>
      <c r="P701" s="86"/>
      <c r="Q701" s="86"/>
      <c r="R701" s="86"/>
      <c r="S701" s="86"/>
      <c r="T701" s="86"/>
      <c r="U701" s="86"/>
    </row>
    <row r="702">
      <c r="N702" s="125"/>
      <c r="O702" s="86"/>
      <c r="P702" s="86"/>
      <c r="Q702" s="86"/>
      <c r="R702" s="86"/>
      <c r="S702" s="86"/>
      <c r="T702" s="86"/>
      <c r="U702" s="86"/>
    </row>
    <row r="703">
      <c r="N703" s="125"/>
      <c r="O703" s="86"/>
      <c r="P703" s="86"/>
      <c r="Q703" s="86"/>
      <c r="R703" s="86"/>
      <c r="S703" s="86"/>
      <c r="T703" s="86"/>
      <c r="U703" s="86"/>
    </row>
    <row r="704">
      <c r="N704" s="125"/>
      <c r="O704" s="86"/>
      <c r="P704" s="86"/>
      <c r="Q704" s="86"/>
      <c r="R704" s="86"/>
      <c r="S704" s="86"/>
      <c r="T704" s="86"/>
      <c r="U704" s="86"/>
    </row>
    <row r="705">
      <c r="N705" s="125"/>
      <c r="O705" s="86"/>
      <c r="P705" s="86"/>
      <c r="Q705" s="86"/>
      <c r="R705" s="86"/>
      <c r="S705" s="86"/>
      <c r="T705" s="86"/>
      <c r="U705" s="86"/>
    </row>
    <row r="706">
      <c r="N706" s="125"/>
      <c r="O706" s="86"/>
      <c r="P706" s="86"/>
      <c r="Q706" s="86"/>
      <c r="R706" s="86"/>
      <c r="S706" s="86"/>
      <c r="T706" s="86"/>
      <c r="U706" s="86"/>
    </row>
    <row r="707">
      <c r="N707" s="125"/>
      <c r="O707" s="86"/>
      <c r="P707" s="86"/>
      <c r="Q707" s="86"/>
      <c r="R707" s="86"/>
      <c r="S707" s="86"/>
      <c r="T707" s="86"/>
      <c r="U707" s="86"/>
    </row>
    <row r="708">
      <c r="N708" s="125"/>
      <c r="O708" s="86"/>
      <c r="P708" s="86"/>
      <c r="Q708" s="86"/>
      <c r="R708" s="86"/>
      <c r="S708" s="86"/>
      <c r="T708" s="86"/>
      <c r="U708" s="86"/>
    </row>
    <row r="709">
      <c r="N709" s="125"/>
      <c r="O709" s="86"/>
      <c r="P709" s="86"/>
      <c r="Q709" s="86"/>
      <c r="R709" s="86"/>
      <c r="S709" s="86"/>
      <c r="T709" s="86"/>
      <c r="U709" s="86"/>
    </row>
    <row r="710">
      <c r="N710" s="125"/>
      <c r="O710" s="86"/>
      <c r="P710" s="86"/>
      <c r="Q710" s="86"/>
      <c r="R710" s="86"/>
      <c r="S710" s="86"/>
      <c r="T710" s="86"/>
      <c r="U710" s="86"/>
    </row>
    <row r="711">
      <c r="N711" s="125"/>
      <c r="O711" s="86"/>
      <c r="P711" s="86"/>
      <c r="Q711" s="86"/>
      <c r="R711" s="86"/>
      <c r="S711" s="86"/>
      <c r="T711" s="86"/>
      <c r="U711" s="86"/>
    </row>
    <row r="712">
      <c r="N712" s="125"/>
      <c r="O712" s="86"/>
      <c r="P712" s="86"/>
      <c r="Q712" s="86"/>
      <c r="R712" s="86"/>
      <c r="S712" s="86"/>
      <c r="T712" s="86"/>
      <c r="U712" s="86"/>
    </row>
    <row r="713">
      <c r="N713" s="125"/>
      <c r="O713" s="86"/>
      <c r="P713" s="86"/>
      <c r="Q713" s="86"/>
      <c r="R713" s="86"/>
      <c r="S713" s="86"/>
      <c r="T713" s="86"/>
      <c r="U713" s="86"/>
    </row>
    <row r="714">
      <c r="N714" s="125"/>
      <c r="O714" s="86"/>
      <c r="P714" s="86"/>
      <c r="Q714" s="86"/>
      <c r="R714" s="86"/>
      <c r="S714" s="86"/>
      <c r="T714" s="86"/>
      <c r="U714" s="86"/>
    </row>
    <row r="715">
      <c r="N715" s="125"/>
      <c r="O715" s="86"/>
      <c r="P715" s="86"/>
      <c r="Q715" s="86"/>
      <c r="R715" s="86"/>
      <c r="S715" s="86"/>
      <c r="T715" s="86"/>
      <c r="U715" s="86"/>
    </row>
    <row r="716">
      <c r="N716" s="125"/>
      <c r="O716" s="86"/>
      <c r="P716" s="86"/>
      <c r="Q716" s="86"/>
      <c r="R716" s="86"/>
      <c r="S716" s="86"/>
      <c r="T716" s="86"/>
      <c r="U716" s="86"/>
    </row>
    <row r="717">
      <c r="N717" s="125"/>
      <c r="O717" s="86"/>
      <c r="P717" s="86"/>
      <c r="Q717" s="86"/>
      <c r="R717" s="86"/>
      <c r="S717" s="86"/>
      <c r="T717" s="86"/>
      <c r="U717" s="86"/>
    </row>
    <row r="718">
      <c r="N718" s="125"/>
      <c r="O718" s="86"/>
      <c r="P718" s="86"/>
      <c r="Q718" s="86"/>
      <c r="R718" s="86"/>
      <c r="S718" s="86"/>
      <c r="T718" s="86"/>
      <c r="U718" s="86"/>
    </row>
    <row r="719">
      <c r="N719" s="125"/>
      <c r="O719" s="86"/>
      <c r="P719" s="86"/>
      <c r="Q719" s="86"/>
      <c r="R719" s="86"/>
      <c r="S719" s="86"/>
      <c r="T719" s="86"/>
      <c r="U719" s="86"/>
    </row>
    <row r="720">
      <c r="N720" s="125"/>
      <c r="O720" s="86"/>
      <c r="P720" s="86"/>
      <c r="Q720" s="86"/>
      <c r="R720" s="86"/>
      <c r="S720" s="86"/>
      <c r="T720" s="86"/>
      <c r="U720" s="86"/>
    </row>
    <row r="721">
      <c r="N721" s="125"/>
      <c r="O721" s="86"/>
      <c r="P721" s="86"/>
      <c r="Q721" s="86"/>
      <c r="R721" s="86"/>
      <c r="S721" s="86"/>
      <c r="T721" s="86"/>
      <c r="U721" s="86"/>
    </row>
    <row r="722">
      <c r="N722" s="125"/>
      <c r="O722" s="86"/>
      <c r="P722" s="86"/>
      <c r="Q722" s="86"/>
      <c r="R722" s="86"/>
      <c r="S722" s="86"/>
      <c r="T722" s="86"/>
      <c r="U722" s="86"/>
    </row>
    <row r="723">
      <c r="N723" s="125"/>
      <c r="O723" s="86"/>
      <c r="P723" s="86"/>
      <c r="Q723" s="86"/>
      <c r="R723" s="86"/>
      <c r="S723" s="86"/>
      <c r="T723" s="86"/>
      <c r="U723" s="86"/>
    </row>
    <row r="724">
      <c r="N724" s="125"/>
      <c r="O724" s="86"/>
      <c r="P724" s="86"/>
      <c r="Q724" s="86"/>
      <c r="R724" s="86"/>
      <c r="S724" s="86"/>
      <c r="T724" s="86"/>
      <c r="U724" s="86"/>
    </row>
    <row r="725">
      <c r="N725" s="125"/>
      <c r="O725" s="86"/>
      <c r="P725" s="86"/>
      <c r="Q725" s="86"/>
      <c r="R725" s="86"/>
      <c r="S725" s="86"/>
      <c r="T725" s="86"/>
      <c r="U725" s="86"/>
    </row>
    <row r="726">
      <c r="N726" s="125"/>
      <c r="O726" s="86"/>
      <c r="P726" s="86"/>
      <c r="Q726" s="86"/>
      <c r="R726" s="86"/>
      <c r="S726" s="86"/>
      <c r="T726" s="86"/>
      <c r="U726" s="86"/>
    </row>
    <row r="727">
      <c r="N727" s="125"/>
      <c r="O727" s="86"/>
      <c r="P727" s="86"/>
      <c r="Q727" s="86"/>
      <c r="R727" s="86"/>
      <c r="S727" s="86"/>
      <c r="T727" s="86"/>
      <c r="U727" s="86"/>
    </row>
    <row r="728">
      <c r="N728" s="125"/>
      <c r="O728" s="86"/>
      <c r="P728" s="86"/>
      <c r="Q728" s="86"/>
      <c r="R728" s="86"/>
      <c r="S728" s="86"/>
      <c r="T728" s="86"/>
      <c r="U728" s="86"/>
    </row>
    <row r="729">
      <c r="N729" s="125"/>
      <c r="O729" s="86"/>
      <c r="P729" s="86"/>
      <c r="Q729" s="86"/>
      <c r="R729" s="86"/>
      <c r="S729" s="86"/>
      <c r="T729" s="86"/>
      <c r="U729" s="86"/>
    </row>
    <row r="730">
      <c r="N730" s="125"/>
      <c r="O730" s="86"/>
      <c r="P730" s="86"/>
      <c r="Q730" s="86"/>
      <c r="R730" s="86"/>
      <c r="S730" s="86"/>
      <c r="T730" s="86"/>
      <c r="U730" s="86"/>
    </row>
    <row r="731">
      <c r="N731" s="125"/>
      <c r="O731" s="86"/>
      <c r="P731" s="86"/>
      <c r="Q731" s="86"/>
      <c r="R731" s="86"/>
      <c r="S731" s="86"/>
      <c r="T731" s="86"/>
      <c r="U731" s="86"/>
    </row>
    <row r="732">
      <c r="N732" s="125"/>
      <c r="O732" s="86"/>
      <c r="P732" s="86"/>
      <c r="Q732" s="86"/>
      <c r="R732" s="86"/>
      <c r="S732" s="86"/>
      <c r="T732" s="86"/>
      <c r="U732" s="86"/>
    </row>
    <row r="733">
      <c r="N733" s="125"/>
      <c r="O733" s="86"/>
      <c r="P733" s="86"/>
      <c r="Q733" s="86"/>
      <c r="R733" s="86"/>
      <c r="S733" s="86"/>
      <c r="T733" s="86"/>
      <c r="U733" s="86"/>
    </row>
    <row r="734">
      <c r="N734" s="125"/>
      <c r="O734" s="86"/>
      <c r="P734" s="86"/>
      <c r="Q734" s="86"/>
      <c r="R734" s="86"/>
      <c r="S734" s="86"/>
      <c r="T734" s="86"/>
      <c r="U734" s="86"/>
    </row>
    <row r="735">
      <c r="N735" s="125"/>
      <c r="O735" s="86"/>
      <c r="P735" s="86"/>
      <c r="Q735" s="86"/>
      <c r="R735" s="86"/>
      <c r="S735" s="86"/>
      <c r="T735" s="86"/>
      <c r="U735" s="86"/>
    </row>
    <row r="736">
      <c r="N736" s="125"/>
      <c r="O736" s="86"/>
      <c r="P736" s="86"/>
      <c r="Q736" s="86"/>
      <c r="R736" s="86"/>
      <c r="S736" s="86"/>
      <c r="T736" s="86"/>
      <c r="U736" s="86"/>
    </row>
    <row r="737">
      <c r="N737" s="125"/>
      <c r="O737" s="86"/>
      <c r="P737" s="86"/>
      <c r="Q737" s="86"/>
      <c r="R737" s="86"/>
      <c r="S737" s="86"/>
      <c r="T737" s="86"/>
      <c r="U737" s="86"/>
    </row>
    <row r="738">
      <c r="N738" s="125"/>
      <c r="O738" s="86"/>
      <c r="P738" s="86"/>
      <c r="Q738" s="86"/>
      <c r="R738" s="86"/>
      <c r="S738" s="86"/>
      <c r="T738" s="86"/>
      <c r="U738" s="86"/>
    </row>
    <row r="739">
      <c r="N739" s="125"/>
      <c r="O739" s="86"/>
      <c r="P739" s="86"/>
      <c r="Q739" s="86"/>
      <c r="R739" s="86"/>
      <c r="S739" s="86"/>
      <c r="T739" s="86"/>
      <c r="U739" s="86"/>
    </row>
    <row r="740">
      <c r="N740" s="125"/>
      <c r="O740" s="86"/>
      <c r="P740" s="86"/>
      <c r="Q740" s="86"/>
      <c r="R740" s="86"/>
      <c r="S740" s="86"/>
      <c r="T740" s="86"/>
      <c r="U740" s="86"/>
    </row>
    <row r="741">
      <c r="N741" s="125"/>
      <c r="O741" s="86"/>
      <c r="P741" s="86"/>
      <c r="Q741" s="86"/>
      <c r="R741" s="86"/>
      <c r="S741" s="86"/>
      <c r="T741" s="86"/>
      <c r="U741" s="86"/>
    </row>
    <row r="742">
      <c r="N742" s="125"/>
      <c r="O742" s="86"/>
      <c r="P742" s="86"/>
      <c r="Q742" s="86"/>
      <c r="R742" s="86"/>
      <c r="S742" s="86"/>
      <c r="T742" s="86"/>
      <c r="U742" s="86"/>
    </row>
    <row r="743">
      <c r="N743" s="125"/>
      <c r="O743" s="86"/>
      <c r="P743" s="86"/>
      <c r="Q743" s="86"/>
      <c r="R743" s="86"/>
      <c r="S743" s="86"/>
      <c r="T743" s="86"/>
      <c r="U743" s="86"/>
    </row>
    <row r="744">
      <c r="N744" s="125"/>
      <c r="O744" s="86"/>
      <c r="P744" s="86"/>
      <c r="Q744" s="86"/>
      <c r="R744" s="86"/>
      <c r="S744" s="86"/>
      <c r="T744" s="86"/>
      <c r="U744" s="86"/>
    </row>
    <row r="745">
      <c r="N745" s="125"/>
      <c r="O745" s="86"/>
      <c r="P745" s="86"/>
      <c r="Q745" s="86"/>
      <c r="R745" s="86"/>
      <c r="S745" s="86"/>
      <c r="T745" s="86"/>
      <c r="U745" s="86"/>
    </row>
    <row r="746">
      <c r="N746" s="125"/>
      <c r="O746" s="86"/>
      <c r="P746" s="86"/>
      <c r="Q746" s="86"/>
      <c r="R746" s="86"/>
      <c r="S746" s="86"/>
      <c r="T746" s="86"/>
      <c r="U746" s="86"/>
    </row>
    <row r="747">
      <c r="N747" s="125"/>
      <c r="O747" s="86"/>
      <c r="P747" s="86"/>
      <c r="Q747" s="86"/>
      <c r="R747" s="86"/>
      <c r="S747" s="86"/>
      <c r="T747" s="86"/>
      <c r="U747" s="86"/>
    </row>
    <row r="748">
      <c r="N748" s="125"/>
      <c r="O748" s="86"/>
      <c r="P748" s="86"/>
      <c r="Q748" s="86"/>
      <c r="R748" s="86"/>
      <c r="S748" s="86"/>
      <c r="T748" s="86"/>
      <c r="U748" s="86"/>
    </row>
    <row r="749">
      <c r="N749" s="125"/>
      <c r="O749" s="86"/>
      <c r="P749" s="86"/>
      <c r="Q749" s="86"/>
      <c r="R749" s="86"/>
      <c r="S749" s="86"/>
      <c r="T749" s="86"/>
      <c r="U749" s="86"/>
    </row>
    <row r="750">
      <c r="N750" s="125"/>
      <c r="O750" s="86"/>
      <c r="P750" s="86"/>
      <c r="Q750" s="86"/>
      <c r="R750" s="86"/>
      <c r="S750" s="86"/>
      <c r="T750" s="86"/>
      <c r="U750" s="86"/>
    </row>
    <row r="751">
      <c r="N751" s="125"/>
      <c r="O751" s="86"/>
      <c r="P751" s="86"/>
      <c r="Q751" s="86"/>
      <c r="R751" s="86"/>
      <c r="S751" s="86"/>
      <c r="T751" s="86"/>
      <c r="U751" s="86"/>
    </row>
    <row r="752">
      <c r="N752" s="125"/>
      <c r="O752" s="86"/>
      <c r="P752" s="86"/>
      <c r="Q752" s="86"/>
      <c r="R752" s="86"/>
      <c r="S752" s="86"/>
      <c r="T752" s="86"/>
      <c r="U752" s="86"/>
    </row>
    <row r="753">
      <c r="N753" s="125"/>
      <c r="O753" s="86"/>
      <c r="P753" s="86"/>
      <c r="Q753" s="86"/>
      <c r="R753" s="86"/>
      <c r="S753" s="86"/>
      <c r="T753" s="86"/>
      <c r="U753" s="86"/>
    </row>
    <row r="754">
      <c r="N754" s="125"/>
      <c r="O754" s="86"/>
      <c r="P754" s="86"/>
      <c r="Q754" s="86"/>
      <c r="R754" s="86"/>
      <c r="S754" s="86"/>
      <c r="T754" s="86"/>
      <c r="U754" s="86"/>
    </row>
    <row r="755">
      <c r="N755" s="125"/>
      <c r="O755" s="86"/>
      <c r="P755" s="86"/>
      <c r="Q755" s="86"/>
      <c r="R755" s="86"/>
      <c r="S755" s="86"/>
      <c r="T755" s="86"/>
      <c r="U755" s="86"/>
    </row>
    <row r="756">
      <c r="N756" s="125"/>
      <c r="O756" s="86"/>
      <c r="P756" s="86"/>
      <c r="Q756" s="86"/>
      <c r="R756" s="86"/>
      <c r="S756" s="86"/>
      <c r="T756" s="86"/>
      <c r="U756" s="86"/>
    </row>
    <row r="757">
      <c r="N757" s="125"/>
      <c r="O757" s="86"/>
      <c r="P757" s="86"/>
      <c r="Q757" s="86"/>
      <c r="R757" s="86"/>
      <c r="S757" s="86"/>
      <c r="T757" s="86"/>
      <c r="U757" s="86"/>
    </row>
    <row r="758">
      <c r="N758" s="125"/>
      <c r="O758" s="86"/>
      <c r="P758" s="86"/>
      <c r="Q758" s="86"/>
      <c r="R758" s="86"/>
      <c r="S758" s="86"/>
      <c r="T758" s="86"/>
      <c r="U758" s="86"/>
    </row>
    <row r="759">
      <c r="N759" s="125"/>
      <c r="O759" s="86"/>
      <c r="P759" s="86"/>
      <c r="Q759" s="86"/>
      <c r="R759" s="86"/>
      <c r="S759" s="86"/>
      <c r="T759" s="86"/>
      <c r="U759" s="86"/>
    </row>
    <row r="760">
      <c r="N760" s="125"/>
      <c r="O760" s="86"/>
      <c r="P760" s="86"/>
      <c r="Q760" s="86"/>
      <c r="R760" s="86"/>
      <c r="S760" s="86"/>
      <c r="T760" s="86"/>
      <c r="U760" s="86"/>
    </row>
    <row r="761">
      <c r="N761" s="125"/>
      <c r="O761" s="86"/>
      <c r="P761" s="86"/>
      <c r="Q761" s="86"/>
      <c r="R761" s="86"/>
      <c r="S761" s="86"/>
      <c r="T761" s="86"/>
      <c r="U761" s="86"/>
    </row>
    <row r="762">
      <c r="N762" s="125"/>
      <c r="O762" s="86"/>
      <c r="P762" s="86"/>
      <c r="Q762" s="86"/>
      <c r="R762" s="86"/>
      <c r="S762" s="86"/>
      <c r="T762" s="86"/>
      <c r="U762" s="86"/>
    </row>
    <row r="763">
      <c r="N763" s="125"/>
      <c r="O763" s="86"/>
      <c r="P763" s="86"/>
      <c r="Q763" s="86"/>
      <c r="R763" s="86"/>
      <c r="S763" s="86"/>
      <c r="T763" s="86"/>
      <c r="U763" s="86"/>
    </row>
    <row r="764">
      <c r="N764" s="125"/>
      <c r="O764" s="86"/>
      <c r="P764" s="86"/>
      <c r="Q764" s="86"/>
      <c r="R764" s="86"/>
      <c r="S764" s="86"/>
      <c r="T764" s="86"/>
      <c r="U764" s="86"/>
    </row>
    <row r="765">
      <c r="N765" s="125"/>
      <c r="O765" s="86"/>
      <c r="P765" s="86"/>
      <c r="Q765" s="86"/>
      <c r="R765" s="86"/>
      <c r="S765" s="86"/>
      <c r="T765" s="86"/>
      <c r="U765" s="86"/>
    </row>
    <row r="766">
      <c r="N766" s="125"/>
      <c r="O766" s="86"/>
      <c r="P766" s="86"/>
      <c r="Q766" s="86"/>
      <c r="R766" s="86"/>
      <c r="S766" s="86"/>
      <c r="T766" s="86"/>
      <c r="U766" s="86"/>
    </row>
    <row r="767">
      <c r="N767" s="125"/>
      <c r="O767" s="86"/>
      <c r="P767" s="86"/>
      <c r="Q767" s="86"/>
      <c r="R767" s="86"/>
      <c r="S767" s="86"/>
      <c r="T767" s="86"/>
      <c r="U767" s="86"/>
    </row>
    <row r="768">
      <c r="N768" s="125"/>
      <c r="O768" s="86"/>
      <c r="P768" s="86"/>
      <c r="Q768" s="86"/>
      <c r="R768" s="86"/>
      <c r="S768" s="86"/>
      <c r="T768" s="86"/>
      <c r="U768" s="86"/>
    </row>
    <row r="769">
      <c r="N769" s="125"/>
      <c r="O769" s="86"/>
      <c r="P769" s="86"/>
      <c r="Q769" s="86"/>
      <c r="R769" s="86"/>
      <c r="S769" s="86"/>
      <c r="T769" s="86"/>
      <c r="U769" s="86"/>
    </row>
    <row r="770">
      <c r="N770" s="125"/>
      <c r="O770" s="86"/>
      <c r="P770" s="86"/>
      <c r="Q770" s="86"/>
      <c r="R770" s="86"/>
      <c r="S770" s="86"/>
      <c r="T770" s="86"/>
      <c r="U770" s="86"/>
    </row>
    <row r="771">
      <c r="N771" s="125"/>
      <c r="O771" s="86"/>
      <c r="P771" s="86"/>
      <c r="Q771" s="86"/>
      <c r="R771" s="86"/>
      <c r="S771" s="86"/>
      <c r="T771" s="86"/>
      <c r="U771" s="86"/>
    </row>
    <row r="772">
      <c r="N772" s="125"/>
      <c r="O772" s="86"/>
      <c r="P772" s="86"/>
      <c r="Q772" s="86"/>
      <c r="R772" s="86"/>
      <c r="S772" s="86"/>
      <c r="T772" s="86"/>
      <c r="U772" s="86"/>
    </row>
    <row r="773">
      <c r="N773" s="125"/>
      <c r="O773" s="86"/>
      <c r="P773" s="86"/>
      <c r="Q773" s="86"/>
      <c r="R773" s="86"/>
      <c r="S773" s="86"/>
      <c r="T773" s="86"/>
      <c r="U773" s="86"/>
    </row>
    <row r="774">
      <c r="N774" s="125"/>
      <c r="O774" s="86"/>
      <c r="P774" s="86"/>
      <c r="Q774" s="86"/>
      <c r="R774" s="86"/>
      <c r="S774" s="86"/>
      <c r="T774" s="86"/>
      <c r="U774" s="86"/>
    </row>
    <row r="775">
      <c r="N775" s="125"/>
      <c r="O775" s="86"/>
      <c r="P775" s="86"/>
      <c r="Q775" s="86"/>
      <c r="R775" s="86"/>
      <c r="S775" s="86"/>
      <c r="T775" s="86"/>
      <c r="U775" s="86"/>
    </row>
    <row r="776">
      <c r="N776" s="125"/>
      <c r="O776" s="86"/>
      <c r="P776" s="86"/>
      <c r="Q776" s="86"/>
      <c r="R776" s="86"/>
      <c r="S776" s="86"/>
      <c r="T776" s="86"/>
      <c r="U776" s="86"/>
    </row>
    <row r="777">
      <c r="N777" s="125"/>
      <c r="O777" s="86"/>
      <c r="P777" s="86"/>
      <c r="Q777" s="86"/>
      <c r="R777" s="86"/>
      <c r="S777" s="86"/>
      <c r="T777" s="86"/>
      <c r="U777" s="86"/>
    </row>
    <row r="778">
      <c r="N778" s="125"/>
      <c r="O778" s="86"/>
      <c r="P778" s="86"/>
      <c r="Q778" s="86"/>
      <c r="R778" s="86"/>
      <c r="S778" s="86"/>
      <c r="T778" s="86"/>
      <c r="U778" s="86"/>
    </row>
    <row r="779">
      <c r="N779" s="125"/>
      <c r="O779" s="86"/>
      <c r="P779" s="86"/>
      <c r="Q779" s="86"/>
      <c r="R779" s="86"/>
      <c r="S779" s="86"/>
      <c r="T779" s="86"/>
      <c r="U779" s="86"/>
    </row>
    <row r="780">
      <c r="N780" s="125"/>
      <c r="O780" s="86"/>
      <c r="P780" s="86"/>
      <c r="Q780" s="86"/>
      <c r="R780" s="86"/>
      <c r="S780" s="86"/>
      <c r="T780" s="86"/>
      <c r="U780" s="86"/>
    </row>
    <row r="781">
      <c r="N781" s="125"/>
      <c r="O781" s="86"/>
      <c r="P781" s="86"/>
      <c r="Q781" s="86"/>
      <c r="R781" s="86"/>
      <c r="S781" s="86"/>
      <c r="T781" s="86"/>
      <c r="U781" s="86"/>
    </row>
    <row r="782">
      <c r="N782" s="125"/>
      <c r="O782" s="86"/>
      <c r="P782" s="86"/>
      <c r="Q782" s="86"/>
      <c r="R782" s="86"/>
      <c r="S782" s="86"/>
      <c r="T782" s="86"/>
      <c r="U782" s="86"/>
    </row>
    <row r="783">
      <c r="N783" s="125"/>
      <c r="O783" s="86"/>
      <c r="P783" s="86"/>
      <c r="Q783" s="86"/>
      <c r="R783" s="86"/>
      <c r="S783" s="86"/>
      <c r="T783" s="86"/>
      <c r="U783" s="86"/>
    </row>
    <row r="784">
      <c r="N784" s="125"/>
      <c r="O784" s="86"/>
      <c r="P784" s="86"/>
      <c r="Q784" s="86"/>
      <c r="R784" s="86"/>
      <c r="S784" s="86"/>
      <c r="T784" s="86"/>
      <c r="U784" s="86"/>
    </row>
    <row r="785">
      <c r="N785" s="125"/>
      <c r="O785" s="86"/>
      <c r="P785" s="86"/>
      <c r="Q785" s="86"/>
      <c r="R785" s="86"/>
      <c r="S785" s="86"/>
      <c r="T785" s="86"/>
      <c r="U785" s="86"/>
    </row>
    <row r="786">
      <c r="N786" s="125"/>
      <c r="O786" s="86"/>
      <c r="P786" s="86"/>
      <c r="Q786" s="86"/>
      <c r="R786" s="86"/>
      <c r="S786" s="86"/>
      <c r="T786" s="86"/>
      <c r="U786" s="86"/>
    </row>
    <row r="787">
      <c r="N787" s="125"/>
      <c r="O787" s="86"/>
      <c r="P787" s="86"/>
      <c r="Q787" s="86"/>
      <c r="R787" s="86"/>
      <c r="S787" s="86"/>
      <c r="T787" s="86"/>
      <c r="U787" s="86"/>
    </row>
    <row r="788">
      <c r="N788" s="125"/>
      <c r="O788" s="86"/>
      <c r="P788" s="86"/>
      <c r="Q788" s="86"/>
      <c r="R788" s="86"/>
      <c r="S788" s="86"/>
      <c r="T788" s="86"/>
      <c r="U788" s="86"/>
    </row>
    <row r="789">
      <c r="N789" s="125"/>
      <c r="O789" s="86"/>
      <c r="P789" s="86"/>
      <c r="Q789" s="86"/>
      <c r="R789" s="86"/>
      <c r="S789" s="86"/>
      <c r="T789" s="86"/>
      <c r="U789" s="86"/>
    </row>
    <row r="790">
      <c r="N790" s="125"/>
      <c r="O790" s="86"/>
      <c r="P790" s="86"/>
      <c r="Q790" s="86"/>
      <c r="R790" s="86"/>
      <c r="S790" s="86"/>
      <c r="T790" s="86"/>
      <c r="U790" s="86"/>
    </row>
    <row r="791">
      <c r="N791" s="125"/>
      <c r="O791" s="86"/>
      <c r="P791" s="86"/>
      <c r="Q791" s="86"/>
      <c r="R791" s="86"/>
      <c r="S791" s="86"/>
      <c r="T791" s="86"/>
      <c r="U791" s="86"/>
    </row>
    <row r="792">
      <c r="N792" s="125"/>
      <c r="O792" s="86"/>
      <c r="P792" s="86"/>
      <c r="Q792" s="86"/>
      <c r="R792" s="86"/>
      <c r="S792" s="86"/>
      <c r="T792" s="86"/>
      <c r="U792" s="86"/>
    </row>
    <row r="793">
      <c r="N793" s="125"/>
      <c r="O793" s="86"/>
      <c r="P793" s="86"/>
      <c r="Q793" s="86"/>
      <c r="R793" s="86"/>
      <c r="S793" s="86"/>
      <c r="T793" s="86"/>
      <c r="U793" s="86"/>
    </row>
    <row r="794">
      <c r="N794" s="125"/>
      <c r="O794" s="86"/>
      <c r="P794" s="86"/>
      <c r="Q794" s="86"/>
      <c r="R794" s="86"/>
      <c r="S794" s="86"/>
      <c r="T794" s="86"/>
      <c r="U794" s="86"/>
    </row>
    <row r="795">
      <c r="N795" s="125"/>
      <c r="O795" s="86"/>
      <c r="P795" s="86"/>
      <c r="Q795" s="86"/>
      <c r="R795" s="86"/>
      <c r="S795" s="86"/>
      <c r="T795" s="86"/>
      <c r="U795" s="86"/>
    </row>
    <row r="796">
      <c r="N796" s="125"/>
      <c r="O796" s="86"/>
      <c r="P796" s="86"/>
      <c r="Q796" s="86"/>
      <c r="R796" s="86"/>
      <c r="S796" s="86"/>
      <c r="T796" s="86"/>
      <c r="U796" s="86"/>
    </row>
    <row r="797">
      <c r="N797" s="125"/>
      <c r="O797" s="86"/>
      <c r="P797" s="86"/>
      <c r="Q797" s="86"/>
      <c r="R797" s="86"/>
      <c r="S797" s="86"/>
      <c r="T797" s="86"/>
      <c r="U797" s="86"/>
    </row>
    <row r="798">
      <c r="N798" s="125"/>
      <c r="O798" s="86"/>
      <c r="P798" s="86"/>
      <c r="Q798" s="86"/>
      <c r="R798" s="86"/>
      <c r="S798" s="86"/>
      <c r="T798" s="86"/>
      <c r="U798" s="86"/>
    </row>
    <row r="799">
      <c r="N799" s="125"/>
      <c r="O799" s="86"/>
      <c r="P799" s="86"/>
      <c r="Q799" s="86"/>
      <c r="R799" s="86"/>
      <c r="S799" s="86"/>
      <c r="T799" s="86"/>
      <c r="U799" s="86"/>
    </row>
    <row r="800">
      <c r="N800" s="125"/>
      <c r="O800" s="86"/>
      <c r="P800" s="86"/>
      <c r="Q800" s="86"/>
      <c r="R800" s="86"/>
      <c r="S800" s="86"/>
      <c r="T800" s="86"/>
      <c r="U800" s="86"/>
    </row>
    <row r="801">
      <c r="N801" s="125"/>
      <c r="O801" s="86"/>
      <c r="P801" s="86"/>
      <c r="Q801" s="86"/>
      <c r="R801" s="86"/>
      <c r="S801" s="86"/>
      <c r="T801" s="86"/>
      <c r="U801" s="86"/>
    </row>
    <row r="802">
      <c r="N802" s="125"/>
      <c r="O802" s="86"/>
      <c r="P802" s="86"/>
      <c r="Q802" s="86"/>
      <c r="R802" s="86"/>
      <c r="S802" s="86"/>
      <c r="T802" s="86"/>
      <c r="U802" s="86"/>
    </row>
    <row r="803">
      <c r="N803" s="125"/>
      <c r="O803" s="86"/>
      <c r="P803" s="86"/>
      <c r="Q803" s="86"/>
      <c r="R803" s="86"/>
      <c r="S803" s="86"/>
      <c r="T803" s="86"/>
      <c r="U803" s="86"/>
    </row>
    <row r="804">
      <c r="N804" s="125"/>
      <c r="O804" s="86"/>
      <c r="P804" s="86"/>
      <c r="Q804" s="86"/>
      <c r="R804" s="86"/>
      <c r="S804" s="86"/>
      <c r="T804" s="86"/>
      <c r="U804" s="86"/>
    </row>
    <row r="805">
      <c r="N805" s="125"/>
      <c r="O805" s="86"/>
      <c r="P805" s="86"/>
      <c r="Q805" s="86"/>
      <c r="R805" s="86"/>
      <c r="S805" s="86"/>
      <c r="T805" s="86"/>
      <c r="U805" s="86"/>
    </row>
    <row r="806">
      <c r="N806" s="125"/>
      <c r="O806" s="86"/>
      <c r="P806" s="86"/>
      <c r="Q806" s="86"/>
      <c r="R806" s="86"/>
      <c r="S806" s="86"/>
      <c r="T806" s="86"/>
      <c r="U806" s="86"/>
    </row>
    <row r="807">
      <c r="N807" s="125"/>
      <c r="O807" s="86"/>
      <c r="P807" s="86"/>
      <c r="Q807" s="86"/>
      <c r="R807" s="86"/>
      <c r="S807" s="86"/>
      <c r="T807" s="86"/>
      <c r="U807" s="86"/>
    </row>
    <row r="808">
      <c r="N808" s="125"/>
      <c r="O808" s="86"/>
      <c r="P808" s="86"/>
      <c r="Q808" s="86"/>
      <c r="R808" s="86"/>
      <c r="S808" s="86"/>
      <c r="T808" s="86"/>
      <c r="U808" s="86"/>
    </row>
    <row r="809">
      <c r="N809" s="125"/>
      <c r="O809" s="86"/>
      <c r="P809" s="86"/>
      <c r="Q809" s="86"/>
      <c r="R809" s="86"/>
      <c r="S809" s="86"/>
      <c r="T809" s="86"/>
      <c r="U809" s="86"/>
    </row>
    <row r="810">
      <c r="N810" s="125"/>
      <c r="O810" s="86"/>
      <c r="P810" s="86"/>
      <c r="Q810" s="86"/>
      <c r="R810" s="86"/>
      <c r="S810" s="86"/>
      <c r="T810" s="86"/>
      <c r="U810" s="86"/>
    </row>
    <row r="811">
      <c r="N811" s="125"/>
      <c r="O811" s="86"/>
      <c r="P811" s="86"/>
      <c r="Q811" s="86"/>
      <c r="R811" s="86"/>
      <c r="S811" s="86"/>
      <c r="T811" s="86"/>
      <c r="U811" s="86"/>
    </row>
    <row r="812">
      <c r="N812" s="125"/>
      <c r="O812" s="86"/>
      <c r="P812" s="86"/>
      <c r="Q812" s="86"/>
      <c r="R812" s="86"/>
      <c r="S812" s="86"/>
      <c r="T812" s="86"/>
      <c r="U812" s="86"/>
    </row>
    <row r="813">
      <c r="N813" s="125"/>
      <c r="O813" s="86"/>
      <c r="P813" s="86"/>
      <c r="Q813" s="86"/>
      <c r="R813" s="86"/>
      <c r="S813" s="86"/>
      <c r="T813" s="86"/>
      <c r="U813" s="86"/>
    </row>
    <row r="814">
      <c r="N814" s="125"/>
      <c r="O814" s="86"/>
      <c r="P814" s="86"/>
      <c r="Q814" s="86"/>
      <c r="R814" s="86"/>
      <c r="S814" s="86"/>
      <c r="T814" s="86"/>
      <c r="U814" s="86"/>
    </row>
    <row r="815">
      <c r="N815" s="125"/>
      <c r="O815" s="86"/>
      <c r="P815" s="86"/>
      <c r="Q815" s="86"/>
      <c r="R815" s="86"/>
      <c r="S815" s="86"/>
      <c r="T815" s="86"/>
      <c r="U815" s="86"/>
    </row>
    <row r="816">
      <c r="N816" s="125"/>
      <c r="O816" s="86"/>
      <c r="P816" s="86"/>
      <c r="Q816" s="86"/>
      <c r="R816" s="86"/>
      <c r="S816" s="86"/>
      <c r="T816" s="86"/>
      <c r="U816" s="86"/>
    </row>
    <row r="817">
      <c r="N817" s="125"/>
      <c r="O817" s="86"/>
      <c r="P817" s="86"/>
      <c r="Q817" s="86"/>
      <c r="R817" s="86"/>
      <c r="S817" s="86"/>
      <c r="T817" s="86"/>
      <c r="U817" s="86"/>
    </row>
    <row r="818">
      <c r="N818" s="125"/>
      <c r="O818" s="86"/>
      <c r="P818" s="86"/>
      <c r="Q818" s="86"/>
      <c r="R818" s="86"/>
      <c r="S818" s="86"/>
      <c r="T818" s="86"/>
      <c r="U818" s="86"/>
    </row>
    <row r="819">
      <c r="N819" s="125"/>
      <c r="O819" s="86"/>
      <c r="P819" s="86"/>
      <c r="Q819" s="86"/>
      <c r="R819" s="86"/>
      <c r="S819" s="86"/>
      <c r="T819" s="86"/>
      <c r="U819" s="86"/>
    </row>
    <row r="820">
      <c r="N820" s="125"/>
      <c r="O820" s="86"/>
      <c r="P820" s="86"/>
      <c r="Q820" s="86"/>
      <c r="R820" s="86"/>
      <c r="S820" s="86"/>
      <c r="T820" s="86"/>
      <c r="U820" s="86"/>
    </row>
    <row r="821">
      <c r="N821" s="125"/>
      <c r="O821" s="86"/>
      <c r="P821" s="86"/>
      <c r="Q821" s="86"/>
      <c r="R821" s="86"/>
      <c r="S821" s="86"/>
      <c r="T821" s="86"/>
      <c r="U821" s="86"/>
    </row>
    <row r="822">
      <c r="N822" s="125"/>
      <c r="O822" s="86"/>
      <c r="P822" s="86"/>
      <c r="Q822" s="86"/>
      <c r="R822" s="86"/>
      <c r="S822" s="86"/>
      <c r="T822" s="86"/>
      <c r="U822" s="86"/>
    </row>
    <row r="823">
      <c r="N823" s="125"/>
      <c r="O823" s="86"/>
      <c r="P823" s="86"/>
      <c r="Q823" s="86"/>
      <c r="R823" s="86"/>
      <c r="S823" s="86"/>
      <c r="T823" s="86"/>
      <c r="U823" s="86"/>
    </row>
    <row r="824">
      <c r="N824" s="125"/>
      <c r="O824" s="86"/>
      <c r="P824" s="86"/>
      <c r="Q824" s="86"/>
      <c r="R824" s="86"/>
      <c r="S824" s="86"/>
      <c r="T824" s="86"/>
      <c r="U824" s="86"/>
    </row>
    <row r="825">
      <c r="N825" s="125"/>
      <c r="O825" s="86"/>
      <c r="P825" s="86"/>
      <c r="Q825" s="86"/>
      <c r="R825" s="86"/>
      <c r="S825" s="86"/>
      <c r="T825" s="86"/>
      <c r="U825" s="86"/>
    </row>
    <row r="826">
      <c r="N826" s="125"/>
      <c r="O826" s="86"/>
      <c r="P826" s="86"/>
      <c r="Q826" s="86"/>
      <c r="R826" s="86"/>
      <c r="S826" s="86"/>
      <c r="T826" s="86"/>
      <c r="U826" s="86"/>
    </row>
    <row r="827">
      <c r="N827" s="125"/>
      <c r="O827" s="86"/>
      <c r="P827" s="86"/>
      <c r="Q827" s="86"/>
      <c r="R827" s="86"/>
      <c r="S827" s="86"/>
      <c r="T827" s="86"/>
      <c r="U827" s="86"/>
    </row>
    <row r="828">
      <c r="N828" s="125"/>
      <c r="O828" s="86"/>
      <c r="P828" s="86"/>
      <c r="Q828" s="86"/>
      <c r="R828" s="86"/>
      <c r="S828" s="86"/>
      <c r="T828" s="86"/>
      <c r="U828" s="86"/>
    </row>
    <row r="829">
      <c r="N829" s="125"/>
      <c r="O829" s="86"/>
      <c r="P829" s="86"/>
      <c r="Q829" s="86"/>
      <c r="R829" s="86"/>
      <c r="S829" s="86"/>
      <c r="T829" s="86"/>
      <c r="U829" s="86"/>
    </row>
    <row r="830">
      <c r="N830" s="125"/>
      <c r="O830" s="86"/>
      <c r="P830" s="86"/>
      <c r="Q830" s="86"/>
      <c r="R830" s="86"/>
      <c r="S830" s="86"/>
      <c r="T830" s="86"/>
      <c r="U830" s="86"/>
    </row>
    <row r="831">
      <c r="N831" s="125"/>
      <c r="O831" s="86"/>
      <c r="P831" s="86"/>
      <c r="Q831" s="86"/>
      <c r="R831" s="86"/>
      <c r="S831" s="86"/>
      <c r="T831" s="86"/>
      <c r="U831" s="86"/>
    </row>
    <row r="832">
      <c r="N832" s="125"/>
      <c r="O832" s="86"/>
      <c r="P832" s="86"/>
      <c r="Q832" s="86"/>
      <c r="R832" s="86"/>
      <c r="S832" s="86"/>
      <c r="T832" s="86"/>
      <c r="U832" s="86"/>
    </row>
    <row r="833">
      <c r="N833" s="125"/>
      <c r="O833" s="86"/>
      <c r="P833" s="86"/>
      <c r="Q833" s="86"/>
      <c r="R833" s="86"/>
      <c r="S833" s="86"/>
      <c r="T833" s="86"/>
      <c r="U833" s="86"/>
    </row>
    <row r="834">
      <c r="N834" s="125"/>
      <c r="O834" s="86"/>
      <c r="P834" s="86"/>
      <c r="Q834" s="86"/>
      <c r="R834" s="86"/>
      <c r="S834" s="86"/>
      <c r="T834" s="86"/>
      <c r="U834" s="86"/>
    </row>
    <row r="835">
      <c r="N835" s="125"/>
      <c r="O835" s="86"/>
      <c r="P835" s="86"/>
      <c r="Q835" s="86"/>
      <c r="R835" s="86"/>
      <c r="S835" s="86"/>
      <c r="T835" s="86"/>
      <c r="U835" s="86"/>
    </row>
    <row r="836">
      <c r="N836" s="125"/>
      <c r="O836" s="86"/>
      <c r="P836" s="86"/>
      <c r="Q836" s="86"/>
      <c r="R836" s="86"/>
      <c r="S836" s="86"/>
      <c r="T836" s="86"/>
      <c r="U836" s="86"/>
    </row>
    <row r="837">
      <c r="N837" s="125"/>
      <c r="O837" s="86"/>
      <c r="P837" s="86"/>
      <c r="Q837" s="86"/>
      <c r="R837" s="86"/>
      <c r="S837" s="86"/>
      <c r="T837" s="86"/>
      <c r="U837" s="86"/>
    </row>
    <row r="838">
      <c r="N838" s="125"/>
      <c r="O838" s="86"/>
      <c r="P838" s="86"/>
      <c r="Q838" s="86"/>
      <c r="R838" s="86"/>
      <c r="S838" s="86"/>
      <c r="T838" s="86"/>
      <c r="U838" s="86"/>
    </row>
    <row r="839">
      <c r="N839" s="125"/>
      <c r="O839" s="86"/>
      <c r="P839" s="86"/>
      <c r="Q839" s="86"/>
      <c r="R839" s="86"/>
      <c r="S839" s="86"/>
      <c r="T839" s="86"/>
      <c r="U839" s="86"/>
    </row>
    <row r="840">
      <c r="N840" s="125"/>
      <c r="O840" s="86"/>
      <c r="P840" s="86"/>
      <c r="Q840" s="86"/>
      <c r="R840" s="86"/>
      <c r="S840" s="86"/>
      <c r="T840" s="86"/>
      <c r="U840" s="86"/>
    </row>
    <row r="841">
      <c r="N841" s="125"/>
      <c r="O841" s="86"/>
      <c r="P841" s="86"/>
      <c r="Q841" s="86"/>
      <c r="R841" s="86"/>
      <c r="S841" s="86"/>
      <c r="T841" s="86"/>
      <c r="U841" s="86"/>
    </row>
    <row r="842">
      <c r="N842" s="125"/>
      <c r="O842" s="86"/>
      <c r="P842" s="86"/>
      <c r="Q842" s="86"/>
      <c r="R842" s="86"/>
      <c r="S842" s="86"/>
      <c r="T842" s="86"/>
      <c r="U842" s="86"/>
    </row>
    <row r="843">
      <c r="N843" s="125"/>
      <c r="O843" s="86"/>
      <c r="P843" s="86"/>
      <c r="Q843" s="86"/>
      <c r="R843" s="86"/>
      <c r="S843" s="86"/>
      <c r="T843" s="86"/>
      <c r="U843" s="86"/>
    </row>
    <row r="844">
      <c r="N844" s="125"/>
      <c r="O844" s="86"/>
      <c r="P844" s="86"/>
      <c r="Q844" s="86"/>
      <c r="R844" s="86"/>
      <c r="S844" s="86"/>
      <c r="T844" s="86"/>
      <c r="U844" s="86"/>
    </row>
    <row r="845">
      <c r="N845" s="125"/>
      <c r="O845" s="86"/>
      <c r="P845" s="86"/>
      <c r="Q845" s="86"/>
      <c r="R845" s="86"/>
      <c r="S845" s="86"/>
      <c r="T845" s="86"/>
      <c r="U845" s="86"/>
    </row>
    <row r="846">
      <c r="N846" s="125"/>
      <c r="O846" s="86"/>
      <c r="P846" s="86"/>
      <c r="Q846" s="86"/>
      <c r="R846" s="86"/>
      <c r="S846" s="86"/>
      <c r="T846" s="86"/>
      <c r="U846" s="86"/>
    </row>
    <row r="847">
      <c r="N847" s="125"/>
      <c r="O847" s="86"/>
      <c r="P847" s="86"/>
      <c r="Q847" s="86"/>
      <c r="R847" s="86"/>
      <c r="S847" s="86"/>
      <c r="T847" s="86"/>
      <c r="U847" s="86"/>
    </row>
    <row r="848">
      <c r="N848" s="125"/>
      <c r="O848" s="86"/>
      <c r="P848" s="86"/>
      <c r="Q848" s="86"/>
      <c r="R848" s="86"/>
      <c r="S848" s="86"/>
      <c r="T848" s="86"/>
      <c r="U848" s="86"/>
    </row>
    <row r="849">
      <c r="N849" s="125"/>
      <c r="O849" s="86"/>
      <c r="P849" s="86"/>
      <c r="Q849" s="86"/>
      <c r="R849" s="86"/>
      <c r="S849" s="86"/>
      <c r="T849" s="86"/>
      <c r="U849" s="86"/>
    </row>
    <row r="850">
      <c r="N850" s="125"/>
      <c r="O850" s="86"/>
      <c r="P850" s="86"/>
      <c r="Q850" s="86"/>
      <c r="R850" s="86"/>
      <c r="S850" s="86"/>
      <c r="T850" s="86"/>
      <c r="U850" s="86"/>
    </row>
    <row r="851">
      <c r="N851" s="125"/>
      <c r="O851" s="86"/>
      <c r="P851" s="86"/>
      <c r="Q851" s="86"/>
      <c r="R851" s="86"/>
      <c r="S851" s="86"/>
      <c r="T851" s="86"/>
      <c r="U851" s="86"/>
    </row>
    <row r="852">
      <c r="N852" s="125"/>
      <c r="O852" s="86"/>
      <c r="P852" s="86"/>
      <c r="Q852" s="86"/>
      <c r="R852" s="86"/>
      <c r="S852" s="86"/>
      <c r="T852" s="86"/>
      <c r="U852" s="86"/>
    </row>
    <row r="853">
      <c r="N853" s="125"/>
      <c r="O853" s="86"/>
      <c r="P853" s="86"/>
      <c r="Q853" s="86"/>
      <c r="R853" s="86"/>
      <c r="S853" s="86"/>
      <c r="T853" s="86"/>
      <c r="U853" s="86"/>
    </row>
    <row r="854">
      <c r="N854" s="125"/>
      <c r="O854" s="86"/>
      <c r="P854" s="86"/>
      <c r="Q854" s="86"/>
      <c r="R854" s="86"/>
      <c r="S854" s="86"/>
      <c r="T854" s="86"/>
      <c r="U854" s="86"/>
    </row>
    <row r="855">
      <c r="N855" s="125"/>
      <c r="O855" s="86"/>
      <c r="P855" s="86"/>
      <c r="Q855" s="86"/>
      <c r="R855" s="86"/>
      <c r="S855" s="86"/>
      <c r="T855" s="86"/>
      <c r="U855" s="86"/>
    </row>
    <row r="856">
      <c r="N856" s="125"/>
      <c r="O856" s="86"/>
      <c r="P856" s="86"/>
      <c r="Q856" s="86"/>
      <c r="R856" s="86"/>
      <c r="S856" s="86"/>
      <c r="T856" s="86"/>
      <c r="U856" s="86"/>
    </row>
    <row r="857">
      <c r="N857" s="125"/>
      <c r="O857" s="86"/>
      <c r="P857" s="86"/>
      <c r="Q857" s="86"/>
      <c r="R857" s="86"/>
      <c r="S857" s="86"/>
      <c r="T857" s="86"/>
      <c r="U857" s="86"/>
    </row>
    <row r="858">
      <c r="N858" s="125"/>
      <c r="O858" s="86"/>
      <c r="P858" s="86"/>
      <c r="Q858" s="86"/>
      <c r="R858" s="86"/>
      <c r="S858" s="86"/>
      <c r="T858" s="86"/>
      <c r="U858" s="86"/>
    </row>
    <row r="859">
      <c r="N859" s="125"/>
      <c r="O859" s="86"/>
      <c r="P859" s="86"/>
      <c r="Q859" s="86"/>
      <c r="R859" s="86"/>
      <c r="S859" s="86"/>
      <c r="T859" s="86"/>
      <c r="U859" s="86"/>
    </row>
    <row r="860">
      <c r="N860" s="125"/>
      <c r="O860" s="86"/>
      <c r="P860" s="86"/>
      <c r="Q860" s="86"/>
      <c r="R860" s="86"/>
      <c r="S860" s="86"/>
      <c r="T860" s="86"/>
      <c r="U860" s="86"/>
    </row>
    <row r="861">
      <c r="N861" s="125"/>
      <c r="O861" s="86"/>
      <c r="P861" s="86"/>
      <c r="Q861" s="86"/>
      <c r="R861" s="86"/>
      <c r="S861" s="86"/>
      <c r="T861" s="86"/>
      <c r="U861" s="86"/>
    </row>
    <row r="862">
      <c r="N862" s="125"/>
      <c r="O862" s="86"/>
      <c r="P862" s="86"/>
      <c r="Q862" s="86"/>
      <c r="R862" s="86"/>
      <c r="S862" s="86"/>
      <c r="T862" s="86"/>
      <c r="U862" s="86"/>
    </row>
    <row r="863">
      <c r="N863" s="125"/>
      <c r="O863" s="86"/>
      <c r="P863" s="86"/>
      <c r="Q863" s="86"/>
      <c r="R863" s="86"/>
      <c r="S863" s="86"/>
      <c r="T863" s="86"/>
      <c r="U863" s="86"/>
    </row>
    <row r="864">
      <c r="N864" s="125"/>
      <c r="O864" s="86"/>
      <c r="P864" s="86"/>
      <c r="Q864" s="86"/>
      <c r="R864" s="86"/>
      <c r="S864" s="86"/>
      <c r="T864" s="86"/>
      <c r="U864" s="86"/>
    </row>
    <row r="865">
      <c r="N865" s="125"/>
      <c r="O865" s="86"/>
      <c r="P865" s="86"/>
      <c r="Q865" s="86"/>
      <c r="R865" s="86"/>
      <c r="S865" s="86"/>
      <c r="T865" s="86"/>
      <c r="U865" s="86"/>
    </row>
    <row r="866">
      <c r="N866" s="125"/>
      <c r="O866" s="86"/>
      <c r="P866" s="86"/>
      <c r="Q866" s="86"/>
      <c r="R866" s="86"/>
      <c r="S866" s="86"/>
      <c r="T866" s="86"/>
      <c r="U866" s="86"/>
    </row>
    <row r="867">
      <c r="N867" s="125"/>
      <c r="O867" s="86"/>
      <c r="P867" s="86"/>
      <c r="Q867" s="86"/>
      <c r="R867" s="86"/>
      <c r="S867" s="86"/>
      <c r="T867" s="86"/>
      <c r="U867" s="86"/>
    </row>
    <row r="868">
      <c r="N868" s="125"/>
      <c r="O868" s="86"/>
      <c r="P868" s="86"/>
      <c r="Q868" s="86"/>
      <c r="R868" s="86"/>
      <c r="S868" s="86"/>
      <c r="T868" s="86"/>
      <c r="U868" s="86"/>
    </row>
    <row r="869">
      <c r="N869" s="125"/>
      <c r="O869" s="86"/>
      <c r="P869" s="86"/>
      <c r="Q869" s="86"/>
      <c r="R869" s="86"/>
      <c r="S869" s="86"/>
      <c r="T869" s="86"/>
      <c r="U869" s="86"/>
    </row>
    <row r="870">
      <c r="N870" s="125"/>
      <c r="O870" s="86"/>
      <c r="P870" s="86"/>
      <c r="Q870" s="86"/>
      <c r="R870" s="86"/>
      <c r="S870" s="86"/>
      <c r="T870" s="86"/>
      <c r="U870" s="86"/>
    </row>
    <row r="871">
      <c r="N871" s="125"/>
      <c r="O871" s="86"/>
      <c r="P871" s="86"/>
      <c r="Q871" s="86"/>
      <c r="R871" s="86"/>
      <c r="S871" s="86"/>
      <c r="T871" s="86"/>
      <c r="U871" s="86"/>
    </row>
    <row r="872">
      <c r="N872" s="125"/>
      <c r="O872" s="86"/>
      <c r="P872" s="86"/>
      <c r="Q872" s="86"/>
      <c r="R872" s="86"/>
      <c r="S872" s="86"/>
      <c r="T872" s="86"/>
      <c r="U872" s="86"/>
    </row>
    <row r="873">
      <c r="N873" s="125"/>
      <c r="O873" s="86"/>
      <c r="P873" s="86"/>
      <c r="Q873" s="86"/>
      <c r="R873" s="86"/>
      <c r="S873" s="86"/>
      <c r="T873" s="86"/>
      <c r="U873" s="86"/>
    </row>
    <row r="874">
      <c r="N874" s="125"/>
      <c r="O874" s="86"/>
      <c r="P874" s="86"/>
      <c r="Q874" s="86"/>
      <c r="R874" s="86"/>
      <c r="S874" s="86"/>
      <c r="T874" s="86"/>
      <c r="U874" s="86"/>
    </row>
    <row r="875">
      <c r="N875" s="125"/>
      <c r="O875" s="86"/>
      <c r="P875" s="86"/>
      <c r="Q875" s="86"/>
      <c r="R875" s="86"/>
      <c r="S875" s="86"/>
      <c r="T875" s="86"/>
      <c r="U875" s="86"/>
    </row>
    <row r="876">
      <c r="N876" s="125"/>
      <c r="O876" s="86"/>
      <c r="P876" s="86"/>
      <c r="Q876" s="86"/>
      <c r="R876" s="86"/>
      <c r="S876" s="86"/>
      <c r="T876" s="86"/>
      <c r="U876" s="86"/>
    </row>
    <row r="877">
      <c r="N877" s="125"/>
      <c r="O877" s="86"/>
      <c r="P877" s="86"/>
      <c r="Q877" s="86"/>
      <c r="R877" s="86"/>
      <c r="S877" s="86"/>
      <c r="T877" s="86"/>
      <c r="U877" s="86"/>
    </row>
    <row r="878">
      <c r="N878" s="125"/>
      <c r="O878" s="86"/>
      <c r="P878" s="86"/>
      <c r="Q878" s="86"/>
      <c r="R878" s="86"/>
      <c r="S878" s="86"/>
      <c r="T878" s="86"/>
      <c r="U878" s="86"/>
    </row>
    <row r="879">
      <c r="N879" s="125"/>
      <c r="O879" s="86"/>
      <c r="P879" s="86"/>
      <c r="Q879" s="86"/>
      <c r="R879" s="86"/>
      <c r="S879" s="86"/>
      <c r="T879" s="86"/>
      <c r="U879" s="86"/>
    </row>
    <row r="880">
      <c r="N880" s="125"/>
      <c r="O880" s="86"/>
      <c r="P880" s="86"/>
      <c r="Q880" s="86"/>
      <c r="R880" s="86"/>
      <c r="S880" s="86"/>
      <c r="T880" s="86"/>
      <c r="U880" s="86"/>
    </row>
    <row r="881">
      <c r="N881" s="125"/>
      <c r="O881" s="86"/>
      <c r="P881" s="86"/>
      <c r="Q881" s="86"/>
      <c r="R881" s="86"/>
      <c r="S881" s="86"/>
      <c r="T881" s="86"/>
      <c r="U881" s="86"/>
    </row>
    <row r="882">
      <c r="N882" s="125"/>
      <c r="O882" s="86"/>
      <c r="P882" s="86"/>
      <c r="Q882" s="86"/>
      <c r="R882" s="86"/>
      <c r="S882" s="86"/>
      <c r="T882" s="86"/>
      <c r="U882" s="86"/>
    </row>
    <row r="883">
      <c r="N883" s="125"/>
      <c r="O883" s="86"/>
      <c r="P883" s="86"/>
      <c r="Q883" s="86"/>
      <c r="R883" s="86"/>
      <c r="S883" s="86"/>
      <c r="T883" s="86"/>
      <c r="U883" s="86"/>
    </row>
    <row r="884">
      <c r="N884" s="125"/>
      <c r="O884" s="86"/>
      <c r="P884" s="86"/>
      <c r="Q884" s="86"/>
      <c r="R884" s="86"/>
      <c r="S884" s="86"/>
      <c r="T884" s="86"/>
      <c r="U884" s="86"/>
    </row>
    <row r="885">
      <c r="N885" s="125"/>
      <c r="O885" s="86"/>
      <c r="P885" s="86"/>
      <c r="Q885" s="86"/>
      <c r="R885" s="86"/>
      <c r="S885" s="86"/>
      <c r="T885" s="86"/>
      <c r="U885" s="86"/>
    </row>
    <row r="886">
      <c r="N886" s="125"/>
      <c r="O886" s="86"/>
      <c r="P886" s="86"/>
      <c r="Q886" s="86"/>
      <c r="R886" s="86"/>
      <c r="S886" s="86"/>
      <c r="T886" s="86"/>
      <c r="U886" s="86"/>
    </row>
    <row r="887">
      <c r="N887" s="125"/>
      <c r="O887" s="86"/>
      <c r="P887" s="86"/>
      <c r="Q887" s="86"/>
      <c r="R887" s="86"/>
      <c r="S887" s="86"/>
      <c r="T887" s="86"/>
      <c r="U887" s="86"/>
    </row>
    <row r="888">
      <c r="N888" s="125"/>
      <c r="O888" s="86"/>
      <c r="P888" s="86"/>
      <c r="Q888" s="86"/>
      <c r="R888" s="86"/>
      <c r="S888" s="86"/>
      <c r="T888" s="86"/>
      <c r="U888" s="86"/>
    </row>
    <row r="889">
      <c r="N889" s="125"/>
      <c r="O889" s="86"/>
      <c r="P889" s="86"/>
      <c r="Q889" s="86"/>
      <c r="R889" s="86"/>
      <c r="S889" s="86"/>
      <c r="T889" s="86"/>
      <c r="U889" s="86"/>
    </row>
    <row r="890">
      <c r="N890" s="125"/>
      <c r="O890" s="86"/>
      <c r="P890" s="86"/>
      <c r="Q890" s="86"/>
      <c r="R890" s="86"/>
      <c r="S890" s="86"/>
      <c r="T890" s="86"/>
      <c r="U890" s="86"/>
    </row>
    <row r="891">
      <c r="N891" s="125"/>
      <c r="O891" s="86"/>
      <c r="P891" s="86"/>
      <c r="Q891" s="86"/>
      <c r="R891" s="86"/>
      <c r="S891" s="86"/>
      <c r="T891" s="86"/>
      <c r="U891" s="86"/>
    </row>
    <row r="892">
      <c r="N892" s="125"/>
      <c r="O892" s="86"/>
      <c r="P892" s="86"/>
      <c r="Q892" s="86"/>
      <c r="R892" s="86"/>
      <c r="S892" s="86"/>
      <c r="T892" s="86"/>
      <c r="U892" s="86"/>
    </row>
    <row r="893">
      <c r="N893" s="125"/>
      <c r="O893" s="86"/>
      <c r="P893" s="86"/>
      <c r="Q893" s="86"/>
      <c r="R893" s="86"/>
      <c r="S893" s="86"/>
      <c r="T893" s="86"/>
      <c r="U893" s="86"/>
    </row>
    <row r="894">
      <c r="N894" s="125"/>
      <c r="O894" s="86"/>
      <c r="P894" s="86"/>
      <c r="Q894" s="86"/>
      <c r="R894" s="86"/>
      <c r="S894" s="86"/>
      <c r="T894" s="86"/>
      <c r="U894" s="86"/>
    </row>
    <row r="895">
      <c r="N895" s="125"/>
      <c r="O895" s="86"/>
      <c r="P895" s="86"/>
      <c r="Q895" s="86"/>
      <c r="R895" s="86"/>
      <c r="S895" s="86"/>
      <c r="T895" s="86"/>
      <c r="U895" s="86"/>
    </row>
    <row r="896">
      <c r="N896" s="125"/>
      <c r="O896" s="86"/>
      <c r="P896" s="86"/>
      <c r="Q896" s="86"/>
      <c r="R896" s="86"/>
      <c r="S896" s="86"/>
      <c r="T896" s="86"/>
      <c r="U896" s="86"/>
    </row>
    <row r="897">
      <c r="N897" s="125"/>
      <c r="O897" s="86"/>
      <c r="P897" s="86"/>
      <c r="Q897" s="86"/>
      <c r="R897" s="86"/>
      <c r="S897" s="86"/>
      <c r="T897" s="86"/>
      <c r="U897" s="86"/>
    </row>
    <row r="898">
      <c r="N898" s="125"/>
      <c r="O898" s="86"/>
      <c r="P898" s="86"/>
      <c r="Q898" s="86"/>
      <c r="R898" s="86"/>
      <c r="S898" s="86"/>
      <c r="T898" s="86"/>
      <c r="U898" s="86"/>
    </row>
    <row r="899">
      <c r="N899" s="125"/>
      <c r="O899" s="86"/>
      <c r="P899" s="86"/>
      <c r="Q899" s="86"/>
      <c r="R899" s="86"/>
      <c r="S899" s="86"/>
      <c r="T899" s="86"/>
      <c r="U899" s="86"/>
    </row>
    <row r="900">
      <c r="N900" s="125"/>
      <c r="O900" s="86"/>
      <c r="P900" s="86"/>
      <c r="Q900" s="86"/>
      <c r="R900" s="86"/>
      <c r="S900" s="86"/>
      <c r="T900" s="86"/>
      <c r="U900" s="86"/>
    </row>
    <row r="901">
      <c r="N901" s="125"/>
      <c r="O901" s="86"/>
      <c r="P901" s="86"/>
      <c r="Q901" s="86"/>
      <c r="R901" s="86"/>
      <c r="S901" s="86"/>
      <c r="T901" s="86"/>
      <c r="U901" s="86"/>
    </row>
    <row r="902">
      <c r="N902" s="125"/>
      <c r="O902" s="86"/>
      <c r="P902" s="86"/>
      <c r="Q902" s="86"/>
      <c r="R902" s="86"/>
      <c r="S902" s="86"/>
      <c r="T902" s="86"/>
      <c r="U902" s="86"/>
    </row>
    <row r="903">
      <c r="N903" s="125"/>
      <c r="O903" s="86"/>
      <c r="P903" s="86"/>
      <c r="Q903" s="86"/>
      <c r="R903" s="86"/>
      <c r="S903" s="86"/>
      <c r="T903" s="86"/>
      <c r="U903" s="86"/>
    </row>
    <row r="904">
      <c r="N904" s="125"/>
      <c r="O904" s="86"/>
      <c r="P904" s="86"/>
      <c r="Q904" s="86"/>
      <c r="R904" s="86"/>
      <c r="S904" s="86"/>
      <c r="T904" s="86"/>
      <c r="U904" s="86"/>
    </row>
    <row r="905">
      <c r="N905" s="125"/>
      <c r="O905" s="86"/>
      <c r="P905" s="86"/>
      <c r="Q905" s="86"/>
      <c r="R905" s="86"/>
      <c r="S905" s="86"/>
      <c r="T905" s="86"/>
      <c r="U905" s="86"/>
    </row>
    <row r="906">
      <c r="N906" s="125"/>
      <c r="O906" s="86"/>
      <c r="P906" s="86"/>
      <c r="Q906" s="86"/>
      <c r="R906" s="86"/>
      <c r="S906" s="86"/>
      <c r="T906" s="86"/>
      <c r="U906" s="86"/>
    </row>
    <row r="907">
      <c r="N907" s="125"/>
      <c r="O907" s="86"/>
      <c r="P907" s="86"/>
      <c r="Q907" s="86"/>
      <c r="R907" s="86"/>
      <c r="S907" s="86"/>
      <c r="T907" s="86"/>
      <c r="U907" s="86"/>
    </row>
    <row r="908">
      <c r="N908" s="125"/>
      <c r="O908" s="86"/>
      <c r="P908" s="86"/>
      <c r="Q908" s="86"/>
      <c r="R908" s="86"/>
      <c r="S908" s="86"/>
      <c r="T908" s="86"/>
      <c r="U908" s="86"/>
    </row>
    <row r="909">
      <c r="N909" s="125"/>
      <c r="O909" s="86"/>
      <c r="P909" s="86"/>
      <c r="Q909" s="86"/>
      <c r="R909" s="86"/>
      <c r="S909" s="86"/>
      <c r="T909" s="86"/>
      <c r="U909" s="86"/>
    </row>
    <row r="910">
      <c r="N910" s="125"/>
      <c r="O910" s="86"/>
      <c r="P910" s="86"/>
      <c r="Q910" s="86"/>
      <c r="R910" s="86"/>
      <c r="S910" s="86"/>
      <c r="T910" s="86"/>
      <c r="U910" s="86"/>
    </row>
    <row r="911">
      <c r="N911" s="125"/>
      <c r="O911" s="86"/>
      <c r="P911" s="86"/>
      <c r="Q911" s="86"/>
      <c r="R911" s="86"/>
      <c r="S911" s="86"/>
      <c r="T911" s="86"/>
      <c r="U911" s="86"/>
    </row>
    <row r="912">
      <c r="N912" s="125"/>
      <c r="O912" s="86"/>
      <c r="P912" s="86"/>
      <c r="Q912" s="86"/>
      <c r="R912" s="86"/>
      <c r="S912" s="86"/>
      <c r="T912" s="86"/>
      <c r="U912" s="86"/>
    </row>
    <row r="913">
      <c r="N913" s="125"/>
      <c r="O913" s="86"/>
      <c r="P913" s="86"/>
      <c r="Q913" s="86"/>
      <c r="R913" s="86"/>
      <c r="S913" s="86"/>
      <c r="T913" s="86"/>
      <c r="U913" s="86"/>
    </row>
    <row r="914">
      <c r="N914" s="125"/>
      <c r="O914" s="86"/>
      <c r="P914" s="86"/>
      <c r="Q914" s="86"/>
      <c r="R914" s="86"/>
      <c r="S914" s="86"/>
      <c r="T914" s="86"/>
      <c r="U914" s="86"/>
    </row>
    <row r="915">
      <c r="N915" s="125"/>
      <c r="O915" s="86"/>
      <c r="P915" s="86"/>
      <c r="Q915" s="86"/>
      <c r="R915" s="86"/>
      <c r="S915" s="86"/>
      <c r="T915" s="86"/>
      <c r="U915" s="86"/>
    </row>
    <row r="916">
      <c r="N916" s="125"/>
      <c r="O916" s="86"/>
      <c r="P916" s="86"/>
      <c r="Q916" s="86"/>
      <c r="R916" s="86"/>
      <c r="S916" s="86"/>
      <c r="T916" s="86"/>
      <c r="U916" s="86"/>
    </row>
    <row r="917">
      <c r="N917" s="125"/>
      <c r="O917" s="86"/>
      <c r="P917" s="86"/>
      <c r="Q917" s="86"/>
      <c r="R917" s="86"/>
      <c r="S917" s="86"/>
      <c r="T917" s="86"/>
      <c r="U917" s="86"/>
    </row>
    <row r="918">
      <c r="N918" s="125"/>
      <c r="O918" s="86"/>
      <c r="P918" s="86"/>
      <c r="Q918" s="86"/>
      <c r="R918" s="86"/>
      <c r="S918" s="86"/>
      <c r="T918" s="86"/>
      <c r="U918" s="86"/>
    </row>
    <row r="919">
      <c r="N919" s="125"/>
      <c r="O919" s="86"/>
      <c r="P919" s="86"/>
      <c r="Q919" s="86"/>
      <c r="R919" s="86"/>
      <c r="S919" s="86"/>
      <c r="T919" s="86"/>
      <c r="U919" s="86"/>
    </row>
    <row r="920">
      <c r="N920" s="125"/>
      <c r="O920" s="86"/>
      <c r="P920" s="86"/>
      <c r="Q920" s="86"/>
      <c r="R920" s="86"/>
      <c r="S920" s="86"/>
      <c r="T920" s="86"/>
      <c r="U920" s="86"/>
    </row>
    <row r="921">
      <c r="N921" s="125"/>
      <c r="O921" s="86"/>
      <c r="P921" s="86"/>
      <c r="Q921" s="86"/>
      <c r="R921" s="86"/>
      <c r="S921" s="86"/>
      <c r="T921" s="86"/>
      <c r="U921" s="86"/>
    </row>
    <row r="922">
      <c r="N922" s="125"/>
      <c r="O922" s="86"/>
      <c r="P922" s="86"/>
      <c r="Q922" s="86"/>
      <c r="R922" s="86"/>
      <c r="S922" s="86"/>
      <c r="T922" s="86"/>
      <c r="U922" s="86"/>
    </row>
    <row r="923">
      <c r="N923" s="125"/>
      <c r="O923" s="86"/>
      <c r="P923" s="86"/>
      <c r="Q923" s="86"/>
      <c r="R923" s="86"/>
      <c r="S923" s="86"/>
      <c r="T923" s="86"/>
      <c r="U923" s="86"/>
    </row>
    <row r="924">
      <c r="N924" s="125"/>
      <c r="O924" s="86"/>
      <c r="P924" s="86"/>
      <c r="Q924" s="86"/>
      <c r="R924" s="86"/>
      <c r="S924" s="86"/>
      <c r="T924" s="86"/>
      <c r="U924" s="86"/>
    </row>
    <row r="925">
      <c r="N925" s="125"/>
      <c r="O925" s="86"/>
      <c r="P925" s="86"/>
      <c r="Q925" s="86"/>
      <c r="R925" s="86"/>
      <c r="S925" s="86"/>
      <c r="T925" s="86"/>
      <c r="U925" s="86"/>
    </row>
    <row r="926">
      <c r="N926" s="125"/>
      <c r="O926" s="86"/>
      <c r="P926" s="86"/>
      <c r="Q926" s="86"/>
      <c r="R926" s="86"/>
      <c r="S926" s="86"/>
      <c r="T926" s="86"/>
      <c r="U926" s="86"/>
    </row>
    <row r="927">
      <c r="N927" s="125"/>
      <c r="O927" s="86"/>
      <c r="P927" s="86"/>
      <c r="Q927" s="86"/>
      <c r="R927" s="86"/>
      <c r="S927" s="86"/>
      <c r="T927" s="86"/>
      <c r="U927" s="86"/>
    </row>
    <row r="928">
      <c r="N928" s="125"/>
      <c r="O928" s="86"/>
      <c r="P928" s="86"/>
      <c r="Q928" s="86"/>
      <c r="R928" s="86"/>
      <c r="S928" s="86"/>
      <c r="T928" s="86"/>
      <c r="U928" s="86"/>
    </row>
    <row r="929">
      <c r="N929" s="125"/>
      <c r="O929" s="86"/>
      <c r="P929" s="86"/>
      <c r="Q929" s="86"/>
      <c r="R929" s="86"/>
      <c r="S929" s="86"/>
      <c r="T929" s="86"/>
      <c r="U929" s="86"/>
    </row>
    <row r="930">
      <c r="N930" s="125"/>
      <c r="O930" s="86"/>
      <c r="P930" s="86"/>
      <c r="Q930" s="86"/>
      <c r="R930" s="86"/>
      <c r="S930" s="86"/>
      <c r="T930" s="86"/>
      <c r="U930" s="86"/>
    </row>
    <row r="931">
      <c r="N931" s="125"/>
      <c r="O931" s="86"/>
      <c r="P931" s="86"/>
      <c r="Q931" s="86"/>
      <c r="R931" s="86"/>
      <c r="S931" s="86"/>
      <c r="T931" s="86"/>
      <c r="U931" s="86"/>
    </row>
    <row r="932">
      <c r="N932" s="125"/>
      <c r="O932" s="86"/>
      <c r="P932" s="86"/>
      <c r="Q932" s="86"/>
      <c r="R932" s="86"/>
      <c r="S932" s="86"/>
      <c r="T932" s="86"/>
      <c r="U932" s="86"/>
    </row>
    <row r="933">
      <c r="N933" s="125"/>
      <c r="O933" s="86"/>
      <c r="P933" s="86"/>
      <c r="Q933" s="86"/>
      <c r="R933" s="86"/>
      <c r="S933" s="86"/>
      <c r="T933" s="86"/>
      <c r="U933" s="86"/>
    </row>
    <row r="934">
      <c r="N934" s="125"/>
      <c r="O934" s="86"/>
      <c r="P934" s="86"/>
      <c r="Q934" s="86"/>
      <c r="R934" s="86"/>
      <c r="S934" s="86"/>
      <c r="T934" s="86"/>
      <c r="U934" s="86"/>
    </row>
    <row r="935">
      <c r="N935" s="125"/>
      <c r="O935" s="86"/>
      <c r="P935" s="86"/>
      <c r="Q935" s="86"/>
      <c r="R935" s="86"/>
      <c r="S935" s="86"/>
      <c r="T935" s="86"/>
      <c r="U935" s="86"/>
    </row>
    <row r="936">
      <c r="N936" s="125"/>
      <c r="O936" s="86"/>
      <c r="P936" s="86"/>
      <c r="Q936" s="86"/>
      <c r="R936" s="86"/>
      <c r="S936" s="86"/>
      <c r="T936" s="86"/>
      <c r="U936" s="86"/>
    </row>
    <row r="937">
      <c r="N937" s="125"/>
      <c r="O937" s="86"/>
      <c r="P937" s="86"/>
      <c r="Q937" s="86"/>
      <c r="R937" s="86"/>
      <c r="S937" s="86"/>
      <c r="T937" s="86"/>
      <c r="U937" s="86"/>
    </row>
    <row r="938">
      <c r="N938" s="125"/>
      <c r="O938" s="86"/>
      <c r="P938" s="86"/>
      <c r="Q938" s="86"/>
      <c r="R938" s="86"/>
      <c r="S938" s="86"/>
      <c r="T938" s="86"/>
      <c r="U938" s="86"/>
    </row>
    <row r="939">
      <c r="N939" s="125"/>
      <c r="O939" s="86"/>
      <c r="P939" s="86"/>
      <c r="Q939" s="86"/>
      <c r="R939" s="86"/>
      <c r="S939" s="86"/>
      <c r="T939" s="86"/>
      <c r="U939" s="86"/>
    </row>
    <row r="940">
      <c r="N940" s="125"/>
      <c r="O940" s="86"/>
      <c r="P940" s="86"/>
      <c r="Q940" s="86"/>
      <c r="R940" s="86"/>
      <c r="S940" s="86"/>
      <c r="T940" s="86"/>
      <c r="U940" s="86"/>
    </row>
    <row r="941">
      <c r="N941" s="125"/>
      <c r="O941" s="86"/>
      <c r="P941" s="86"/>
      <c r="Q941" s="86"/>
      <c r="R941" s="86"/>
      <c r="S941" s="86"/>
      <c r="T941" s="86"/>
      <c r="U941" s="86"/>
    </row>
    <row r="942">
      <c r="N942" s="125"/>
      <c r="O942" s="86"/>
      <c r="P942" s="86"/>
      <c r="Q942" s="86"/>
      <c r="R942" s="86"/>
      <c r="S942" s="86"/>
      <c r="T942" s="86"/>
      <c r="U942" s="86"/>
    </row>
    <row r="943">
      <c r="N943" s="125"/>
      <c r="O943" s="86"/>
      <c r="P943" s="86"/>
      <c r="Q943" s="86"/>
      <c r="R943" s="86"/>
      <c r="S943" s="86"/>
      <c r="T943" s="86"/>
      <c r="U943" s="86"/>
    </row>
    <row r="944">
      <c r="N944" s="125"/>
      <c r="O944" s="86"/>
      <c r="P944" s="86"/>
      <c r="Q944" s="86"/>
      <c r="R944" s="86"/>
      <c r="S944" s="86"/>
      <c r="T944" s="86"/>
      <c r="U944" s="86"/>
    </row>
    <row r="945">
      <c r="N945" s="125"/>
      <c r="O945" s="86"/>
      <c r="P945" s="86"/>
      <c r="Q945" s="86"/>
      <c r="R945" s="86"/>
      <c r="S945" s="86"/>
      <c r="T945" s="86"/>
      <c r="U945" s="86"/>
    </row>
    <row r="946">
      <c r="N946" s="125"/>
      <c r="O946" s="86"/>
      <c r="P946" s="86"/>
      <c r="Q946" s="86"/>
      <c r="R946" s="86"/>
      <c r="S946" s="86"/>
      <c r="T946" s="86"/>
      <c r="U946" s="86"/>
    </row>
    <row r="947">
      <c r="N947" s="125"/>
      <c r="O947" s="86"/>
      <c r="P947" s="86"/>
      <c r="Q947" s="86"/>
      <c r="R947" s="86"/>
      <c r="S947" s="86"/>
      <c r="T947" s="86"/>
      <c r="U947" s="86"/>
    </row>
    <row r="948">
      <c r="N948" s="125"/>
      <c r="O948" s="86"/>
      <c r="P948" s="86"/>
      <c r="Q948" s="86"/>
      <c r="R948" s="86"/>
      <c r="S948" s="86"/>
      <c r="T948" s="86"/>
      <c r="U948" s="86"/>
    </row>
    <row r="949">
      <c r="N949" s="125"/>
      <c r="O949" s="86"/>
      <c r="P949" s="86"/>
      <c r="Q949" s="86"/>
      <c r="R949" s="86"/>
      <c r="S949" s="86"/>
      <c r="T949" s="86"/>
      <c r="U949" s="86"/>
    </row>
    <row r="950">
      <c r="N950" s="125"/>
      <c r="O950" s="86"/>
      <c r="P950" s="86"/>
      <c r="Q950" s="86"/>
      <c r="R950" s="86"/>
      <c r="S950" s="86"/>
      <c r="T950" s="86"/>
      <c r="U950" s="86"/>
    </row>
    <row r="951">
      <c r="N951" s="125"/>
      <c r="O951" s="86"/>
      <c r="P951" s="86"/>
      <c r="Q951" s="86"/>
      <c r="R951" s="86"/>
      <c r="S951" s="86"/>
      <c r="T951" s="86"/>
      <c r="U951" s="86"/>
    </row>
    <row r="952">
      <c r="N952" s="125"/>
      <c r="O952" s="86"/>
      <c r="P952" s="86"/>
      <c r="Q952" s="86"/>
      <c r="R952" s="86"/>
      <c r="S952" s="86"/>
      <c r="T952" s="86"/>
      <c r="U952" s="86"/>
    </row>
    <row r="953">
      <c r="N953" s="125"/>
      <c r="O953" s="86"/>
      <c r="P953" s="86"/>
      <c r="Q953" s="86"/>
      <c r="R953" s="86"/>
      <c r="S953" s="86"/>
      <c r="T953" s="86"/>
      <c r="U953" s="86"/>
    </row>
    <row r="954">
      <c r="N954" s="125"/>
      <c r="O954" s="86"/>
      <c r="P954" s="86"/>
      <c r="Q954" s="86"/>
      <c r="R954" s="86"/>
      <c r="S954" s="86"/>
      <c r="T954" s="86"/>
      <c r="U954" s="86"/>
    </row>
    <row r="955">
      <c r="N955" s="125"/>
      <c r="O955" s="86"/>
      <c r="P955" s="86"/>
      <c r="Q955" s="86"/>
      <c r="R955" s="86"/>
      <c r="S955" s="86"/>
      <c r="T955" s="86"/>
      <c r="U955" s="86"/>
    </row>
    <row r="956">
      <c r="N956" s="125"/>
      <c r="O956" s="86"/>
      <c r="P956" s="86"/>
      <c r="Q956" s="86"/>
      <c r="R956" s="86"/>
      <c r="S956" s="86"/>
      <c r="T956" s="86"/>
      <c r="U956" s="86"/>
    </row>
    <row r="957">
      <c r="N957" s="125"/>
      <c r="O957" s="86"/>
      <c r="P957" s="86"/>
      <c r="Q957" s="86"/>
      <c r="R957" s="86"/>
      <c r="S957" s="86"/>
      <c r="T957" s="86"/>
      <c r="U957" s="86"/>
    </row>
    <row r="958">
      <c r="N958" s="125"/>
      <c r="O958" s="86"/>
      <c r="P958" s="86"/>
      <c r="Q958" s="86"/>
      <c r="R958" s="86"/>
      <c r="S958" s="86"/>
      <c r="T958" s="86"/>
      <c r="U958" s="86"/>
    </row>
    <row r="959">
      <c r="N959" s="125"/>
      <c r="O959" s="86"/>
      <c r="P959" s="86"/>
      <c r="Q959" s="86"/>
      <c r="R959" s="86"/>
      <c r="S959" s="86"/>
      <c r="T959" s="86"/>
      <c r="U959" s="86"/>
    </row>
    <row r="960">
      <c r="N960" s="125"/>
      <c r="O960" s="86"/>
      <c r="P960" s="86"/>
      <c r="Q960" s="86"/>
      <c r="R960" s="86"/>
      <c r="S960" s="86"/>
      <c r="T960" s="86"/>
      <c r="U960" s="86"/>
    </row>
    <row r="961">
      <c r="N961" s="125"/>
      <c r="O961" s="86"/>
      <c r="P961" s="86"/>
      <c r="Q961" s="86"/>
      <c r="R961" s="86"/>
      <c r="S961" s="86"/>
      <c r="T961" s="86"/>
      <c r="U961" s="86"/>
    </row>
    <row r="962">
      <c r="N962" s="125"/>
      <c r="O962" s="86"/>
      <c r="P962" s="86"/>
      <c r="Q962" s="86"/>
      <c r="R962" s="86"/>
      <c r="S962" s="86"/>
      <c r="T962" s="86"/>
      <c r="U962" s="86"/>
    </row>
    <row r="963">
      <c r="N963" s="125"/>
      <c r="O963" s="86"/>
      <c r="P963" s="86"/>
      <c r="Q963" s="86"/>
      <c r="R963" s="86"/>
      <c r="S963" s="86"/>
      <c r="T963" s="86"/>
      <c r="U963" s="86"/>
    </row>
    <row r="964">
      <c r="N964" s="125"/>
      <c r="O964" s="86"/>
      <c r="P964" s="86"/>
      <c r="Q964" s="86"/>
      <c r="R964" s="86"/>
      <c r="S964" s="86"/>
      <c r="T964" s="86"/>
      <c r="U964" s="86"/>
    </row>
    <row r="965">
      <c r="N965" s="125"/>
      <c r="O965" s="86"/>
      <c r="P965" s="86"/>
      <c r="Q965" s="86"/>
      <c r="R965" s="86"/>
      <c r="S965" s="86"/>
      <c r="T965" s="86"/>
      <c r="U965" s="86"/>
    </row>
    <row r="966">
      <c r="N966" s="125"/>
      <c r="O966" s="86"/>
      <c r="P966" s="86"/>
      <c r="Q966" s="86"/>
      <c r="R966" s="86"/>
      <c r="S966" s="86"/>
      <c r="T966" s="86"/>
      <c r="U966" s="86"/>
    </row>
    <row r="967">
      <c r="N967" s="125"/>
      <c r="O967" s="86"/>
      <c r="P967" s="86"/>
      <c r="Q967" s="86"/>
      <c r="R967" s="86"/>
      <c r="S967" s="86"/>
      <c r="T967" s="86"/>
      <c r="U967" s="86"/>
    </row>
    <row r="968">
      <c r="N968" s="125"/>
      <c r="O968" s="86"/>
      <c r="P968" s="86"/>
      <c r="Q968" s="86"/>
      <c r="R968" s="86"/>
      <c r="S968" s="86"/>
      <c r="T968" s="86"/>
      <c r="U968" s="86"/>
    </row>
    <row r="969">
      <c r="N969" s="125"/>
      <c r="O969" s="86"/>
      <c r="P969" s="86"/>
      <c r="Q969" s="86"/>
      <c r="R969" s="86"/>
      <c r="S969" s="86"/>
      <c r="T969" s="86"/>
      <c r="U969" s="86"/>
    </row>
    <row r="970">
      <c r="N970" s="125"/>
      <c r="O970" s="86"/>
      <c r="P970" s="86"/>
      <c r="Q970" s="86"/>
      <c r="R970" s="86"/>
      <c r="S970" s="86"/>
      <c r="T970" s="86"/>
      <c r="U970" s="86"/>
    </row>
    <row r="971">
      <c r="N971" s="125"/>
      <c r="O971" s="86"/>
      <c r="P971" s="86"/>
      <c r="Q971" s="86"/>
      <c r="R971" s="86"/>
      <c r="S971" s="86"/>
      <c r="T971" s="86"/>
      <c r="U971" s="86"/>
    </row>
    <row r="972">
      <c r="N972" s="125"/>
      <c r="O972" s="86"/>
      <c r="P972" s="86"/>
      <c r="Q972" s="86"/>
      <c r="R972" s="86"/>
      <c r="S972" s="86"/>
      <c r="T972" s="86"/>
      <c r="U972" s="86"/>
    </row>
    <row r="973">
      <c r="N973" s="125"/>
      <c r="O973" s="86"/>
      <c r="P973" s="86"/>
      <c r="Q973" s="86"/>
      <c r="R973" s="86"/>
      <c r="S973" s="86"/>
      <c r="T973" s="86"/>
      <c r="U973" s="86"/>
    </row>
    <row r="974">
      <c r="N974" s="125"/>
      <c r="O974" s="86"/>
      <c r="P974" s="86"/>
      <c r="Q974" s="86"/>
      <c r="R974" s="86"/>
      <c r="S974" s="86"/>
      <c r="T974" s="86"/>
      <c r="U974" s="86"/>
    </row>
    <row r="975">
      <c r="N975" s="125"/>
      <c r="O975" s="86"/>
      <c r="P975" s="86"/>
      <c r="Q975" s="86"/>
      <c r="R975" s="86"/>
      <c r="S975" s="86"/>
      <c r="T975" s="86"/>
      <c r="U975" s="86"/>
    </row>
    <row r="976">
      <c r="N976" s="125"/>
      <c r="O976" s="86"/>
      <c r="P976" s="86"/>
      <c r="Q976" s="86"/>
      <c r="R976" s="86"/>
      <c r="S976" s="86"/>
      <c r="T976" s="86"/>
      <c r="U976" s="86"/>
    </row>
    <row r="977">
      <c r="N977" s="125"/>
      <c r="O977" s="86"/>
      <c r="P977" s="86"/>
      <c r="Q977" s="86"/>
      <c r="R977" s="86"/>
      <c r="S977" s="86"/>
      <c r="T977" s="86"/>
      <c r="U977" s="86"/>
    </row>
    <row r="978">
      <c r="N978" s="125"/>
      <c r="O978" s="86"/>
      <c r="P978" s="86"/>
      <c r="Q978" s="86"/>
      <c r="R978" s="86"/>
      <c r="S978" s="86"/>
      <c r="T978" s="86"/>
      <c r="U978" s="86"/>
    </row>
    <row r="979">
      <c r="N979" s="125"/>
      <c r="O979" s="86"/>
      <c r="P979" s="86"/>
      <c r="Q979" s="86"/>
      <c r="R979" s="86"/>
      <c r="S979" s="86"/>
      <c r="T979" s="86"/>
      <c r="U979" s="86"/>
    </row>
    <row r="980">
      <c r="N980" s="125"/>
      <c r="O980" s="86"/>
      <c r="P980" s="86"/>
      <c r="Q980" s="86"/>
      <c r="R980" s="86"/>
      <c r="S980" s="86"/>
      <c r="T980" s="86"/>
      <c r="U980" s="86"/>
    </row>
    <row r="981">
      <c r="N981" s="125"/>
      <c r="O981" s="86"/>
      <c r="P981" s="86"/>
      <c r="Q981" s="86"/>
      <c r="R981" s="86"/>
      <c r="S981" s="86"/>
      <c r="T981" s="86"/>
      <c r="U981" s="86"/>
    </row>
    <row r="982">
      <c r="N982" s="125"/>
      <c r="O982" s="86"/>
      <c r="P982" s="86"/>
      <c r="Q982" s="86"/>
      <c r="R982" s="86"/>
      <c r="S982" s="86"/>
      <c r="T982" s="86"/>
      <c r="U982" s="86"/>
    </row>
    <row r="983">
      <c r="N983" s="125"/>
      <c r="O983" s="86"/>
      <c r="P983" s="86"/>
      <c r="Q983" s="86"/>
      <c r="R983" s="86"/>
      <c r="S983" s="86"/>
      <c r="T983" s="86"/>
      <c r="U983" s="86"/>
    </row>
    <row r="984">
      <c r="N984" s="125"/>
      <c r="O984" s="86"/>
      <c r="P984" s="86"/>
      <c r="Q984" s="86"/>
      <c r="R984" s="86"/>
      <c r="S984" s="86"/>
      <c r="T984" s="86"/>
      <c r="U984" s="86"/>
    </row>
    <row r="985">
      <c r="N985" s="125"/>
      <c r="O985" s="86"/>
      <c r="P985" s="86"/>
      <c r="Q985" s="86"/>
      <c r="R985" s="86"/>
      <c r="S985" s="86"/>
      <c r="T985" s="86"/>
      <c r="U985" s="86"/>
    </row>
    <row r="986">
      <c r="N986" s="125"/>
      <c r="O986" s="86"/>
      <c r="P986" s="86"/>
      <c r="Q986" s="86"/>
      <c r="R986" s="86"/>
      <c r="S986" s="86"/>
      <c r="T986" s="86"/>
      <c r="U986" s="86"/>
    </row>
    <row r="987">
      <c r="N987" s="125"/>
      <c r="O987" s="86"/>
      <c r="P987" s="86"/>
      <c r="Q987" s="86"/>
      <c r="R987" s="86"/>
      <c r="S987" s="86"/>
      <c r="T987" s="86"/>
      <c r="U987" s="86"/>
    </row>
    <row r="988">
      <c r="N988" s="125"/>
      <c r="O988" s="86"/>
      <c r="P988" s="86"/>
      <c r="Q988" s="86"/>
      <c r="R988" s="86"/>
      <c r="S988" s="86"/>
      <c r="T988" s="86"/>
      <c r="U988" s="86"/>
    </row>
    <row r="989">
      <c r="N989" s="125"/>
      <c r="O989" s="86"/>
      <c r="P989" s="86"/>
      <c r="Q989" s="86"/>
      <c r="R989" s="86"/>
      <c r="S989" s="86"/>
      <c r="T989" s="86"/>
      <c r="U989" s="86"/>
    </row>
    <row r="990">
      <c r="N990" s="125"/>
      <c r="O990" s="86"/>
      <c r="P990" s="86"/>
      <c r="Q990" s="86"/>
      <c r="R990" s="86"/>
      <c r="S990" s="86"/>
      <c r="T990" s="86"/>
      <c r="U990" s="86"/>
    </row>
    <row r="991">
      <c r="N991" s="125"/>
      <c r="O991" s="86"/>
      <c r="P991" s="86"/>
      <c r="Q991" s="86"/>
      <c r="R991" s="86"/>
      <c r="S991" s="86"/>
      <c r="T991" s="86"/>
      <c r="U991" s="86"/>
    </row>
    <row r="992">
      <c r="N992" s="125"/>
      <c r="O992" s="86"/>
      <c r="P992" s="86"/>
      <c r="Q992" s="86"/>
      <c r="R992" s="86"/>
      <c r="S992" s="86"/>
      <c r="T992" s="86"/>
      <c r="U992" s="86"/>
    </row>
    <row r="993">
      <c r="N993" s="125"/>
      <c r="O993" s="86"/>
      <c r="P993" s="86"/>
      <c r="Q993" s="86"/>
      <c r="R993" s="86"/>
      <c r="S993" s="86"/>
      <c r="T993" s="86"/>
      <c r="U993" s="86"/>
    </row>
    <row r="994">
      <c r="N994" s="125"/>
      <c r="O994" s="86"/>
      <c r="P994" s="86"/>
      <c r="Q994" s="86"/>
      <c r="R994" s="86"/>
      <c r="S994" s="86"/>
      <c r="T994" s="86"/>
      <c r="U994" s="86"/>
    </row>
    <row r="995">
      <c r="N995" s="125"/>
      <c r="O995" s="86"/>
      <c r="P995" s="86"/>
      <c r="Q995" s="86"/>
      <c r="R995" s="86"/>
      <c r="S995" s="86"/>
      <c r="T995" s="86"/>
      <c r="U995" s="86"/>
    </row>
    <row r="996">
      <c r="N996" s="125"/>
      <c r="O996" s="86"/>
      <c r="P996" s="86"/>
      <c r="Q996" s="86"/>
      <c r="R996" s="86"/>
      <c r="S996" s="86"/>
      <c r="T996" s="86"/>
      <c r="U996" s="86"/>
    </row>
    <row r="997">
      <c r="N997" s="125"/>
      <c r="O997" s="86"/>
      <c r="P997" s="86"/>
      <c r="Q997" s="86"/>
      <c r="R997" s="86"/>
      <c r="S997" s="86"/>
      <c r="T997" s="86"/>
      <c r="U997" s="86"/>
    </row>
    <row r="998">
      <c r="N998" s="125"/>
      <c r="O998" s="86"/>
      <c r="P998" s="86"/>
      <c r="Q998" s="86"/>
      <c r="R998" s="86"/>
      <c r="S998" s="86"/>
      <c r="T998" s="86"/>
      <c r="U998" s="86"/>
    </row>
    <row r="999">
      <c r="N999" s="125"/>
      <c r="O999" s="86"/>
      <c r="P999" s="86"/>
      <c r="Q999" s="86"/>
      <c r="R999" s="86"/>
      <c r="S999" s="86"/>
      <c r="T999" s="86"/>
      <c r="U999" s="86"/>
    </row>
    <row r="1000">
      <c r="N1000" s="125"/>
      <c r="O1000" s="86"/>
      <c r="P1000" s="86"/>
      <c r="Q1000" s="86"/>
      <c r="R1000" s="86"/>
      <c r="S1000" s="86"/>
      <c r="T1000" s="86"/>
      <c r="U1000" s="86"/>
    </row>
    <row r="1001">
      <c r="N1001" s="125"/>
      <c r="O1001" s="86"/>
      <c r="P1001" s="86"/>
      <c r="Q1001" s="86"/>
      <c r="R1001" s="86"/>
      <c r="S1001" s="86"/>
      <c r="T1001" s="86"/>
      <c r="U1001" s="86"/>
    </row>
    <row r="1002">
      <c r="N1002" s="125"/>
      <c r="O1002" s="86"/>
      <c r="P1002" s="86"/>
      <c r="Q1002" s="86"/>
      <c r="R1002" s="86"/>
      <c r="S1002" s="86"/>
      <c r="T1002" s="86"/>
      <c r="U1002" s="86"/>
    </row>
    <row r="1003">
      <c r="N1003" s="125"/>
      <c r="O1003" s="86"/>
      <c r="P1003" s="86"/>
      <c r="Q1003" s="86"/>
      <c r="R1003" s="86"/>
      <c r="S1003" s="86"/>
      <c r="T1003" s="86"/>
      <c r="U1003" s="86"/>
    </row>
    <row r="1004">
      <c r="N1004" s="125"/>
      <c r="O1004" s="86"/>
      <c r="P1004" s="86"/>
      <c r="Q1004" s="86"/>
      <c r="R1004" s="86"/>
      <c r="S1004" s="86"/>
      <c r="T1004" s="86"/>
      <c r="U1004" s="86"/>
    </row>
    <row r="1005">
      <c r="N1005" s="125"/>
      <c r="O1005" s="86"/>
      <c r="P1005" s="86"/>
      <c r="Q1005" s="86"/>
      <c r="R1005" s="86"/>
      <c r="S1005" s="86"/>
      <c r="T1005" s="86"/>
      <c r="U1005" s="86"/>
    </row>
    <row r="1006">
      <c r="N1006" s="125"/>
      <c r="O1006" s="86"/>
      <c r="P1006" s="86"/>
      <c r="Q1006" s="86"/>
      <c r="R1006" s="86"/>
      <c r="S1006" s="86"/>
      <c r="T1006" s="86"/>
      <c r="U1006" s="86"/>
    </row>
    <row r="1007">
      <c r="N1007" s="125"/>
      <c r="O1007" s="86"/>
      <c r="P1007" s="86"/>
      <c r="Q1007" s="86"/>
      <c r="R1007" s="86"/>
      <c r="S1007" s="86"/>
      <c r="T1007" s="86"/>
      <c r="U1007" s="86"/>
    </row>
    <row r="1008">
      <c r="N1008" s="125"/>
      <c r="O1008" s="86"/>
      <c r="P1008" s="86"/>
      <c r="Q1008" s="86"/>
      <c r="R1008" s="86"/>
      <c r="S1008" s="86"/>
      <c r="T1008" s="86"/>
      <c r="U1008" s="86"/>
    </row>
    <row r="1009">
      <c r="N1009" s="125"/>
      <c r="O1009" s="86"/>
      <c r="P1009" s="86"/>
      <c r="Q1009" s="86"/>
      <c r="R1009" s="86"/>
      <c r="S1009" s="86"/>
      <c r="T1009" s="86"/>
      <c r="U1009" s="86"/>
    </row>
    <row r="1010">
      <c r="N1010" s="125"/>
      <c r="O1010" s="86"/>
      <c r="P1010" s="86"/>
      <c r="Q1010" s="86"/>
      <c r="R1010" s="86"/>
      <c r="S1010" s="86"/>
      <c r="T1010" s="86"/>
      <c r="U1010" s="86"/>
    </row>
    <row r="1011">
      <c r="N1011" s="125"/>
      <c r="O1011" s="86"/>
      <c r="P1011" s="86"/>
      <c r="Q1011" s="86"/>
      <c r="R1011" s="86"/>
      <c r="S1011" s="86"/>
      <c r="T1011" s="86"/>
      <c r="U1011" s="86"/>
    </row>
    <row r="1012">
      <c r="N1012" s="125"/>
      <c r="O1012" s="86"/>
      <c r="P1012" s="86"/>
      <c r="Q1012" s="86"/>
      <c r="R1012" s="86"/>
      <c r="S1012" s="86"/>
      <c r="T1012" s="86"/>
      <c r="U1012" s="86"/>
    </row>
    <row r="1013">
      <c r="N1013" s="125"/>
      <c r="O1013" s="86"/>
      <c r="P1013" s="86"/>
      <c r="Q1013" s="86"/>
      <c r="R1013" s="86"/>
      <c r="S1013" s="86"/>
      <c r="T1013" s="86"/>
      <c r="U1013" s="86"/>
    </row>
    <row r="1014">
      <c r="N1014" s="125"/>
      <c r="O1014" s="86"/>
      <c r="P1014" s="86"/>
      <c r="Q1014" s="86"/>
      <c r="R1014" s="86"/>
      <c r="S1014" s="86"/>
      <c r="T1014" s="86"/>
      <c r="U1014" s="86"/>
    </row>
    <row r="1015">
      <c r="N1015" s="125"/>
      <c r="O1015" s="86"/>
      <c r="P1015" s="86"/>
      <c r="Q1015" s="86"/>
      <c r="R1015" s="86"/>
      <c r="S1015" s="86"/>
      <c r="T1015" s="86"/>
      <c r="U1015" s="86"/>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2" max="2" width="20.63"/>
    <col customWidth="1" min="3" max="3" width="25.5"/>
    <col customWidth="1" min="4" max="4" width="13.0"/>
    <col customWidth="1" min="5" max="5" width="7.63"/>
    <col customWidth="1" min="6" max="6" width="7.5"/>
    <col customWidth="1" min="7" max="7" width="7.38"/>
    <col customWidth="1" min="8" max="8" width="6.38"/>
    <col customWidth="1" min="9" max="9" width="7.5"/>
    <col customWidth="1" min="10" max="10" width="6.75"/>
    <col customWidth="1" min="11" max="11" width="21.63"/>
    <col customWidth="1" min="12" max="12" width="23.5"/>
    <col customWidth="1" min="13" max="13" width="21.38"/>
    <col customWidth="1" min="14" max="14" width="24.63"/>
    <col customWidth="1" min="15" max="15" width="5.88"/>
    <col customWidth="1" min="16" max="16" width="24.5"/>
    <col customWidth="1" min="17" max="17" width="42.38"/>
    <col customWidth="1" min="18" max="18" width="11.5"/>
    <col customWidth="1" min="19" max="19" width="5.88"/>
    <col customWidth="1" min="20" max="20" width="20.5"/>
    <col customWidth="1" min="21" max="21" width="6.25"/>
    <col customWidth="1" min="22" max="22" width="5.25"/>
    <col customWidth="1" min="23" max="23" width="20.25"/>
    <col customWidth="1" min="24" max="24" width="41.5"/>
  </cols>
  <sheetData>
    <row r="1">
      <c r="A1" s="1" t="s">
        <v>1286</v>
      </c>
      <c r="K1" s="125"/>
      <c r="O1" s="71"/>
      <c r="P1" s="71"/>
      <c r="Q1" s="71"/>
      <c r="R1" s="71"/>
      <c r="S1" s="71"/>
      <c r="T1" s="71"/>
      <c r="U1" s="71"/>
      <c r="V1" s="71"/>
    </row>
    <row r="2">
      <c r="A2" s="2" t="s">
        <v>442</v>
      </c>
      <c r="B2" s="2" t="s">
        <v>1287</v>
      </c>
      <c r="C2" s="3" t="s">
        <v>3</v>
      </c>
      <c r="D2" s="4" t="s">
        <v>4</v>
      </c>
      <c r="E2" s="5">
        <f>SUM(E13:E105)+1</f>
        <v>20</v>
      </c>
      <c r="F2" s="6"/>
      <c r="K2" s="136" t="s">
        <v>5</v>
      </c>
      <c r="L2" s="8" t="s">
        <v>6</v>
      </c>
      <c r="M2" s="8" t="s">
        <v>7</v>
      </c>
      <c r="N2" s="8" t="s">
        <v>8</v>
      </c>
      <c r="O2" s="71"/>
      <c r="P2" s="8" t="s">
        <v>859</v>
      </c>
      <c r="Q2" s="8" t="s">
        <v>860</v>
      </c>
      <c r="R2" s="8" t="s">
        <v>861</v>
      </c>
      <c r="S2" s="71"/>
      <c r="T2" s="71"/>
      <c r="U2" s="71"/>
      <c r="V2" s="71"/>
    </row>
    <row r="3">
      <c r="A3" s="2" t="s">
        <v>1288</v>
      </c>
      <c r="C3" s="15"/>
      <c r="D3" s="16" t="s">
        <v>12</v>
      </c>
      <c r="E3" s="17">
        <f>SUM(I13:I1001)-SUM(J13:J1001)</f>
        <v>54776</v>
      </c>
      <c r="F3" s="18"/>
      <c r="K3" s="125"/>
      <c r="L3" s="76" t="s">
        <v>787</v>
      </c>
      <c r="M3" s="34"/>
      <c r="N3" s="44" t="s">
        <v>1289</v>
      </c>
      <c r="O3" s="71"/>
      <c r="P3" s="35" t="s">
        <v>867</v>
      </c>
      <c r="Q3" s="35" t="s">
        <v>868</v>
      </c>
      <c r="R3" s="112">
        <v>44129.0</v>
      </c>
      <c r="S3" s="137"/>
      <c r="T3" s="70"/>
      <c r="U3" s="70"/>
      <c r="V3" s="71"/>
    </row>
    <row r="4">
      <c r="C4" s="26"/>
      <c r="D4" s="27" t="s">
        <v>15</v>
      </c>
      <c r="E4" s="138">
        <f>SUM(G13:G1001)-SUM(H13:H1001)</f>
        <v>45</v>
      </c>
      <c r="F4" s="29"/>
      <c r="K4" s="125"/>
      <c r="L4" s="78" t="s">
        <v>994</v>
      </c>
      <c r="M4" s="78" t="s">
        <v>1290</v>
      </c>
      <c r="N4" s="139" t="s">
        <v>1291</v>
      </c>
      <c r="O4" s="71"/>
      <c r="P4" s="32" t="s">
        <v>1292</v>
      </c>
      <c r="Q4" s="32" t="s">
        <v>1293</v>
      </c>
      <c r="R4" s="113">
        <v>44503.0</v>
      </c>
      <c r="S4" s="70"/>
      <c r="T4" s="70"/>
      <c r="U4" s="70"/>
      <c r="V4" s="71"/>
    </row>
    <row r="5">
      <c r="K5" s="125"/>
      <c r="L5" s="34"/>
      <c r="M5" s="44" t="s">
        <v>1294</v>
      </c>
      <c r="N5" s="44" t="s">
        <v>1295</v>
      </c>
      <c r="O5" s="71"/>
      <c r="P5" s="35" t="s">
        <v>1296</v>
      </c>
      <c r="Q5" s="140" t="s">
        <v>1293</v>
      </c>
      <c r="R5" s="141">
        <v>44503.0</v>
      </c>
      <c r="S5" s="70"/>
      <c r="T5" s="70"/>
      <c r="U5" s="70"/>
      <c r="V5" s="71"/>
    </row>
    <row r="6">
      <c r="K6" s="132"/>
      <c r="L6" s="2" t="s">
        <v>80</v>
      </c>
      <c r="M6" s="2" t="s">
        <v>1297</v>
      </c>
      <c r="N6" s="33" t="s">
        <v>495</v>
      </c>
      <c r="O6" s="71"/>
      <c r="P6" s="32" t="s">
        <v>1298</v>
      </c>
      <c r="Q6" s="32" t="s">
        <v>1293</v>
      </c>
      <c r="R6" s="113">
        <v>44503.0</v>
      </c>
      <c r="S6" s="70"/>
      <c r="T6" s="70"/>
      <c r="U6" s="70"/>
      <c r="V6" s="71"/>
    </row>
    <row r="7">
      <c r="K7" s="125"/>
      <c r="L7" s="2" t="s">
        <v>318</v>
      </c>
      <c r="M7" s="132" t="s">
        <v>73</v>
      </c>
      <c r="N7" s="2" t="s">
        <v>1299</v>
      </c>
      <c r="O7" s="71"/>
      <c r="P7" s="35" t="s">
        <v>1292</v>
      </c>
      <c r="Q7" s="35" t="s">
        <v>1300</v>
      </c>
      <c r="R7" s="112">
        <v>44601.0</v>
      </c>
      <c r="S7" s="70"/>
      <c r="T7" s="70"/>
      <c r="U7" s="70"/>
      <c r="V7" s="71"/>
    </row>
    <row r="8">
      <c r="K8" s="136" t="s">
        <v>17</v>
      </c>
      <c r="L8" s="44" t="s">
        <v>1301</v>
      </c>
      <c r="M8" s="44" t="s">
        <v>1295</v>
      </c>
      <c r="N8" s="74" t="s">
        <v>1291</v>
      </c>
      <c r="O8" s="71"/>
      <c r="P8" s="32" t="s">
        <v>1302</v>
      </c>
      <c r="Q8" s="32" t="s">
        <v>1303</v>
      </c>
      <c r="R8" s="113">
        <v>44720.0</v>
      </c>
      <c r="S8" s="70"/>
      <c r="T8" s="70"/>
      <c r="U8" s="70"/>
      <c r="V8" s="71"/>
    </row>
    <row r="9">
      <c r="K9" s="125"/>
      <c r="O9" s="71"/>
      <c r="P9" s="35" t="s">
        <v>1304</v>
      </c>
      <c r="Q9" s="35" t="s">
        <v>1305</v>
      </c>
      <c r="R9" s="112">
        <v>44947.0</v>
      </c>
      <c r="S9" s="70"/>
      <c r="T9" s="70"/>
      <c r="U9" s="70"/>
      <c r="V9" s="71"/>
    </row>
    <row r="10">
      <c r="K10" s="125"/>
      <c r="O10" s="71"/>
      <c r="P10" s="32" t="s">
        <v>1298</v>
      </c>
      <c r="Q10" s="32" t="s">
        <v>1306</v>
      </c>
      <c r="R10" s="113">
        <v>45084.0</v>
      </c>
      <c r="S10" s="70"/>
      <c r="T10" s="70"/>
      <c r="U10" s="70"/>
      <c r="V10" s="71"/>
    </row>
    <row r="11">
      <c r="K11" s="125"/>
      <c r="O11" s="71"/>
      <c r="P11" s="70"/>
      <c r="Q11" s="70"/>
      <c r="R11" s="70"/>
      <c r="S11" s="70"/>
      <c r="T11" s="70"/>
      <c r="U11" s="70"/>
      <c r="V11" s="71"/>
    </row>
    <row r="12">
      <c r="A12" s="37" t="s">
        <v>18</v>
      </c>
      <c r="B12" s="37" t="s">
        <v>19</v>
      </c>
      <c r="C12" s="37" t="s">
        <v>20</v>
      </c>
      <c r="D12" s="37" t="s">
        <v>21</v>
      </c>
      <c r="E12" s="37" t="s">
        <v>22</v>
      </c>
      <c r="F12" s="37" t="s">
        <v>399</v>
      </c>
      <c r="G12" s="37" t="s">
        <v>23</v>
      </c>
      <c r="H12" s="37" t="s">
        <v>24</v>
      </c>
      <c r="I12" s="37" t="s">
        <v>25</v>
      </c>
      <c r="J12" s="37" t="s">
        <v>26</v>
      </c>
      <c r="K12" s="131" t="s">
        <v>27</v>
      </c>
      <c r="L12" s="37" t="s">
        <v>28</v>
      </c>
      <c r="M12" s="37" t="s">
        <v>29</v>
      </c>
      <c r="N12" s="142" t="s">
        <v>30</v>
      </c>
      <c r="O12" s="143"/>
      <c r="P12" s="71"/>
      <c r="Q12" s="71"/>
      <c r="R12" s="71"/>
      <c r="S12" s="71"/>
      <c r="T12" s="71"/>
      <c r="U12" s="71"/>
      <c r="V12" s="143"/>
      <c r="W12" s="38"/>
      <c r="X12" s="38"/>
      <c r="Y12" s="38"/>
      <c r="Z12" s="38"/>
    </row>
    <row r="13">
      <c r="A13" s="39">
        <v>44028.0</v>
      </c>
      <c r="C13" s="2" t="s">
        <v>283</v>
      </c>
      <c r="E13" s="2">
        <v>2.0</v>
      </c>
      <c r="F13" s="2"/>
      <c r="G13" s="2">
        <v>20.0</v>
      </c>
      <c r="I13" s="2">
        <v>160.0</v>
      </c>
      <c r="K13" s="125"/>
    </row>
    <row r="14">
      <c r="A14" s="39">
        <v>44028.0</v>
      </c>
      <c r="B14" s="2" t="s">
        <v>1307</v>
      </c>
      <c r="C14" s="2" t="s">
        <v>1003</v>
      </c>
      <c r="D14" s="2" t="s">
        <v>408</v>
      </c>
      <c r="E14" s="2">
        <v>1.0</v>
      </c>
      <c r="F14" s="2"/>
      <c r="G14" s="2">
        <v>10.0</v>
      </c>
      <c r="I14" s="2">
        <v>80.0</v>
      </c>
      <c r="J14" s="2">
        <v>30.0</v>
      </c>
      <c r="K14" s="132" t="s">
        <v>1308</v>
      </c>
      <c r="N14" s="2" t="s">
        <v>1309</v>
      </c>
    </row>
    <row r="15">
      <c r="A15" s="39">
        <v>44050.0</v>
      </c>
      <c r="B15" s="2" t="s">
        <v>1310</v>
      </c>
      <c r="C15" s="2" t="s">
        <v>1311</v>
      </c>
      <c r="D15" s="2" t="s">
        <v>58</v>
      </c>
      <c r="E15" s="2">
        <v>1.0</v>
      </c>
      <c r="F15" s="2"/>
      <c r="G15" s="2">
        <v>20.0</v>
      </c>
      <c r="I15" s="2">
        <v>40.0</v>
      </c>
      <c r="K15" s="125"/>
      <c r="M15" s="2" t="s">
        <v>1312</v>
      </c>
    </row>
    <row r="16">
      <c r="A16" s="40">
        <v>44077.0</v>
      </c>
      <c r="B16" s="41" t="s">
        <v>1313</v>
      </c>
      <c r="C16" s="41" t="s">
        <v>1314</v>
      </c>
      <c r="D16" s="41" t="s">
        <v>37</v>
      </c>
      <c r="E16" s="41">
        <v>0.0</v>
      </c>
      <c r="F16" s="41"/>
      <c r="G16" s="41"/>
      <c r="H16" s="41"/>
      <c r="I16" s="41">
        <v>120.0</v>
      </c>
      <c r="J16" s="41"/>
      <c r="K16" s="85" t="s">
        <v>1315</v>
      </c>
      <c r="L16" s="42"/>
      <c r="M16" s="41" t="s">
        <v>1316</v>
      </c>
      <c r="N16" s="41" t="s">
        <v>1317</v>
      </c>
      <c r="O16" s="42"/>
      <c r="P16" s="42"/>
      <c r="Q16" s="42"/>
      <c r="R16" s="42"/>
      <c r="S16" s="42"/>
      <c r="T16" s="42"/>
      <c r="U16" s="42"/>
      <c r="V16" s="42"/>
      <c r="W16" s="42"/>
      <c r="X16" s="42"/>
      <c r="Y16" s="42"/>
      <c r="Z16" s="42"/>
    </row>
    <row r="17">
      <c r="A17" s="40">
        <v>44081.0</v>
      </c>
      <c r="B17" s="42"/>
      <c r="C17" s="41" t="s">
        <v>238</v>
      </c>
      <c r="D17" s="41"/>
      <c r="E17" s="42"/>
      <c r="F17" s="42"/>
      <c r="G17" s="42"/>
      <c r="H17" s="41"/>
      <c r="I17" s="42"/>
      <c r="J17" s="42"/>
      <c r="K17" s="85" t="s">
        <v>404</v>
      </c>
      <c r="L17" s="42"/>
      <c r="M17" s="42"/>
      <c r="N17" s="41"/>
      <c r="O17" s="42"/>
      <c r="P17" s="42"/>
      <c r="Q17" s="42"/>
      <c r="R17" s="42"/>
      <c r="S17" s="42"/>
      <c r="T17" s="41"/>
      <c r="U17" s="41"/>
      <c r="V17" s="42"/>
      <c r="W17" s="42"/>
      <c r="X17" s="42"/>
      <c r="Y17" s="42"/>
      <c r="Z17" s="42"/>
    </row>
    <row r="18">
      <c r="A18" s="40">
        <v>44081.0</v>
      </c>
      <c r="B18" s="43"/>
      <c r="C18" s="41" t="s">
        <v>40</v>
      </c>
      <c r="D18" s="41"/>
      <c r="E18" s="41"/>
      <c r="F18" s="41"/>
      <c r="G18" s="41"/>
      <c r="H18" s="41">
        <v>15.0</v>
      </c>
      <c r="I18" s="41"/>
      <c r="J18" s="42"/>
      <c r="K18" s="85" t="s">
        <v>1318</v>
      </c>
      <c r="L18" s="42"/>
      <c r="M18" s="42"/>
      <c r="N18" s="41" t="s">
        <v>1319</v>
      </c>
      <c r="O18" s="42"/>
      <c r="P18" s="42"/>
      <c r="Q18" s="41"/>
      <c r="R18" s="41"/>
      <c r="S18" s="42"/>
      <c r="T18" s="41"/>
      <c r="U18" s="41"/>
      <c r="V18" s="42"/>
      <c r="W18" s="42"/>
      <c r="X18" s="42"/>
      <c r="Y18" s="42"/>
      <c r="Z18" s="42"/>
    </row>
    <row r="19">
      <c r="A19" s="40">
        <v>44082.0</v>
      </c>
      <c r="B19" s="41"/>
      <c r="C19" s="41" t="s">
        <v>238</v>
      </c>
      <c r="D19" s="41"/>
      <c r="E19" s="41"/>
      <c r="F19" s="41"/>
      <c r="G19" s="41"/>
      <c r="H19" s="42"/>
      <c r="I19" s="41"/>
      <c r="J19" s="42"/>
      <c r="K19" s="85" t="s">
        <v>313</v>
      </c>
      <c r="L19" s="42"/>
      <c r="M19" s="42"/>
      <c r="N19" s="42"/>
      <c r="O19" s="42"/>
      <c r="P19" s="42"/>
      <c r="Q19" s="41"/>
      <c r="R19" s="41"/>
      <c r="S19" s="42"/>
      <c r="T19" s="41"/>
      <c r="U19" s="41"/>
      <c r="V19" s="42"/>
      <c r="W19" s="42"/>
      <c r="X19" s="42"/>
      <c r="Y19" s="42"/>
      <c r="Z19" s="42"/>
    </row>
    <row r="20">
      <c r="A20" s="40">
        <v>44084.0</v>
      </c>
      <c r="B20" s="41" t="s">
        <v>1320</v>
      </c>
      <c r="C20" s="41" t="s">
        <v>1321</v>
      </c>
      <c r="D20" s="41" t="s">
        <v>1322</v>
      </c>
      <c r="E20" s="41">
        <v>1.0</v>
      </c>
      <c r="F20" s="41"/>
      <c r="G20" s="41">
        <v>20.0</v>
      </c>
      <c r="H20" s="41">
        <v>2.0</v>
      </c>
      <c r="I20" s="41">
        <v>120.0</v>
      </c>
      <c r="J20" s="41">
        <v>375.0</v>
      </c>
      <c r="K20" s="85" t="s">
        <v>1323</v>
      </c>
      <c r="L20" s="42"/>
      <c r="M20" s="42"/>
      <c r="N20" s="41" t="s">
        <v>1324</v>
      </c>
      <c r="O20" s="42"/>
      <c r="P20" s="42"/>
      <c r="Q20" s="41"/>
      <c r="R20" s="41"/>
      <c r="S20" s="42"/>
      <c r="T20" s="41"/>
      <c r="U20" s="41"/>
      <c r="V20" s="42"/>
      <c r="W20" s="42"/>
      <c r="X20" s="42"/>
      <c r="Y20" s="42"/>
      <c r="Z20" s="42"/>
    </row>
    <row r="21">
      <c r="A21" s="40">
        <v>44085.0</v>
      </c>
      <c r="B21" s="42"/>
      <c r="C21" s="41" t="s">
        <v>1325</v>
      </c>
      <c r="D21" s="42"/>
      <c r="E21" s="42"/>
      <c r="F21" s="42"/>
      <c r="G21" s="42"/>
      <c r="H21" s="42"/>
      <c r="I21" s="42"/>
      <c r="J21" s="42"/>
      <c r="K21" s="135"/>
      <c r="L21" s="42"/>
      <c r="M21" s="41" t="s">
        <v>1326</v>
      </c>
      <c r="N21" s="41" t="s">
        <v>1327</v>
      </c>
      <c r="O21" s="42"/>
      <c r="P21" s="42"/>
      <c r="Q21" s="41"/>
      <c r="R21" s="41"/>
      <c r="S21" s="42"/>
      <c r="T21" s="41"/>
      <c r="U21" s="41"/>
      <c r="V21" s="42"/>
      <c r="W21" s="42"/>
      <c r="X21" s="42"/>
      <c r="Y21" s="42"/>
      <c r="Z21" s="42"/>
    </row>
    <row r="22">
      <c r="A22" s="40">
        <v>44087.0</v>
      </c>
      <c r="B22" s="41" t="s">
        <v>1328</v>
      </c>
      <c r="C22" s="41" t="s">
        <v>1329</v>
      </c>
      <c r="D22" s="41" t="s">
        <v>528</v>
      </c>
      <c r="E22" s="41">
        <v>0.0</v>
      </c>
      <c r="F22" s="41"/>
      <c r="G22" s="42"/>
      <c r="H22" s="41">
        <v>1.0</v>
      </c>
      <c r="I22" s="41">
        <v>90.0</v>
      </c>
      <c r="J22" s="41">
        <v>200.0</v>
      </c>
      <c r="K22" s="85" t="s">
        <v>1330</v>
      </c>
      <c r="L22" s="42"/>
      <c r="M22" s="41" t="s">
        <v>1331</v>
      </c>
      <c r="N22" s="41" t="s">
        <v>1332</v>
      </c>
      <c r="O22" s="42"/>
      <c r="P22" s="42"/>
      <c r="Q22" s="41"/>
      <c r="R22" s="41"/>
      <c r="S22" s="42"/>
      <c r="T22" s="41"/>
      <c r="U22" s="41"/>
      <c r="V22" s="42"/>
      <c r="W22" s="42"/>
      <c r="X22" s="42"/>
      <c r="Y22" s="42"/>
      <c r="Z22" s="42"/>
    </row>
    <row r="23">
      <c r="A23" s="40">
        <v>44090.0</v>
      </c>
      <c r="B23" s="41" t="s">
        <v>295</v>
      </c>
      <c r="C23" s="41" t="s">
        <v>296</v>
      </c>
      <c r="D23" s="41" t="s">
        <v>247</v>
      </c>
      <c r="E23" s="41">
        <v>1.0</v>
      </c>
      <c r="F23" s="41"/>
      <c r="G23" s="41">
        <v>20.0</v>
      </c>
      <c r="H23" s="42"/>
      <c r="I23" s="41">
        <v>120.0</v>
      </c>
      <c r="J23" s="42"/>
      <c r="K23" s="85" t="s">
        <v>14</v>
      </c>
      <c r="L23" s="42"/>
      <c r="M23" s="41" t="s">
        <v>500</v>
      </c>
      <c r="N23" s="42"/>
      <c r="O23" s="42"/>
      <c r="P23" s="42"/>
      <c r="Q23" s="41"/>
      <c r="R23" s="41"/>
      <c r="S23" s="42"/>
      <c r="T23" s="42"/>
      <c r="U23" s="42"/>
      <c r="V23" s="42"/>
      <c r="W23" s="42"/>
      <c r="X23" s="42"/>
      <c r="Y23" s="42"/>
      <c r="Z23" s="42"/>
    </row>
    <row r="24">
      <c r="A24" s="40">
        <v>44096.0</v>
      </c>
      <c r="B24" s="41" t="s">
        <v>653</v>
      </c>
      <c r="C24" s="41" t="s">
        <v>654</v>
      </c>
      <c r="D24" s="41" t="s">
        <v>111</v>
      </c>
      <c r="E24" s="41">
        <v>1.0</v>
      </c>
      <c r="F24" s="41"/>
      <c r="G24" s="41">
        <v>20.0</v>
      </c>
      <c r="H24" s="41">
        <v>2.0</v>
      </c>
      <c r="I24" s="41">
        <v>240.0</v>
      </c>
      <c r="J24" s="41">
        <v>325.0</v>
      </c>
      <c r="K24" s="85" t="s">
        <v>1333</v>
      </c>
      <c r="L24" s="42"/>
      <c r="M24" s="42"/>
      <c r="N24" s="41" t="s">
        <v>1334</v>
      </c>
      <c r="O24" s="83"/>
      <c r="P24" s="83"/>
      <c r="Q24" s="83"/>
      <c r="R24" s="83"/>
      <c r="S24" s="83"/>
      <c r="T24" s="83"/>
      <c r="U24" s="83"/>
      <c r="V24" s="42"/>
      <c r="W24" s="42"/>
      <c r="X24" s="42"/>
      <c r="Y24" s="42"/>
      <c r="Z24" s="42"/>
    </row>
    <row r="25">
      <c r="A25" s="40">
        <v>44096.0</v>
      </c>
      <c r="B25" s="42"/>
      <c r="C25" s="41" t="s">
        <v>40</v>
      </c>
      <c r="D25" s="42"/>
      <c r="E25" s="42"/>
      <c r="F25" s="42"/>
      <c r="G25" s="42"/>
      <c r="H25" s="41">
        <v>15.0</v>
      </c>
      <c r="I25" s="42"/>
      <c r="J25" s="42"/>
      <c r="K25" s="85" t="s">
        <v>1335</v>
      </c>
      <c r="L25" s="42"/>
      <c r="M25" s="42"/>
      <c r="N25" s="41" t="s">
        <v>1336</v>
      </c>
      <c r="O25" s="42"/>
      <c r="P25" s="42"/>
      <c r="Q25" s="42"/>
      <c r="R25" s="42"/>
      <c r="S25" s="42"/>
      <c r="T25" s="42"/>
      <c r="U25" s="42"/>
      <c r="V25" s="42"/>
      <c r="W25" s="42"/>
      <c r="X25" s="42"/>
      <c r="Y25" s="42"/>
      <c r="Z25" s="42"/>
    </row>
    <row r="26">
      <c r="A26" s="40">
        <v>44097.0</v>
      </c>
      <c r="B26" s="42"/>
      <c r="C26" s="41" t="s">
        <v>238</v>
      </c>
      <c r="D26" s="42"/>
      <c r="E26" s="42"/>
      <c r="F26" s="42"/>
      <c r="G26" s="42"/>
      <c r="H26" s="42"/>
      <c r="I26" s="42"/>
      <c r="J26" s="42"/>
      <c r="K26" s="85" t="s">
        <v>1337</v>
      </c>
      <c r="L26" s="42"/>
      <c r="M26" s="42"/>
      <c r="N26" s="42"/>
      <c r="O26" s="42"/>
      <c r="P26" s="42"/>
      <c r="Q26" s="42"/>
      <c r="R26" s="42"/>
      <c r="S26" s="42"/>
      <c r="T26" s="42"/>
      <c r="U26" s="42"/>
      <c r="V26" s="42"/>
      <c r="W26" s="42"/>
      <c r="X26" s="42"/>
      <c r="Y26" s="42"/>
      <c r="Z26" s="42"/>
    </row>
    <row r="27">
      <c r="A27" s="40">
        <v>44097.0</v>
      </c>
      <c r="B27" s="42"/>
      <c r="C27" s="41" t="s">
        <v>40</v>
      </c>
      <c r="D27" s="42"/>
      <c r="E27" s="42"/>
      <c r="F27" s="42"/>
      <c r="G27" s="42"/>
      <c r="H27" s="41">
        <v>15.0</v>
      </c>
      <c r="I27" s="42"/>
      <c r="J27" s="42"/>
      <c r="K27" s="85" t="s">
        <v>1338</v>
      </c>
      <c r="L27" s="42"/>
      <c r="M27" s="42"/>
      <c r="N27" s="41" t="s">
        <v>1339</v>
      </c>
      <c r="O27" s="42"/>
      <c r="P27" s="42"/>
      <c r="Q27" s="42"/>
      <c r="R27" s="42"/>
      <c r="S27" s="42"/>
      <c r="T27" s="42"/>
      <c r="U27" s="42"/>
      <c r="V27" s="42"/>
      <c r="W27" s="42"/>
      <c r="X27" s="42"/>
      <c r="Y27" s="42"/>
      <c r="Z27" s="42"/>
    </row>
    <row r="28">
      <c r="A28" s="40">
        <v>44097.0</v>
      </c>
      <c r="B28" s="41" t="s">
        <v>1340</v>
      </c>
      <c r="C28" s="41" t="s">
        <v>1341</v>
      </c>
      <c r="D28" s="41" t="s">
        <v>1342</v>
      </c>
      <c r="E28" s="41">
        <v>0.0</v>
      </c>
      <c r="F28" s="41"/>
      <c r="G28" s="42"/>
      <c r="H28" s="41">
        <v>1.0</v>
      </c>
      <c r="I28" s="41">
        <v>120.0</v>
      </c>
      <c r="J28" s="41">
        <v>50.0</v>
      </c>
      <c r="K28" s="85" t="s">
        <v>1343</v>
      </c>
      <c r="L28" s="42"/>
      <c r="M28" s="41" t="s">
        <v>1344</v>
      </c>
      <c r="N28" s="41" t="s">
        <v>1345</v>
      </c>
      <c r="O28" s="42"/>
      <c r="P28" s="42"/>
      <c r="Q28" s="42"/>
      <c r="R28" s="42"/>
      <c r="S28" s="42"/>
      <c r="T28" s="42"/>
      <c r="U28" s="42"/>
      <c r="V28" s="42"/>
      <c r="W28" s="42"/>
      <c r="X28" s="42"/>
      <c r="Y28" s="42"/>
      <c r="Z28" s="42"/>
    </row>
    <row r="29">
      <c r="A29" s="40">
        <v>44111.0</v>
      </c>
      <c r="B29" s="41" t="s">
        <v>1346</v>
      </c>
      <c r="C29" s="41" t="s">
        <v>1347</v>
      </c>
      <c r="D29" s="41" t="s">
        <v>192</v>
      </c>
      <c r="E29" s="41">
        <v>1.0</v>
      </c>
      <c r="F29" s="41"/>
      <c r="G29" s="41">
        <v>20.0</v>
      </c>
      <c r="H29" s="42"/>
      <c r="I29" s="41">
        <v>120.0</v>
      </c>
      <c r="J29" s="42"/>
      <c r="K29" s="85" t="s">
        <v>157</v>
      </c>
      <c r="L29" s="42"/>
      <c r="M29" s="42"/>
      <c r="N29" s="42"/>
      <c r="O29" s="42"/>
      <c r="P29" s="42"/>
      <c r="Q29" s="42"/>
      <c r="R29" s="42"/>
      <c r="S29" s="42"/>
      <c r="T29" s="42"/>
      <c r="U29" s="42"/>
      <c r="V29" s="42"/>
      <c r="W29" s="42"/>
      <c r="X29" s="42"/>
      <c r="Y29" s="42"/>
      <c r="Z29" s="42"/>
    </row>
    <row r="30">
      <c r="A30" s="40">
        <v>44115.0</v>
      </c>
      <c r="B30" s="41" t="s">
        <v>493</v>
      </c>
      <c r="C30" s="41" t="s">
        <v>1348</v>
      </c>
      <c r="D30" s="41" t="s">
        <v>192</v>
      </c>
      <c r="E30" s="41">
        <v>0.0</v>
      </c>
      <c r="F30" s="41"/>
      <c r="G30" s="42"/>
      <c r="H30" s="42"/>
      <c r="I30" s="41">
        <v>90.0</v>
      </c>
      <c r="J30" s="42"/>
      <c r="K30" s="85" t="s">
        <v>495</v>
      </c>
      <c r="L30" s="42"/>
      <c r="M30" s="42"/>
      <c r="N30" s="42"/>
      <c r="O30" s="42"/>
      <c r="P30" s="42"/>
      <c r="Q30" s="42"/>
      <c r="R30" s="42"/>
      <c r="S30" s="42"/>
      <c r="T30" s="42"/>
      <c r="U30" s="42"/>
      <c r="V30" s="42"/>
      <c r="W30" s="42"/>
      <c r="X30" s="42"/>
      <c r="Y30" s="42"/>
      <c r="Z30" s="42"/>
    </row>
    <row r="31">
      <c r="A31" s="40">
        <v>44117.0</v>
      </c>
      <c r="B31" s="41" t="s">
        <v>1349</v>
      </c>
      <c r="C31" s="41" t="s">
        <v>1350</v>
      </c>
      <c r="D31" s="41" t="s">
        <v>1351</v>
      </c>
      <c r="E31" s="41">
        <v>0.0</v>
      </c>
      <c r="F31" s="41"/>
      <c r="G31" s="42"/>
      <c r="H31" s="41">
        <v>1.0</v>
      </c>
      <c r="I31" s="41">
        <v>90.0</v>
      </c>
      <c r="J31" s="41">
        <v>275.0</v>
      </c>
      <c r="K31" s="85" t="s">
        <v>1123</v>
      </c>
      <c r="L31" s="41" t="s">
        <v>1352</v>
      </c>
      <c r="M31" s="41" t="s">
        <v>1353</v>
      </c>
      <c r="N31" s="41" t="s">
        <v>1354</v>
      </c>
      <c r="O31" s="42"/>
      <c r="P31" s="42"/>
      <c r="Q31" s="42"/>
      <c r="R31" s="42"/>
      <c r="S31" s="42"/>
      <c r="T31" s="42"/>
      <c r="U31" s="42"/>
      <c r="V31" s="42"/>
      <c r="W31" s="42"/>
      <c r="X31" s="42"/>
      <c r="Y31" s="42"/>
      <c r="Z31" s="42"/>
    </row>
    <row r="32">
      <c r="A32" s="40">
        <v>44118.0</v>
      </c>
      <c r="B32" s="41" t="s">
        <v>1355</v>
      </c>
      <c r="C32" s="41" t="s">
        <v>1356</v>
      </c>
      <c r="D32" s="41" t="s">
        <v>544</v>
      </c>
      <c r="E32" s="41">
        <v>0.0</v>
      </c>
      <c r="F32" s="41"/>
      <c r="G32" s="42"/>
      <c r="H32" s="42"/>
      <c r="I32" s="41">
        <v>60.0</v>
      </c>
      <c r="J32" s="42"/>
      <c r="K32" s="85" t="s">
        <v>1357</v>
      </c>
      <c r="L32" s="42"/>
      <c r="M32" s="42"/>
      <c r="N32" s="42"/>
      <c r="O32" s="42"/>
      <c r="P32" s="42"/>
      <c r="Q32" s="42"/>
      <c r="R32" s="42"/>
      <c r="S32" s="42"/>
      <c r="T32" s="42"/>
      <c r="U32" s="42"/>
      <c r="V32" s="42"/>
      <c r="W32" s="42"/>
      <c r="X32" s="42"/>
      <c r="Y32" s="42"/>
      <c r="Z32" s="42"/>
    </row>
    <row r="33">
      <c r="A33" s="40">
        <v>44121.0</v>
      </c>
      <c r="B33" s="42"/>
      <c r="C33" s="41" t="s">
        <v>238</v>
      </c>
      <c r="D33" s="42"/>
      <c r="E33" s="42"/>
      <c r="F33" s="42"/>
      <c r="G33" s="42"/>
      <c r="H33" s="41"/>
      <c r="I33" s="42"/>
      <c r="J33" s="42"/>
      <c r="K33" s="85" t="s">
        <v>729</v>
      </c>
      <c r="L33" s="42"/>
      <c r="M33" s="42"/>
      <c r="N33" s="41"/>
      <c r="O33" s="42"/>
      <c r="P33" s="42"/>
      <c r="Q33" s="42"/>
      <c r="R33" s="42"/>
      <c r="S33" s="42"/>
      <c r="T33" s="42"/>
      <c r="U33" s="42"/>
      <c r="V33" s="42"/>
      <c r="W33" s="42"/>
      <c r="X33" s="42"/>
      <c r="Y33" s="42"/>
      <c r="Z33" s="42"/>
    </row>
    <row r="34">
      <c r="A34" s="40">
        <v>44121.0</v>
      </c>
      <c r="B34" s="42"/>
      <c r="C34" s="41" t="s">
        <v>40</v>
      </c>
      <c r="D34" s="42"/>
      <c r="E34" s="42"/>
      <c r="F34" s="42"/>
      <c r="G34" s="42"/>
      <c r="H34" s="41">
        <v>15.0</v>
      </c>
      <c r="I34" s="42"/>
      <c r="J34" s="42"/>
      <c r="K34" s="85" t="s">
        <v>1358</v>
      </c>
      <c r="L34" s="42"/>
      <c r="M34" s="42"/>
      <c r="N34" s="41" t="s">
        <v>1359</v>
      </c>
      <c r="O34" s="42"/>
      <c r="P34" s="42"/>
      <c r="Q34" s="42"/>
      <c r="R34" s="42"/>
      <c r="S34" s="42"/>
      <c r="T34" s="42"/>
      <c r="U34" s="42"/>
      <c r="V34" s="42"/>
      <c r="W34" s="42"/>
      <c r="X34" s="42"/>
      <c r="Y34" s="42"/>
      <c r="Z34" s="42"/>
    </row>
    <row r="35">
      <c r="A35" s="40">
        <v>44121.0</v>
      </c>
      <c r="B35" s="41" t="s">
        <v>550</v>
      </c>
      <c r="C35" s="41" t="s">
        <v>551</v>
      </c>
      <c r="D35" s="41" t="s">
        <v>1031</v>
      </c>
      <c r="E35" s="41">
        <v>0.0</v>
      </c>
      <c r="F35" s="41"/>
      <c r="G35" s="42"/>
      <c r="H35" s="41">
        <v>25.0</v>
      </c>
      <c r="I35" s="42"/>
      <c r="J35" s="42"/>
      <c r="K35" s="85" t="s">
        <v>552</v>
      </c>
      <c r="L35" s="42"/>
      <c r="M35" s="41" t="s">
        <v>1360</v>
      </c>
      <c r="N35" s="41" t="s">
        <v>1361</v>
      </c>
      <c r="O35" s="42"/>
      <c r="P35" s="42"/>
      <c r="Q35" s="42"/>
      <c r="R35" s="42"/>
      <c r="S35" s="42"/>
      <c r="T35" s="42"/>
      <c r="U35" s="42"/>
      <c r="V35" s="42"/>
      <c r="W35" s="42"/>
      <c r="X35" s="42"/>
      <c r="Y35" s="42"/>
      <c r="Z35" s="42"/>
    </row>
    <row r="36">
      <c r="A36" s="40">
        <v>44125.0</v>
      </c>
      <c r="B36" s="41" t="s">
        <v>410</v>
      </c>
      <c r="C36" s="41" t="s">
        <v>411</v>
      </c>
      <c r="D36" s="41" t="s">
        <v>1342</v>
      </c>
      <c r="E36" s="42"/>
      <c r="F36" s="42"/>
      <c r="G36" s="42"/>
      <c r="H36" s="42"/>
      <c r="I36" s="42"/>
      <c r="J36" s="42"/>
      <c r="K36" s="85" t="s">
        <v>1362</v>
      </c>
      <c r="L36" s="42"/>
      <c r="M36" s="41" t="s">
        <v>414</v>
      </c>
      <c r="N36" s="42"/>
      <c r="O36" s="42"/>
      <c r="P36" s="42"/>
      <c r="Q36" s="42"/>
      <c r="R36" s="42"/>
      <c r="S36" s="42"/>
      <c r="T36" s="42"/>
      <c r="U36" s="42"/>
      <c r="V36" s="42"/>
      <c r="W36" s="42"/>
      <c r="X36" s="42"/>
      <c r="Y36" s="42"/>
      <c r="Z36" s="42"/>
    </row>
    <row r="37">
      <c r="A37" s="40">
        <v>44126.0</v>
      </c>
      <c r="B37" s="41" t="s">
        <v>1363</v>
      </c>
      <c r="C37" s="41" t="s">
        <v>1364</v>
      </c>
      <c r="D37" s="41" t="s">
        <v>1351</v>
      </c>
      <c r="E37" s="41">
        <v>0.0</v>
      </c>
      <c r="F37" s="41"/>
      <c r="G37" s="42"/>
      <c r="H37" s="41">
        <v>1.0</v>
      </c>
      <c r="I37" s="42"/>
      <c r="J37" s="41">
        <v>125.0</v>
      </c>
      <c r="K37" s="85" t="s">
        <v>1365</v>
      </c>
      <c r="L37" s="41"/>
      <c r="M37" s="41" t="s">
        <v>1366</v>
      </c>
      <c r="N37" s="41" t="s">
        <v>1367</v>
      </c>
      <c r="O37" s="42"/>
      <c r="P37" s="42"/>
      <c r="Q37" s="42"/>
      <c r="R37" s="42"/>
      <c r="S37" s="42"/>
      <c r="T37" s="42"/>
      <c r="U37" s="42"/>
      <c r="V37" s="42"/>
      <c r="W37" s="42"/>
      <c r="X37" s="42"/>
      <c r="Y37" s="42"/>
      <c r="Z37" s="42"/>
    </row>
    <row r="38">
      <c r="A38" s="40">
        <v>44129.0</v>
      </c>
      <c r="B38" s="41" t="s">
        <v>1368</v>
      </c>
      <c r="C38" s="41" t="s">
        <v>1369</v>
      </c>
      <c r="D38" s="41" t="s">
        <v>1342</v>
      </c>
      <c r="E38" s="41">
        <v>0.0</v>
      </c>
      <c r="F38" s="41"/>
      <c r="G38" s="42"/>
      <c r="H38" s="42"/>
      <c r="I38" s="42"/>
      <c r="J38" s="42"/>
      <c r="K38" s="85" t="s">
        <v>1370</v>
      </c>
      <c r="L38" s="42"/>
      <c r="M38" s="42"/>
      <c r="N38" s="41"/>
      <c r="O38" s="42"/>
      <c r="P38" s="42"/>
      <c r="Q38" s="42"/>
      <c r="R38" s="42"/>
      <c r="S38" s="42"/>
      <c r="T38" s="42"/>
      <c r="U38" s="42"/>
      <c r="V38" s="42"/>
      <c r="W38" s="42"/>
      <c r="X38" s="42"/>
      <c r="Y38" s="42"/>
      <c r="Z38" s="42"/>
    </row>
    <row r="39">
      <c r="A39" s="40">
        <v>44129.0</v>
      </c>
      <c r="B39" s="41" t="s">
        <v>1368</v>
      </c>
      <c r="C39" s="41" t="s">
        <v>1371</v>
      </c>
      <c r="D39" s="41" t="s">
        <v>1342</v>
      </c>
      <c r="E39" s="41">
        <v>1.0</v>
      </c>
      <c r="F39" s="41"/>
      <c r="G39" s="41">
        <v>20.0</v>
      </c>
      <c r="H39" s="41">
        <v>2.0</v>
      </c>
      <c r="I39" s="42"/>
      <c r="J39" s="42"/>
      <c r="K39" s="85" t="s">
        <v>1372</v>
      </c>
      <c r="L39" s="41" t="s">
        <v>1373</v>
      </c>
      <c r="M39" s="41"/>
      <c r="N39" s="41" t="s">
        <v>1374</v>
      </c>
      <c r="O39" s="42"/>
      <c r="P39" s="42"/>
      <c r="Q39" s="42"/>
      <c r="R39" s="42"/>
      <c r="S39" s="42"/>
      <c r="T39" s="42"/>
      <c r="U39" s="42"/>
      <c r="V39" s="42"/>
      <c r="W39" s="42"/>
      <c r="X39" s="42"/>
      <c r="Y39" s="42"/>
      <c r="Z39" s="42"/>
    </row>
    <row r="40">
      <c r="A40" s="144">
        <v>44132.0</v>
      </c>
      <c r="B40" s="83" t="s">
        <v>1375</v>
      </c>
      <c r="C40" s="83" t="s">
        <v>1376</v>
      </c>
      <c r="D40" s="83" t="s">
        <v>247</v>
      </c>
      <c r="E40" s="145">
        <v>0.0</v>
      </c>
      <c r="F40" s="145"/>
      <c r="G40" s="83"/>
      <c r="H40" s="83"/>
      <c r="I40" s="116">
        <v>120.0</v>
      </c>
      <c r="J40" s="116">
        <v>10.0</v>
      </c>
      <c r="K40" s="146" t="s">
        <v>1377</v>
      </c>
      <c r="L40" s="116" t="s">
        <v>1378</v>
      </c>
      <c r="M40" s="116" t="s">
        <v>1379</v>
      </c>
      <c r="N40" s="116" t="s">
        <v>1380</v>
      </c>
      <c r="O40" s="83"/>
      <c r="P40" s="83"/>
      <c r="Q40" s="83"/>
      <c r="R40" s="83"/>
      <c r="S40" s="83"/>
      <c r="T40" s="83"/>
      <c r="U40" s="83"/>
      <c r="V40" s="83"/>
      <c r="W40" s="83"/>
      <c r="X40" s="83"/>
      <c r="Y40" s="83"/>
      <c r="Z40" s="83"/>
    </row>
    <row r="41">
      <c r="A41" s="40">
        <v>44133.0</v>
      </c>
      <c r="B41" s="41" t="s">
        <v>1381</v>
      </c>
      <c r="C41" s="41" t="s">
        <v>1382</v>
      </c>
      <c r="D41" s="41" t="s">
        <v>1351</v>
      </c>
      <c r="E41" s="41">
        <v>0.0</v>
      </c>
      <c r="F41" s="41"/>
      <c r="G41" s="42"/>
      <c r="H41" s="42"/>
      <c r="I41" s="41">
        <v>120.0</v>
      </c>
      <c r="J41" s="42"/>
      <c r="K41" s="85" t="s">
        <v>146</v>
      </c>
      <c r="L41" s="41" t="s">
        <v>290</v>
      </c>
      <c r="M41" s="41" t="s">
        <v>1383</v>
      </c>
      <c r="N41" s="41" t="s">
        <v>1384</v>
      </c>
      <c r="O41" s="42"/>
      <c r="P41" s="42"/>
      <c r="Q41" s="42"/>
      <c r="R41" s="42"/>
      <c r="S41" s="42"/>
      <c r="T41" s="42"/>
      <c r="U41" s="42"/>
      <c r="V41" s="42"/>
      <c r="W41" s="42"/>
      <c r="X41" s="42"/>
      <c r="Y41" s="42"/>
      <c r="Z41" s="42"/>
    </row>
    <row r="42">
      <c r="A42" s="40">
        <v>44136.0</v>
      </c>
      <c r="B42" s="41" t="s">
        <v>1385</v>
      </c>
      <c r="C42" s="41" t="s">
        <v>1386</v>
      </c>
      <c r="D42" s="41" t="s">
        <v>111</v>
      </c>
      <c r="E42" s="41">
        <v>0.0</v>
      </c>
      <c r="F42" s="41"/>
      <c r="G42" s="42"/>
      <c r="H42" s="41">
        <v>1.0</v>
      </c>
      <c r="I42" s="41"/>
      <c r="J42" s="41">
        <v>150.0</v>
      </c>
      <c r="K42" s="85" t="s">
        <v>1387</v>
      </c>
      <c r="L42" s="42"/>
      <c r="M42" s="41" t="s">
        <v>1388</v>
      </c>
      <c r="N42" s="41" t="s">
        <v>1389</v>
      </c>
      <c r="O42" s="42"/>
      <c r="P42" s="42"/>
      <c r="Q42" s="42"/>
      <c r="R42" s="42"/>
      <c r="S42" s="42"/>
      <c r="T42" s="42"/>
      <c r="U42" s="42"/>
      <c r="V42" s="42"/>
      <c r="W42" s="42"/>
      <c r="X42" s="42"/>
      <c r="Y42" s="42"/>
      <c r="Z42" s="42"/>
    </row>
    <row r="43">
      <c r="A43" s="40">
        <v>44147.0</v>
      </c>
      <c r="B43" s="41" t="s">
        <v>1390</v>
      </c>
      <c r="C43" s="41" t="s">
        <v>1391</v>
      </c>
      <c r="D43" s="41" t="s">
        <v>111</v>
      </c>
      <c r="E43" s="41">
        <v>0.0</v>
      </c>
      <c r="F43" s="41"/>
      <c r="G43" s="42"/>
      <c r="H43" s="42"/>
      <c r="I43" s="42"/>
      <c r="J43" s="42"/>
      <c r="K43" s="85" t="s">
        <v>940</v>
      </c>
      <c r="L43" s="42"/>
      <c r="M43" s="42"/>
      <c r="N43" s="42"/>
      <c r="O43" s="42"/>
      <c r="P43" s="42"/>
      <c r="Q43" s="42"/>
      <c r="R43" s="42"/>
      <c r="S43" s="42"/>
      <c r="T43" s="42"/>
      <c r="U43" s="42"/>
      <c r="V43" s="42"/>
      <c r="W43" s="42"/>
      <c r="X43" s="42"/>
      <c r="Y43" s="42"/>
      <c r="Z43" s="42"/>
    </row>
    <row r="44">
      <c r="A44" s="40">
        <v>44149.0</v>
      </c>
      <c r="B44" s="41" t="s">
        <v>1392</v>
      </c>
      <c r="C44" s="41" t="s">
        <v>1393</v>
      </c>
      <c r="D44" s="41" t="s">
        <v>1394</v>
      </c>
      <c r="E44" s="41">
        <v>0.0</v>
      </c>
      <c r="F44" s="41"/>
      <c r="G44" s="42"/>
      <c r="H44" s="42"/>
      <c r="I44" s="42"/>
      <c r="J44" s="42"/>
      <c r="K44" s="85" t="s">
        <v>1395</v>
      </c>
      <c r="L44" s="42"/>
      <c r="M44" s="41" t="s">
        <v>1396</v>
      </c>
      <c r="N44" s="42"/>
      <c r="O44" s="42"/>
      <c r="P44" s="42"/>
      <c r="Q44" s="42"/>
      <c r="R44" s="42"/>
      <c r="S44" s="42"/>
      <c r="T44" s="42"/>
      <c r="U44" s="42"/>
      <c r="V44" s="42"/>
      <c r="W44" s="42"/>
      <c r="X44" s="42"/>
      <c r="Y44" s="42"/>
      <c r="Z44" s="42"/>
    </row>
    <row r="45">
      <c r="A45" s="40">
        <v>44154.0</v>
      </c>
      <c r="B45" s="41" t="s">
        <v>1397</v>
      </c>
      <c r="C45" s="41" t="s">
        <v>1398</v>
      </c>
      <c r="D45" s="41" t="s">
        <v>1399</v>
      </c>
      <c r="E45" s="41">
        <v>0.0</v>
      </c>
      <c r="F45" s="41"/>
      <c r="G45" s="42"/>
      <c r="H45" s="42"/>
      <c r="I45" s="42"/>
      <c r="J45" s="42"/>
      <c r="K45" s="85" t="s">
        <v>1400</v>
      </c>
      <c r="L45" s="42"/>
      <c r="M45" s="42"/>
      <c r="N45" s="42"/>
      <c r="O45" s="42"/>
      <c r="P45" s="42"/>
      <c r="Q45" s="42"/>
      <c r="R45" s="42"/>
      <c r="S45" s="42"/>
      <c r="T45" s="42"/>
      <c r="U45" s="42"/>
      <c r="V45" s="42"/>
      <c r="W45" s="42"/>
      <c r="X45" s="42"/>
      <c r="Y45" s="42"/>
      <c r="Z45" s="42"/>
    </row>
    <row r="46">
      <c r="A46" s="40">
        <v>44156.0</v>
      </c>
      <c r="B46" s="41" t="s">
        <v>1401</v>
      </c>
      <c r="C46" s="41" t="s">
        <v>1402</v>
      </c>
      <c r="D46" s="41" t="s">
        <v>369</v>
      </c>
      <c r="E46" s="41">
        <v>0.0</v>
      </c>
      <c r="F46" s="41"/>
      <c r="G46" s="42"/>
      <c r="H46" s="42"/>
      <c r="I46" s="42"/>
      <c r="J46" s="42"/>
      <c r="K46" s="85" t="s">
        <v>890</v>
      </c>
      <c r="L46" s="42"/>
      <c r="M46" s="41" t="s">
        <v>1403</v>
      </c>
      <c r="N46" s="42"/>
      <c r="O46" s="42"/>
      <c r="P46" s="42"/>
      <c r="Q46" s="42"/>
      <c r="R46" s="42"/>
      <c r="S46" s="42"/>
      <c r="T46" s="42"/>
      <c r="U46" s="42"/>
      <c r="V46" s="42"/>
      <c r="W46" s="42"/>
      <c r="X46" s="42"/>
      <c r="Y46" s="42"/>
      <c r="Z46" s="42"/>
    </row>
    <row r="47">
      <c r="A47" s="40">
        <v>44166.0</v>
      </c>
      <c r="B47" s="147" t="s">
        <v>1404</v>
      </c>
      <c r="C47" s="147" t="s">
        <v>1405</v>
      </c>
      <c r="D47" s="41" t="s">
        <v>369</v>
      </c>
      <c r="E47" s="41">
        <v>0.0</v>
      </c>
      <c r="F47" s="41"/>
      <c r="G47" s="41"/>
      <c r="H47" s="42"/>
      <c r="I47" s="42"/>
      <c r="J47" s="42"/>
      <c r="K47" s="148" t="s">
        <v>1406</v>
      </c>
      <c r="L47" s="147" t="s">
        <v>1407</v>
      </c>
      <c r="M47" s="42"/>
      <c r="N47" s="42"/>
      <c r="O47" s="42"/>
      <c r="P47" s="42"/>
      <c r="Q47" s="42"/>
      <c r="R47" s="42"/>
      <c r="S47" s="42"/>
      <c r="T47" s="42"/>
      <c r="U47" s="42"/>
      <c r="V47" s="42"/>
      <c r="W47" s="42"/>
      <c r="X47" s="42"/>
      <c r="Y47" s="42"/>
      <c r="Z47" s="42"/>
    </row>
    <row r="48">
      <c r="A48" s="40">
        <v>44167.0</v>
      </c>
      <c r="B48" s="41" t="s">
        <v>685</v>
      </c>
      <c r="C48" s="41" t="s">
        <v>686</v>
      </c>
      <c r="D48" s="41" t="s">
        <v>247</v>
      </c>
      <c r="E48" s="41">
        <v>0.0</v>
      </c>
      <c r="F48" s="41"/>
      <c r="G48" s="41"/>
      <c r="H48" s="42"/>
      <c r="I48" s="42"/>
      <c r="J48" s="42"/>
      <c r="K48" s="85" t="s">
        <v>1408</v>
      </c>
      <c r="L48" s="42"/>
      <c r="M48" s="42"/>
      <c r="N48" s="42"/>
      <c r="O48" s="42"/>
      <c r="P48" s="42"/>
      <c r="Q48" s="42"/>
      <c r="R48" s="42"/>
      <c r="S48" s="42"/>
      <c r="T48" s="42"/>
      <c r="U48" s="42"/>
      <c r="V48" s="42"/>
      <c r="W48" s="42"/>
      <c r="X48" s="42"/>
      <c r="Y48" s="42"/>
      <c r="Z48" s="42"/>
    </row>
    <row r="49">
      <c r="A49" s="40">
        <v>44170.0</v>
      </c>
      <c r="B49" s="41" t="s">
        <v>1409</v>
      </c>
      <c r="C49" s="41" t="s">
        <v>1410</v>
      </c>
      <c r="D49" s="41" t="s">
        <v>1031</v>
      </c>
      <c r="E49" s="41">
        <v>1.0</v>
      </c>
      <c r="F49" s="41"/>
      <c r="G49" s="41">
        <v>20.0</v>
      </c>
      <c r="H49" s="42"/>
      <c r="I49" s="42"/>
      <c r="J49" s="42"/>
      <c r="K49" s="85" t="s">
        <v>1411</v>
      </c>
      <c r="L49" s="42"/>
      <c r="M49" s="42"/>
      <c r="N49" s="42"/>
      <c r="O49" s="42"/>
      <c r="P49" s="42"/>
      <c r="Q49" s="42"/>
      <c r="R49" s="42"/>
      <c r="S49" s="42"/>
      <c r="T49" s="42"/>
      <c r="U49" s="42"/>
      <c r="V49" s="42"/>
      <c r="W49" s="42"/>
      <c r="X49" s="42"/>
      <c r="Y49" s="42"/>
      <c r="Z49" s="42"/>
    </row>
    <row r="50">
      <c r="A50" s="39">
        <v>44175.0</v>
      </c>
      <c r="C50" s="2" t="s">
        <v>238</v>
      </c>
      <c r="K50" s="132" t="s">
        <v>1412</v>
      </c>
    </row>
    <row r="51">
      <c r="A51" s="39">
        <v>44184.0</v>
      </c>
      <c r="B51" s="2" t="s">
        <v>1272</v>
      </c>
      <c r="C51" s="2" t="s">
        <v>1026</v>
      </c>
      <c r="D51" s="2" t="s">
        <v>1413</v>
      </c>
      <c r="E51" s="2">
        <v>0.0</v>
      </c>
      <c r="F51" s="2"/>
      <c r="I51" s="2">
        <v>800.0</v>
      </c>
      <c r="K51" s="132" t="s">
        <v>994</v>
      </c>
      <c r="L51" s="2" t="s">
        <v>869</v>
      </c>
      <c r="M51" s="2" t="s">
        <v>1414</v>
      </c>
    </row>
    <row r="52">
      <c r="A52" s="39">
        <v>44187.0</v>
      </c>
      <c r="B52" s="2" t="s">
        <v>1069</v>
      </c>
      <c r="C52" s="2" t="s">
        <v>1070</v>
      </c>
      <c r="D52" s="2" t="s">
        <v>37</v>
      </c>
      <c r="E52" s="2">
        <v>0.0</v>
      </c>
      <c r="F52" s="2"/>
      <c r="H52" s="2">
        <v>1.0</v>
      </c>
      <c r="I52" s="2">
        <v>800.0</v>
      </c>
      <c r="J52" s="2">
        <v>905.0</v>
      </c>
      <c r="K52" s="132" t="s">
        <v>815</v>
      </c>
      <c r="L52" s="2" t="s">
        <v>1415</v>
      </c>
      <c r="M52" s="2" t="s">
        <v>1416</v>
      </c>
      <c r="N52" s="2" t="s">
        <v>1417</v>
      </c>
    </row>
    <row r="53">
      <c r="A53" s="39">
        <v>44187.0</v>
      </c>
      <c r="C53" s="2" t="s">
        <v>40</v>
      </c>
      <c r="H53" s="2">
        <v>15.0</v>
      </c>
      <c r="K53" s="132" t="s">
        <v>1418</v>
      </c>
      <c r="N53" s="2" t="s">
        <v>1419</v>
      </c>
    </row>
    <row r="54">
      <c r="A54" s="39">
        <v>44188.0</v>
      </c>
      <c r="B54" s="2" t="s">
        <v>1420</v>
      </c>
      <c r="C54" s="2" t="s">
        <v>1421</v>
      </c>
      <c r="D54" s="2" t="s">
        <v>408</v>
      </c>
      <c r="E54" s="2">
        <v>0.0</v>
      </c>
      <c r="F54" s="2"/>
      <c r="H54" s="2">
        <v>1.0</v>
      </c>
      <c r="I54" s="2"/>
      <c r="J54" s="2">
        <v>300.0</v>
      </c>
      <c r="K54" s="132" t="s">
        <v>76</v>
      </c>
      <c r="L54" s="2" t="s">
        <v>1422</v>
      </c>
      <c r="M54" s="2" t="s">
        <v>1423</v>
      </c>
      <c r="N54" s="2" t="s">
        <v>1424</v>
      </c>
    </row>
    <row r="55">
      <c r="A55" s="39">
        <v>44189.0</v>
      </c>
      <c r="B55" s="2" t="s">
        <v>1091</v>
      </c>
      <c r="C55" s="2" t="s">
        <v>1092</v>
      </c>
      <c r="D55" s="2" t="s">
        <v>58</v>
      </c>
      <c r="E55" s="2">
        <v>0.0</v>
      </c>
      <c r="F55" s="2"/>
      <c r="K55" s="132" t="s">
        <v>1425</v>
      </c>
      <c r="M55" s="2" t="s">
        <v>1426</v>
      </c>
      <c r="N55" s="2" t="s">
        <v>1427</v>
      </c>
    </row>
    <row r="56">
      <c r="A56" s="39">
        <v>44195.0</v>
      </c>
      <c r="B56" s="2" t="s">
        <v>1428</v>
      </c>
      <c r="C56" s="2" t="s">
        <v>1429</v>
      </c>
      <c r="D56" s="2" t="s">
        <v>1430</v>
      </c>
      <c r="E56" s="2">
        <v>1.0</v>
      </c>
      <c r="F56" s="2"/>
      <c r="G56" s="2">
        <v>20.0</v>
      </c>
      <c r="J56" s="2">
        <v>25.0</v>
      </c>
      <c r="K56" s="132" t="s">
        <v>1431</v>
      </c>
      <c r="L56" s="2" t="s">
        <v>1432</v>
      </c>
      <c r="M56" s="2" t="s">
        <v>1277</v>
      </c>
    </row>
    <row r="57">
      <c r="A57" s="39">
        <v>44202.0</v>
      </c>
      <c r="B57" s="2" t="s">
        <v>1433</v>
      </c>
      <c r="C57" s="2" t="s">
        <v>1434</v>
      </c>
      <c r="D57" s="2" t="s">
        <v>438</v>
      </c>
      <c r="E57" s="2">
        <v>0.0</v>
      </c>
      <c r="F57" s="2"/>
      <c r="I57" s="2">
        <v>800.0</v>
      </c>
      <c r="K57" s="132" t="s">
        <v>289</v>
      </c>
    </row>
    <row r="58">
      <c r="A58" s="39">
        <v>44210.0</v>
      </c>
      <c r="B58" s="2" t="s">
        <v>1435</v>
      </c>
      <c r="C58" s="2" t="s">
        <v>1436</v>
      </c>
      <c r="D58" s="2" t="s">
        <v>408</v>
      </c>
      <c r="E58" s="2">
        <v>0.0</v>
      </c>
      <c r="F58" s="2"/>
      <c r="I58" s="2">
        <v>800.0</v>
      </c>
      <c r="K58" s="132" t="s">
        <v>1009</v>
      </c>
      <c r="N58" s="2" t="s">
        <v>1437</v>
      </c>
    </row>
    <row r="59">
      <c r="A59" s="39">
        <v>44212.0</v>
      </c>
      <c r="B59" s="2" t="s">
        <v>1438</v>
      </c>
      <c r="C59" s="81" t="s">
        <v>1439</v>
      </c>
      <c r="D59" s="2" t="s">
        <v>58</v>
      </c>
      <c r="E59" s="2">
        <v>0.0</v>
      </c>
      <c r="F59" s="2"/>
      <c r="H59" s="2">
        <v>5.0</v>
      </c>
      <c r="K59" s="132" t="s">
        <v>787</v>
      </c>
      <c r="M59" s="2" t="s">
        <v>1440</v>
      </c>
      <c r="N59" s="2" t="s">
        <v>1441</v>
      </c>
    </row>
    <row r="60">
      <c r="A60" s="39">
        <v>44225.0</v>
      </c>
      <c r="B60" s="2" t="s">
        <v>1101</v>
      </c>
      <c r="C60" s="2" t="s">
        <v>1442</v>
      </c>
      <c r="D60" s="2" t="s">
        <v>37</v>
      </c>
      <c r="E60" s="2">
        <v>1.0</v>
      </c>
      <c r="F60" s="2"/>
      <c r="G60" s="2">
        <v>20.0</v>
      </c>
      <c r="H60" s="2">
        <v>2.0</v>
      </c>
      <c r="K60" s="132" t="s">
        <v>1104</v>
      </c>
      <c r="L60" s="2" t="s">
        <v>1443</v>
      </c>
      <c r="M60" s="2" t="s">
        <v>1444</v>
      </c>
      <c r="N60" s="2" t="s">
        <v>1445</v>
      </c>
    </row>
    <row r="61">
      <c r="A61" s="39">
        <v>44230.0</v>
      </c>
      <c r="B61" s="2" t="s">
        <v>1446</v>
      </c>
      <c r="C61" s="2" t="s">
        <v>1447</v>
      </c>
      <c r="D61" s="2" t="s">
        <v>369</v>
      </c>
      <c r="E61" s="2">
        <v>0.0</v>
      </c>
      <c r="F61" s="2">
        <v>4.0</v>
      </c>
      <c r="H61" s="2">
        <v>27.0</v>
      </c>
      <c r="I61" s="2">
        <v>800.0</v>
      </c>
      <c r="J61" s="2">
        <v>644.0</v>
      </c>
      <c r="K61" s="132" t="s">
        <v>1448</v>
      </c>
      <c r="M61" s="2" t="s">
        <v>1449</v>
      </c>
      <c r="N61" s="2" t="s">
        <v>1450</v>
      </c>
    </row>
    <row r="62">
      <c r="A62" s="39">
        <v>44254.0</v>
      </c>
      <c r="B62" s="2" t="s">
        <v>1451</v>
      </c>
      <c r="C62" s="2" t="s">
        <v>1452</v>
      </c>
      <c r="D62" s="2" t="s">
        <v>58</v>
      </c>
      <c r="E62" s="2">
        <v>0.0</v>
      </c>
      <c r="F62" s="2">
        <v>3.0</v>
      </c>
      <c r="H62" s="2">
        <v>1.0</v>
      </c>
      <c r="I62" s="2">
        <v>600.0</v>
      </c>
      <c r="K62" s="132" t="s">
        <v>1453</v>
      </c>
      <c r="L62" s="2" t="s">
        <v>1454</v>
      </c>
      <c r="M62" s="2" t="s">
        <v>1455</v>
      </c>
    </row>
    <row r="63">
      <c r="A63" s="39">
        <v>44258.0</v>
      </c>
      <c r="B63" s="2" t="s">
        <v>1456</v>
      </c>
      <c r="C63" s="2" t="s">
        <v>1457</v>
      </c>
      <c r="D63" s="2" t="s">
        <v>58</v>
      </c>
      <c r="E63" s="2">
        <v>0.0</v>
      </c>
      <c r="F63" s="2">
        <v>4.0</v>
      </c>
      <c r="I63" s="2">
        <v>200.0</v>
      </c>
      <c r="K63" s="132" t="s">
        <v>1458</v>
      </c>
    </row>
    <row r="64">
      <c r="A64" s="39">
        <v>44320.0</v>
      </c>
      <c r="B64" s="2" t="s">
        <v>1459</v>
      </c>
      <c r="C64" s="2" t="s">
        <v>1460</v>
      </c>
      <c r="D64" s="2" t="s">
        <v>37</v>
      </c>
      <c r="E64" s="2">
        <v>1.0</v>
      </c>
      <c r="F64" s="2">
        <v>5.0</v>
      </c>
      <c r="G64" s="2">
        <v>20.0</v>
      </c>
      <c r="K64" s="132" t="s">
        <v>294</v>
      </c>
    </row>
    <row r="65">
      <c r="A65" s="39">
        <v>44327.0</v>
      </c>
      <c r="B65" s="2" t="s">
        <v>1459</v>
      </c>
      <c r="C65" s="2" t="s">
        <v>1461</v>
      </c>
      <c r="D65" s="2" t="s">
        <v>111</v>
      </c>
      <c r="E65" s="2">
        <v>0.0</v>
      </c>
      <c r="F65" s="2">
        <v>2.0</v>
      </c>
      <c r="H65" s="2">
        <v>1.0</v>
      </c>
      <c r="I65" s="2">
        <v>400.0</v>
      </c>
      <c r="K65" s="132" t="s">
        <v>1462</v>
      </c>
      <c r="M65" s="2" t="s">
        <v>1463</v>
      </c>
    </row>
    <row r="66">
      <c r="A66" s="39">
        <v>44367.0</v>
      </c>
      <c r="B66" s="2" t="s">
        <v>1464</v>
      </c>
      <c r="C66" s="2" t="s">
        <v>1082</v>
      </c>
      <c r="D66" s="2" t="s">
        <v>58</v>
      </c>
      <c r="E66" s="2">
        <v>0.0</v>
      </c>
      <c r="K66" s="132" t="s">
        <v>292</v>
      </c>
    </row>
    <row r="67">
      <c r="A67" s="39">
        <v>44472.0</v>
      </c>
      <c r="C67" s="2" t="s">
        <v>40</v>
      </c>
      <c r="H67" s="2">
        <v>5.0</v>
      </c>
      <c r="K67" s="132" t="s">
        <v>521</v>
      </c>
      <c r="N67" s="2" t="s">
        <v>1465</v>
      </c>
    </row>
    <row r="68">
      <c r="A68" s="39">
        <v>44479.0</v>
      </c>
      <c r="B68" s="2" t="s">
        <v>1466</v>
      </c>
      <c r="C68" s="2" t="s">
        <v>1467</v>
      </c>
      <c r="D68" s="2" t="s">
        <v>33</v>
      </c>
      <c r="E68" s="2">
        <v>1.0</v>
      </c>
      <c r="G68" s="2">
        <v>10.0</v>
      </c>
      <c r="H68" s="2">
        <v>20.0</v>
      </c>
      <c r="I68" s="2">
        <v>8333.0</v>
      </c>
      <c r="J68" s="2">
        <v>4450.0</v>
      </c>
      <c r="K68" s="132" t="s">
        <v>1468</v>
      </c>
      <c r="L68" s="2" t="s">
        <v>1469</v>
      </c>
      <c r="N68" s="2" t="s">
        <v>1470</v>
      </c>
    </row>
    <row r="69">
      <c r="A69" s="39">
        <v>44480.0</v>
      </c>
      <c r="C69" s="2" t="s">
        <v>40</v>
      </c>
      <c r="D69" s="2" t="s">
        <v>1471</v>
      </c>
      <c r="H69" s="2">
        <v>5.0</v>
      </c>
      <c r="K69" s="132" t="s">
        <v>1472</v>
      </c>
      <c r="N69" s="2" t="s">
        <v>1473</v>
      </c>
    </row>
    <row r="70">
      <c r="A70" s="39">
        <v>44481.0</v>
      </c>
      <c r="B70" s="2" t="s">
        <v>1072</v>
      </c>
      <c r="C70" s="2" t="s">
        <v>1073</v>
      </c>
      <c r="D70" s="2" t="s">
        <v>33</v>
      </c>
      <c r="E70" s="2">
        <v>0.0</v>
      </c>
      <c r="G70" s="2">
        <v>10.0</v>
      </c>
      <c r="I70" s="2">
        <v>6550.0</v>
      </c>
      <c r="K70" s="132" t="s">
        <v>785</v>
      </c>
      <c r="L70" s="2" t="s">
        <v>1474</v>
      </c>
      <c r="M70" s="2" t="s">
        <v>1475</v>
      </c>
      <c r="N70" s="2" t="s">
        <v>1476</v>
      </c>
    </row>
    <row r="71">
      <c r="A71" s="39">
        <v>44486.0</v>
      </c>
      <c r="B71" s="2" t="s">
        <v>758</v>
      </c>
      <c r="C71" s="2" t="s">
        <v>1477</v>
      </c>
      <c r="D71" s="2" t="s">
        <v>760</v>
      </c>
      <c r="E71" s="2">
        <v>0.0</v>
      </c>
      <c r="G71" s="2">
        <v>10.0</v>
      </c>
      <c r="I71" s="149">
        <v>10130.0</v>
      </c>
      <c r="K71" s="132" t="s">
        <v>1478</v>
      </c>
      <c r="L71" s="2" t="s">
        <v>1479</v>
      </c>
      <c r="N71" s="2" t="s">
        <v>1480</v>
      </c>
    </row>
    <row r="72">
      <c r="A72" s="39">
        <v>44493.0</v>
      </c>
      <c r="C72" s="2" t="s">
        <v>40</v>
      </c>
      <c r="H72" s="2">
        <v>5.0</v>
      </c>
      <c r="K72" s="132" t="s">
        <v>1481</v>
      </c>
      <c r="N72" s="2" t="s">
        <v>1482</v>
      </c>
    </row>
    <row r="73">
      <c r="A73" s="39">
        <v>44495.0</v>
      </c>
      <c r="B73" s="2" t="s">
        <v>1034</v>
      </c>
      <c r="C73" s="2" t="s">
        <v>1035</v>
      </c>
      <c r="D73" s="2" t="s">
        <v>33</v>
      </c>
      <c r="E73" s="2">
        <v>0.0</v>
      </c>
      <c r="G73" s="2">
        <v>10.0</v>
      </c>
      <c r="I73" s="149">
        <v>10000.0</v>
      </c>
      <c r="J73" s="2">
        <v>2.0</v>
      </c>
      <c r="K73" s="132" t="s">
        <v>158</v>
      </c>
      <c r="L73" s="2" t="s">
        <v>714</v>
      </c>
      <c r="M73" s="2" t="s">
        <v>1036</v>
      </c>
      <c r="N73" s="2" t="s">
        <v>1483</v>
      </c>
    </row>
    <row r="74">
      <c r="A74" s="39">
        <v>44495.0</v>
      </c>
      <c r="C74" s="2" t="s">
        <v>238</v>
      </c>
      <c r="E74" s="2">
        <v>1.0</v>
      </c>
      <c r="G74" s="2">
        <v>10.0</v>
      </c>
      <c r="I74" s="2">
        <v>1600.0</v>
      </c>
      <c r="K74" s="125"/>
    </row>
    <row r="75">
      <c r="A75" s="39">
        <v>44503.0</v>
      </c>
      <c r="B75" s="2" t="s">
        <v>1484</v>
      </c>
      <c r="C75" s="2" t="s">
        <v>1485</v>
      </c>
      <c r="D75" s="2" t="s">
        <v>210</v>
      </c>
      <c r="E75" s="2">
        <v>0.0</v>
      </c>
      <c r="G75" s="2">
        <v>10.0</v>
      </c>
      <c r="I75" s="2">
        <v>8550.0</v>
      </c>
      <c r="J75" s="2">
        <v>700.0</v>
      </c>
      <c r="K75" s="132" t="s">
        <v>1486</v>
      </c>
      <c r="L75" s="2" t="s">
        <v>1487</v>
      </c>
      <c r="N75" s="2" t="s">
        <v>1488</v>
      </c>
    </row>
    <row r="76">
      <c r="A76" s="39">
        <v>44504.0</v>
      </c>
      <c r="B76" s="2" t="s">
        <v>1489</v>
      </c>
      <c r="C76" s="2" t="s">
        <v>1490</v>
      </c>
      <c r="D76" s="2" t="s">
        <v>528</v>
      </c>
      <c r="E76" s="2">
        <v>0.0</v>
      </c>
      <c r="G76" s="2">
        <v>10.0</v>
      </c>
      <c r="I76" s="149">
        <v>124004.0</v>
      </c>
      <c r="J76" s="2">
        <v>4000.0</v>
      </c>
      <c r="K76" s="132" t="s">
        <v>1491</v>
      </c>
      <c r="L76" s="2" t="s">
        <v>1492</v>
      </c>
      <c r="N76" s="2" t="s">
        <v>1493</v>
      </c>
    </row>
    <row r="77">
      <c r="A77" s="39">
        <v>44507.0</v>
      </c>
      <c r="B77" s="2" t="s">
        <v>1494</v>
      </c>
      <c r="C77" s="2" t="s">
        <v>1039</v>
      </c>
      <c r="D77" s="2" t="s">
        <v>33</v>
      </c>
      <c r="E77" s="2">
        <v>0.0</v>
      </c>
      <c r="G77" s="2">
        <v>10.0</v>
      </c>
      <c r="I77" s="149">
        <v>12500.0</v>
      </c>
      <c r="K77" s="132" t="s">
        <v>1495</v>
      </c>
      <c r="L77" s="2" t="s">
        <v>290</v>
      </c>
      <c r="N77" s="2" t="s">
        <v>1496</v>
      </c>
    </row>
    <row r="78">
      <c r="A78" s="39">
        <v>44508.0</v>
      </c>
      <c r="C78" s="2" t="s">
        <v>1497</v>
      </c>
      <c r="H78" s="2">
        <v>120.0</v>
      </c>
      <c r="J78" s="149">
        <v>103000.0</v>
      </c>
      <c r="K78" s="125"/>
      <c r="N78" s="2" t="s">
        <v>1498</v>
      </c>
    </row>
    <row r="79">
      <c r="A79" s="39">
        <v>44521.0</v>
      </c>
      <c r="C79" s="2" t="s">
        <v>1499</v>
      </c>
      <c r="G79" s="2">
        <v>10.0</v>
      </c>
      <c r="K79" s="132" t="s">
        <v>313</v>
      </c>
    </row>
    <row r="80">
      <c r="A80" s="39">
        <v>44521.0</v>
      </c>
      <c r="B80" s="2" t="s">
        <v>1500</v>
      </c>
      <c r="C80" s="2" t="s">
        <v>1501</v>
      </c>
      <c r="D80" s="2" t="s">
        <v>37</v>
      </c>
      <c r="G80" s="2">
        <v>10.0</v>
      </c>
      <c r="H80" s="2">
        <v>16.0</v>
      </c>
      <c r="I80" s="2">
        <v>1333.0</v>
      </c>
      <c r="J80" s="2">
        <v>4675.0</v>
      </c>
      <c r="K80" s="132" t="s">
        <v>1502</v>
      </c>
      <c r="L80" s="2" t="s">
        <v>1503</v>
      </c>
      <c r="M80" s="2" t="s">
        <v>1504</v>
      </c>
      <c r="N80" s="2" t="s">
        <v>1505</v>
      </c>
    </row>
    <row r="81">
      <c r="A81" s="39">
        <v>44587.0</v>
      </c>
      <c r="B81" s="2" t="s">
        <v>1506</v>
      </c>
      <c r="C81" s="2" t="s">
        <v>1507</v>
      </c>
      <c r="D81" s="2" t="s">
        <v>544</v>
      </c>
      <c r="G81" s="2">
        <v>10.0</v>
      </c>
      <c r="I81" s="2">
        <v>2090.0</v>
      </c>
      <c r="J81" s="2">
        <v>60.0</v>
      </c>
      <c r="K81" s="132" t="s">
        <v>1508</v>
      </c>
      <c r="L81" s="2" t="s">
        <v>1509</v>
      </c>
      <c r="N81" s="2" t="s">
        <v>1510</v>
      </c>
    </row>
    <row r="82">
      <c r="A82" s="124">
        <v>44591.0</v>
      </c>
      <c r="C82" s="2" t="s">
        <v>40</v>
      </c>
      <c r="D82" s="2" t="s">
        <v>1511</v>
      </c>
      <c r="H82" s="2">
        <v>5.0</v>
      </c>
      <c r="K82" s="132" t="s">
        <v>1512</v>
      </c>
      <c r="N82" s="2" t="s">
        <v>1513</v>
      </c>
    </row>
    <row r="83">
      <c r="A83" s="39">
        <v>44601.0</v>
      </c>
      <c r="B83" s="2" t="s">
        <v>758</v>
      </c>
      <c r="C83" s="2" t="s">
        <v>1514</v>
      </c>
      <c r="D83" s="2" t="s">
        <v>37</v>
      </c>
      <c r="G83" s="2">
        <v>10.0</v>
      </c>
      <c r="I83" s="149">
        <v>11060.0</v>
      </c>
      <c r="J83" s="2">
        <v>300.0</v>
      </c>
      <c r="K83" s="132" t="s">
        <v>1515</v>
      </c>
      <c r="L83" s="2" t="s">
        <v>1516</v>
      </c>
      <c r="N83" s="2" t="s">
        <v>1517</v>
      </c>
    </row>
    <row r="84">
      <c r="A84" s="39">
        <v>44611.0</v>
      </c>
      <c r="B84" s="2"/>
      <c r="C84" s="2" t="s">
        <v>40</v>
      </c>
      <c r="D84" s="2" t="s">
        <v>58</v>
      </c>
      <c r="G84" s="2"/>
      <c r="H84" s="2">
        <v>5.0</v>
      </c>
      <c r="I84" s="2"/>
      <c r="K84" s="2" t="s">
        <v>1518</v>
      </c>
      <c r="L84" s="2"/>
      <c r="N84" s="2" t="s">
        <v>1519</v>
      </c>
    </row>
    <row r="85">
      <c r="A85" s="39">
        <v>44612.0</v>
      </c>
      <c r="B85" s="2" t="s">
        <v>1520</v>
      </c>
      <c r="C85" s="2" t="s">
        <v>1521</v>
      </c>
      <c r="D85" s="2" t="s">
        <v>1522</v>
      </c>
      <c r="G85" s="2">
        <v>10.0</v>
      </c>
      <c r="I85" s="2">
        <v>10000.0</v>
      </c>
      <c r="K85" s="2" t="s">
        <v>1523</v>
      </c>
      <c r="L85" s="2" t="s">
        <v>155</v>
      </c>
    </row>
    <row r="86">
      <c r="A86" s="39">
        <v>44613.0</v>
      </c>
      <c r="B86" s="2" t="s">
        <v>1109</v>
      </c>
      <c r="C86" s="2" t="s">
        <v>1110</v>
      </c>
      <c r="D86" s="2" t="s">
        <v>33</v>
      </c>
      <c r="G86" s="2">
        <v>10.0</v>
      </c>
      <c r="I86" s="2">
        <v>3000.0</v>
      </c>
      <c r="K86" s="132" t="s">
        <v>1524</v>
      </c>
      <c r="L86" s="2" t="s">
        <v>1525</v>
      </c>
      <c r="M86" s="2" t="s">
        <v>1526</v>
      </c>
    </row>
    <row r="87">
      <c r="A87" s="39">
        <v>44620.0</v>
      </c>
      <c r="C87" s="2" t="s">
        <v>1527</v>
      </c>
      <c r="G87" s="2">
        <v>20.0</v>
      </c>
      <c r="I87" s="2">
        <v>750.0</v>
      </c>
      <c r="K87" s="132" t="s">
        <v>1528</v>
      </c>
    </row>
    <row r="88">
      <c r="A88" s="39">
        <v>44620.0</v>
      </c>
      <c r="C88" s="2" t="s">
        <v>1529</v>
      </c>
      <c r="G88" s="2">
        <v>60.0</v>
      </c>
      <c r="I88" s="2">
        <v>7500.0</v>
      </c>
      <c r="K88" s="2" t="s">
        <v>1530</v>
      </c>
    </row>
    <row r="89">
      <c r="A89" s="39">
        <v>44620.0</v>
      </c>
      <c r="C89" s="2" t="s">
        <v>1531</v>
      </c>
      <c r="G89" s="2">
        <v>90.0</v>
      </c>
      <c r="I89" s="2">
        <v>10000.0</v>
      </c>
      <c r="K89" s="2" t="s">
        <v>1532</v>
      </c>
    </row>
    <row r="90">
      <c r="A90" s="39">
        <v>44636.0</v>
      </c>
      <c r="B90" s="2" t="s">
        <v>958</v>
      </c>
      <c r="C90" s="2" t="s">
        <v>1118</v>
      </c>
      <c r="D90" s="2" t="s">
        <v>412</v>
      </c>
      <c r="G90" s="2">
        <v>10.0</v>
      </c>
      <c r="I90" s="2">
        <v>10000.0</v>
      </c>
      <c r="J90" s="2">
        <v>140.0</v>
      </c>
      <c r="K90" s="2" t="s">
        <v>960</v>
      </c>
      <c r="L90" s="2" t="s">
        <v>1533</v>
      </c>
      <c r="M90" s="2" t="s">
        <v>1534</v>
      </c>
    </row>
    <row r="91">
      <c r="A91" s="39">
        <v>44642.0</v>
      </c>
      <c r="B91" s="2" t="s">
        <v>798</v>
      </c>
      <c r="C91" s="2" t="s">
        <v>1050</v>
      </c>
      <c r="D91" s="2" t="s">
        <v>544</v>
      </c>
      <c r="G91" s="2">
        <v>10.0</v>
      </c>
      <c r="I91" s="2">
        <v>6625.0</v>
      </c>
      <c r="J91" s="2">
        <v>3800.0</v>
      </c>
      <c r="K91" s="2" t="s">
        <v>259</v>
      </c>
      <c r="L91" s="2" t="s">
        <v>1535</v>
      </c>
      <c r="N91" s="2" t="s">
        <v>1536</v>
      </c>
    </row>
    <row r="92">
      <c r="A92" s="39">
        <v>44657.0</v>
      </c>
      <c r="B92" s="2" t="s">
        <v>1537</v>
      </c>
      <c r="C92" s="2" t="s">
        <v>1538</v>
      </c>
      <c r="D92" s="2" t="s">
        <v>37</v>
      </c>
      <c r="G92" s="2">
        <v>10.0</v>
      </c>
      <c r="I92" s="2">
        <v>12500.0</v>
      </c>
      <c r="J92" s="2">
        <v>2500.0</v>
      </c>
      <c r="K92" s="2" t="s">
        <v>1539</v>
      </c>
      <c r="L92" s="2" t="s">
        <v>714</v>
      </c>
      <c r="N92" s="2" t="s">
        <v>1540</v>
      </c>
    </row>
    <row r="93">
      <c r="A93" s="69">
        <v>44671.0</v>
      </c>
      <c r="B93" s="71"/>
      <c r="C93" s="70" t="s">
        <v>40</v>
      </c>
      <c r="D93" s="71"/>
      <c r="E93" s="71"/>
      <c r="F93" s="71"/>
      <c r="G93" s="70"/>
      <c r="H93" s="70">
        <v>5.0</v>
      </c>
      <c r="I93" s="71"/>
      <c r="K93" s="70" t="s">
        <v>833</v>
      </c>
      <c r="L93" s="71"/>
      <c r="M93" s="71"/>
      <c r="N93" s="70" t="s">
        <v>1541</v>
      </c>
      <c r="O93" s="71"/>
      <c r="P93" s="71"/>
      <c r="Q93" s="71"/>
      <c r="R93" s="71"/>
      <c r="S93" s="71"/>
      <c r="T93" s="71"/>
      <c r="U93" s="71"/>
      <c r="V93" s="71"/>
      <c r="W93" s="71"/>
      <c r="X93" s="71"/>
      <c r="Y93" s="71"/>
      <c r="Z93" s="71"/>
    </row>
    <row r="94">
      <c r="A94" s="39">
        <v>44707.0</v>
      </c>
      <c r="B94" s="2" t="s">
        <v>1542</v>
      </c>
      <c r="C94" s="2" t="s">
        <v>1543</v>
      </c>
      <c r="D94" s="2" t="s">
        <v>58</v>
      </c>
      <c r="G94" s="2">
        <v>10.0</v>
      </c>
      <c r="I94" s="2">
        <v>5125.0</v>
      </c>
      <c r="K94" s="2" t="s">
        <v>1544</v>
      </c>
      <c r="L94" s="2" t="s">
        <v>1545</v>
      </c>
      <c r="M94" s="2" t="s">
        <v>1546</v>
      </c>
    </row>
    <row r="95">
      <c r="A95" s="39">
        <v>44710.0</v>
      </c>
      <c r="B95" s="2"/>
      <c r="C95" s="2" t="s">
        <v>40</v>
      </c>
      <c r="D95" s="2" t="s">
        <v>58</v>
      </c>
      <c r="G95" s="2"/>
      <c r="H95" s="2">
        <v>5.0</v>
      </c>
      <c r="I95" s="2"/>
      <c r="J95" s="2">
        <v>6000.0</v>
      </c>
      <c r="K95" s="2" t="s">
        <v>1547</v>
      </c>
      <c r="N95" s="2" t="s">
        <v>1548</v>
      </c>
    </row>
    <row r="96">
      <c r="A96" s="39">
        <v>44714.0</v>
      </c>
      <c r="B96" s="2" t="s">
        <v>758</v>
      </c>
      <c r="C96" s="2" t="s">
        <v>1549</v>
      </c>
      <c r="D96" s="2" t="s">
        <v>37</v>
      </c>
      <c r="G96" s="2">
        <v>10.0</v>
      </c>
      <c r="I96" s="2">
        <v>3277.0</v>
      </c>
      <c r="K96" s="2" t="s">
        <v>1550</v>
      </c>
    </row>
    <row r="97">
      <c r="A97" s="39">
        <v>44719.0</v>
      </c>
      <c r="B97" s="2" t="s">
        <v>1551</v>
      </c>
      <c r="C97" s="2" t="s">
        <v>1552</v>
      </c>
      <c r="D97" s="2" t="s">
        <v>33</v>
      </c>
      <c r="G97" s="2">
        <v>10.0</v>
      </c>
      <c r="I97" s="2">
        <v>7500.0</v>
      </c>
      <c r="K97" s="2" t="s">
        <v>1553</v>
      </c>
      <c r="M97" s="2" t="s">
        <v>1554</v>
      </c>
      <c r="N97" s="2" t="s">
        <v>1555</v>
      </c>
    </row>
    <row r="98">
      <c r="A98" s="39">
        <v>44720.0</v>
      </c>
      <c r="B98" s="2" t="s">
        <v>1556</v>
      </c>
      <c r="C98" s="2" t="s">
        <v>1079</v>
      </c>
      <c r="D98" s="2" t="s">
        <v>544</v>
      </c>
      <c r="E98" s="2">
        <v>1.0</v>
      </c>
      <c r="G98" s="2">
        <v>10.0</v>
      </c>
      <c r="I98" s="2">
        <v>4800.0</v>
      </c>
      <c r="K98" s="2" t="s">
        <v>1557</v>
      </c>
    </row>
    <row r="99">
      <c r="A99" s="40">
        <v>44720.0</v>
      </c>
      <c r="B99" s="42"/>
      <c r="C99" s="41" t="s">
        <v>238</v>
      </c>
      <c r="D99" s="42"/>
      <c r="E99" s="41">
        <v>3.0</v>
      </c>
      <c r="F99" s="42"/>
      <c r="G99" s="42"/>
      <c r="H99" s="41"/>
      <c r="I99" s="42"/>
      <c r="J99" s="42"/>
      <c r="K99" s="85" t="s">
        <v>1558</v>
      </c>
      <c r="L99" s="42"/>
      <c r="M99" s="42"/>
      <c r="N99" s="41" t="s">
        <v>1559</v>
      </c>
      <c r="O99" s="42"/>
      <c r="P99" s="42"/>
      <c r="Q99" s="42"/>
      <c r="R99" s="42"/>
      <c r="S99" s="42"/>
      <c r="T99" s="42"/>
      <c r="U99" s="42"/>
      <c r="V99" s="42"/>
      <c r="W99" s="42"/>
      <c r="X99" s="42"/>
      <c r="Y99" s="42"/>
      <c r="Z99" s="42"/>
    </row>
    <row r="100">
      <c r="A100" s="40">
        <v>44720.0</v>
      </c>
      <c r="B100" s="42"/>
      <c r="C100" s="41" t="s">
        <v>40</v>
      </c>
      <c r="D100" s="42"/>
      <c r="E100" s="42"/>
      <c r="F100" s="42"/>
      <c r="G100" s="42"/>
      <c r="H100" s="41">
        <v>5.0</v>
      </c>
      <c r="I100" s="42"/>
      <c r="J100" s="42"/>
      <c r="K100" s="85" t="s">
        <v>1560</v>
      </c>
      <c r="L100" s="42"/>
      <c r="M100" s="42"/>
      <c r="N100" s="41" t="s">
        <v>1561</v>
      </c>
      <c r="O100" s="42"/>
      <c r="P100" s="42"/>
      <c r="Q100" s="42"/>
      <c r="R100" s="42"/>
      <c r="S100" s="42"/>
      <c r="T100" s="42"/>
      <c r="U100" s="42"/>
      <c r="V100" s="42"/>
      <c r="W100" s="42"/>
      <c r="X100" s="42"/>
      <c r="Y100" s="42"/>
      <c r="Z100" s="42"/>
    </row>
    <row r="101">
      <c r="A101" s="40">
        <v>44720.0</v>
      </c>
      <c r="B101" s="42"/>
      <c r="C101" s="41" t="s">
        <v>40</v>
      </c>
      <c r="D101" s="42"/>
      <c r="E101" s="42"/>
      <c r="F101" s="42"/>
      <c r="G101" s="42"/>
      <c r="H101" s="41">
        <v>5.0</v>
      </c>
      <c r="I101" s="42"/>
      <c r="J101" s="42"/>
      <c r="K101" s="85" t="s">
        <v>1295</v>
      </c>
      <c r="L101" s="42"/>
      <c r="M101" s="42"/>
      <c r="N101" s="41" t="s">
        <v>1562</v>
      </c>
      <c r="O101" s="42"/>
      <c r="P101" s="42"/>
      <c r="Q101" s="42"/>
      <c r="R101" s="42"/>
      <c r="S101" s="42"/>
      <c r="T101" s="42"/>
      <c r="U101" s="42"/>
      <c r="V101" s="42"/>
      <c r="W101" s="42"/>
      <c r="X101" s="42"/>
      <c r="Y101" s="42"/>
      <c r="Z101" s="42"/>
    </row>
    <row r="102">
      <c r="A102" s="40">
        <v>44720.0</v>
      </c>
      <c r="B102" s="42"/>
      <c r="C102" s="41" t="s">
        <v>40</v>
      </c>
      <c r="D102" s="42"/>
      <c r="E102" s="42"/>
      <c r="F102" s="42"/>
      <c r="G102" s="42"/>
      <c r="H102" s="41">
        <v>5.0</v>
      </c>
      <c r="I102" s="42"/>
      <c r="J102" s="42"/>
      <c r="K102" s="85" t="s">
        <v>1563</v>
      </c>
      <c r="L102" s="42"/>
      <c r="M102" s="42"/>
      <c r="N102" s="41" t="s">
        <v>1564</v>
      </c>
      <c r="O102" s="42"/>
      <c r="P102" s="42"/>
      <c r="Q102" s="42"/>
      <c r="R102" s="42"/>
      <c r="S102" s="42"/>
      <c r="T102" s="42"/>
      <c r="U102" s="42"/>
      <c r="V102" s="42"/>
      <c r="W102" s="42"/>
      <c r="X102" s="42"/>
      <c r="Y102" s="42"/>
      <c r="Z102" s="42"/>
    </row>
    <row r="103" ht="15.75" customHeight="1">
      <c r="A103" s="40">
        <v>44720.0</v>
      </c>
      <c r="B103" s="42"/>
      <c r="C103" s="41" t="s">
        <v>40</v>
      </c>
      <c r="D103" s="42"/>
      <c r="E103" s="42"/>
      <c r="F103" s="42"/>
      <c r="G103" s="42"/>
      <c r="H103" s="41">
        <v>5.0</v>
      </c>
      <c r="I103" s="42"/>
      <c r="J103" s="42"/>
      <c r="K103" s="85" t="s">
        <v>1565</v>
      </c>
      <c r="L103" s="42"/>
      <c r="M103" s="42"/>
      <c r="N103" s="41" t="s">
        <v>1566</v>
      </c>
      <c r="O103" s="42"/>
      <c r="P103" s="42"/>
      <c r="Q103" s="42"/>
      <c r="R103" s="42"/>
      <c r="S103" s="42"/>
      <c r="T103" s="42"/>
      <c r="U103" s="42"/>
      <c r="V103" s="42"/>
      <c r="W103" s="42"/>
      <c r="X103" s="42"/>
      <c r="Y103" s="42"/>
      <c r="Z103" s="42"/>
    </row>
    <row r="104">
      <c r="A104" s="40">
        <v>44720.0</v>
      </c>
      <c r="B104" s="41" t="s">
        <v>1567</v>
      </c>
      <c r="C104" s="41" t="s">
        <v>1568</v>
      </c>
      <c r="D104" s="42"/>
      <c r="E104" s="42"/>
      <c r="F104" s="42"/>
      <c r="G104" s="42"/>
      <c r="H104" s="41">
        <v>200.0</v>
      </c>
      <c r="I104" s="41">
        <v>3100.0</v>
      </c>
      <c r="J104" s="42"/>
      <c r="K104" s="85" t="s">
        <v>1569</v>
      </c>
      <c r="L104" s="41" t="s">
        <v>1570</v>
      </c>
      <c r="M104" s="41" t="s">
        <v>1571</v>
      </c>
      <c r="N104" s="41" t="s">
        <v>1572</v>
      </c>
      <c r="O104" s="42"/>
      <c r="P104" s="42"/>
      <c r="Q104" s="42"/>
      <c r="R104" s="42"/>
      <c r="S104" s="42"/>
      <c r="T104" s="42"/>
      <c r="U104" s="42"/>
      <c r="V104" s="42"/>
      <c r="W104" s="42"/>
      <c r="X104" s="42"/>
      <c r="Y104" s="42"/>
      <c r="Z104" s="42"/>
    </row>
    <row r="105">
      <c r="A105" s="40">
        <v>44724.0</v>
      </c>
      <c r="B105" s="42"/>
      <c r="C105" s="41" t="s">
        <v>40</v>
      </c>
      <c r="D105" s="42"/>
      <c r="E105" s="42"/>
      <c r="F105" s="42"/>
      <c r="G105" s="42"/>
      <c r="H105" s="41">
        <v>5.0</v>
      </c>
      <c r="I105" s="42"/>
      <c r="J105" s="42"/>
      <c r="K105" s="85" t="s">
        <v>1301</v>
      </c>
      <c r="L105" s="42"/>
      <c r="M105" s="42"/>
      <c r="N105" s="41" t="s">
        <v>1573</v>
      </c>
      <c r="O105" s="42"/>
      <c r="P105" s="42"/>
      <c r="Q105" s="42"/>
      <c r="R105" s="42"/>
      <c r="S105" s="42"/>
      <c r="T105" s="42"/>
      <c r="U105" s="42"/>
      <c r="V105" s="42"/>
      <c r="W105" s="42"/>
      <c r="X105" s="42"/>
      <c r="Y105" s="42"/>
      <c r="Z105" s="42"/>
    </row>
    <row r="106">
      <c r="A106" s="40">
        <v>44727.0</v>
      </c>
      <c r="B106" s="42"/>
      <c r="C106" s="41" t="s">
        <v>40</v>
      </c>
      <c r="D106" s="41" t="s">
        <v>1574</v>
      </c>
      <c r="E106" s="42"/>
      <c r="F106" s="42"/>
      <c r="G106" s="42"/>
      <c r="H106" s="41">
        <v>5.0</v>
      </c>
      <c r="I106" s="42"/>
      <c r="J106" s="42"/>
      <c r="K106" s="85" t="s">
        <v>1575</v>
      </c>
      <c r="L106" s="42"/>
      <c r="M106" s="42"/>
      <c r="N106" s="41" t="s">
        <v>1576</v>
      </c>
      <c r="O106" s="42"/>
      <c r="P106" s="42"/>
      <c r="Q106" s="42"/>
      <c r="R106" s="42"/>
      <c r="S106" s="42"/>
      <c r="T106" s="42"/>
      <c r="U106" s="42"/>
      <c r="V106" s="42"/>
      <c r="W106" s="42"/>
      <c r="X106" s="42"/>
      <c r="Y106" s="42"/>
      <c r="Z106" s="42"/>
    </row>
    <row r="107">
      <c r="A107" s="40">
        <v>44808.0</v>
      </c>
      <c r="B107" s="41" t="s">
        <v>1577</v>
      </c>
      <c r="C107" s="41" t="s">
        <v>1578</v>
      </c>
      <c r="D107" s="41" t="s">
        <v>670</v>
      </c>
      <c r="E107" s="42"/>
      <c r="F107" s="42"/>
      <c r="G107" s="41">
        <v>10.0</v>
      </c>
      <c r="H107" s="42"/>
      <c r="I107" s="41">
        <v>6000.0</v>
      </c>
      <c r="J107" s="41">
        <v>10000.0</v>
      </c>
      <c r="K107" s="85" t="s">
        <v>1579</v>
      </c>
      <c r="L107" s="41" t="s">
        <v>1580</v>
      </c>
      <c r="M107" s="42"/>
      <c r="N107" s="42"/>
      <c r="O107" s="42"/>
      <c r="P107" s="42"/>
      <c r="Q107" s="42"/>
      <c r="R107" s="42"/>
      <c r="S107" s="42"/>
      <c r="T107" s="42"/>
      <c r="U107" s="42"/>
      <c r="V107" s="42"/>
      <c r="W107" s="42"/>
      <c r="X107" s="42"/>
      <c r="Y107" s="42"/>
      <c r="Z107" s="42"/>
    </row>
    <row r="108">
      <c r="A108" s="40">
        <v>44808.0</v>
      </c>
      <c r="B108" s="41" t="s">
        <v>1581</v>
      </c>
      <c r="C108" s="41" t="s">
        <v>1582</v>
      </c>
      <c r="D108" s="41" t="s">
        <v>670</v>
      </c>
      <c r="E108" s="42"/>
      <c r="F108" s="42"/>
      <c r="G108" s="41">
        <v>10.0</v>
      </c>
      <c r="H108" s="42"/>
      <c r="I108" s="41">
        <v>16000.0</v>
      </c>
      <c r="J108" s="41">
        <v>10800.0</v>
      </c>
      <c r="K108" s="85" t="s">
        <v>1583</v>
      </c>
      <c r="L108" s="41" t="s">
        <v>1584</v>
      </c>
      <c r="M108" s="41" t="s">
        <v>1585</v>
      </c>
      <c r="N108" s="41" t="s">
        <v>1586</v>
      </c>
      <c r="O108" s="42"/>
      <c r="P108" s="42"/>
      <c r="Q108" s="42"/>
      <c r="R108" s="42"/>
      <c r="S108" s="42"/>
      <c r="T108" s="42"/>
      <c r="U108" s="42"/>
      <c r="V108" s="42"/>
      <c r="W108" s="42"/>
      <c r="X108" s="42"/>
      <c r="Y108" s="42"/>
      <c r="Z108" s="42"/>
    </row>
    <row r="109">
      <c r="A109" s="40">
        <v>44808.0</v>
      </c>
      <c r="B109" s="41" t="s">
        <v>1587</v>
      </c>
      <c r="C109" s="41" t="s">
        <v>1588</v>
      </c>
      <c r="D109" s="41" t="s">
        <v>670</v>
      </c>
      <c r="E109" s="42"/>
      <c r="F109" s="42"/>
      <c r="G109" s="41">
        <v>10.0</v>
      </c>
      <c r="H109" s="42"/>
      <c r="I109" s="41">
        <v>9000.0</v>
      </c>
      <c r="J109" s="41">
        <v>1000.0</v>
      </c>
      <c r="K109" s="85" t="s">
        <v>1589</v>
      </c>
      <c r="L109" s="41" t="s">
        <v>1590</v>
      </c>
      <c r="M109" s="42"/>
      <c r="N109" s="42"/>
      <c r="O109" s="42"/>
      <c r="P109" s="42"/>
      <c r="Q109" s="42"/>
      <c r="R109" s="42"/>
      <c r="S109" s="42"/>
      <c r="T109" s="42"/>
      <c r="U109" s="42"/>
      <c r="V109" s="42"/>
      <c r="W109" s="42"/>
      <c r="X109" s="42"/>
      <c r="Y109" s="42"/>
      <c r="Z109" s="42"/>
    </row>
    <row r="110">
      <c r="A110" s="40">
        <v>44808.0</v>
      </c>
      <c r="B110" s="42"/>
      <c r="C110" s="41" t="s">
        <v>1591</v>
      </c>
      <c r="D110" s="41" t="s">
        <v>58</v>
      </c>
      <c r="E110" s="42"/>
      <c r="F110" s="42"/>
      <c r="G110" s="42"/>
      <c r="H110" s="41">
        <v>5.0</v>
      </c>
      <c r="I110" s="42"/>
      <c r="J110" s="42"/>
      <c r="K110" s="85" t="s">
        <v>1592</v>
      </c>
      <c r="L110" s="42"/>
      <c r="M110" s="42"/>
      <c r="N110" s="41" t="s">
        <v>1593</v>
      </c>
      <c r="O110" s="42"/>
      <c r="P110" s="42"/>
      <c r="Q110" s="42"/>
      <c r="R110" s="42"/>
      <c r="S110" s="42"/>
      <c r="T110" s="42"/>
      <c r="U110" s="42"/>
      <c r="V110" s="42"/>
      <c r="W110" s="42"/>
      <c r="X110" s="42"/>
      <c r="Y110" s="42"/>
      <c r="Z110" s="42"/>
    </row>
    <row r="111">
      <c r="A111" s="40">
        <v>44818.0</v>
      </c>
      <c r="B111" s="42"/>
      <c r="C111" s="41" t="s">
        <v>1594</v>
      </c>
      <c r="D111" s="41" t="s">
        <v>33</v>
      </c>
      <c r="E111" s="42"/>
      <c r="F111" s="42"/>
      <c r="G111" s="42"/>
      <c r="H111" s="41">
        <v>50.0</v>
      </c>
      <c r="I111" s="42"/>
      <c r="J111" s="42"/>
      <c r="K111" s="135"/>
      <c r="L111" s="42"/>
      <c r="M111" s="42"/>
      <c r="N111" s="41" t="s">
        <v>1595</v>
      </c>
      <c r="O111" s="42"/>
      <c r="P111" s="42"/>
      <c r="Q111" s="42"/>
      <c r="R111" s="42"/>
      <c r="S111" s="42"/>
      <c r="T111" s="42"/>
      <c r="U111" s="42"/>
      <c r="V111" s="42"/>
      <c r="W111" s="42"/>
      <c r="X111" s="42"/>
      <c r="Y111" s="42"/>
      <c r="Z111" s="42"/>
    </row>
    <row r="112">
      <c r="A112" s="40">
        <v>44818.0</v>
      </c>
      <c r="B112" s="41" t="s">
        <v>1596</v>
      </c>
      <c r="C112" s="41" t="s">
        <v>1597</v>
      </c>
      <c r="D112" s="41" t="s">
        <v>33</v>
      </c>
      <c r="E112" s="42"/>
      <c r="F112" s="42"/>
      <c r="G112" s="41">
        <v>10.0</v>
      </c>
      <c r="H112" s="42"/>
      <c r="I112" s="41">
        <v>87000.0</v>
      </c>
      <c r="J112" s="41">
        <v>10300.0</v>
      </c>
      <c r="K112" s="85" t="s">
        <v>1598</v>
      </c>
      <c r="L112" s="41" t="s">
        <v>1599</v>
      </c>
      <c r="M112" s="42"/>
      <c r="N112" s="41"/>
      <c r="O112" s="42"/>
      <c r="P112" s="42"/>
      <c r="Q112" s="42"/>
      <c r="R112" s="42"/>
      <c r="S112" s="42"/>
      <c r="T112" s="42"/>
      <c r="U112" s="42"/>
      <c r="V112" s="42"/>
      <c r="W112" s="42"/>
      <c r="X112" s="42"/>
      <c r="Y112" s="42"/>
      <c r="Z112" s="42"/>
    </row>
    <row r="113">
      <c r="A113" s="40">
        <v>44818.0</v>
      </c>
      <c r="B113" s="42"/>
      <c r="C113" s="41" t="s">
        <v>40</v>
      </c>
      <c r="D113" s="42"/>
      <c r="E113" s="42"/>
      <c r="F113" s="42"/>
      <c r="G113" s="42"/>
      <c r="H113" s="41">
        <v>5.0</v>
      </c>
      <c r="I113" s="42"/>
      <c r="J113" s="42"/>
      <c r="K113" s="85" t="s">
        <v>1299</v>
      </c>
      <c r="L113" s="42"/>
      <c r="M113" s="42"/>
      <c r="N113" s="41" t="s">
        <v>1600</v>
      </c>
      <c r="O113" s="42"/>
      <c r="P113" s="42"/>
      <c r="Q113" s="42"/>
      <c r="R113" s="42"/>
      <c r="S113" s="42"/>
      <c r="T113" s="42"/>
      <c r="U113" s="42"/>
      <c r="V113" s="42"/>
      <c r="W113" s="42"/>
      <c r="X113" s="42"/>
      <c r="Y113" s="42"/>
      <c r="Z113" s="42"/>
    </row>
    <row r="114">
      <c r="A114" s="40">
        <v>44818.0</v>
      </c>
      <c r="B114" s="41" t="s">
        <v>1601</v>
      </c>
      <c r="C114" s="41" t="s">
        <v>1602</v>
      </c>
      <c r="D114" s="41" t="s">
        <v>58</v>
      </c>
      <c r="E114" s="42"/>
      <c r="F114" s="42"/>
      <c r="G114" s="41">
        <v>10.0</v>
      </c>
      <c r="H114" s="42"/>
      <c r="I114" s="41">
        <v>14000.0</v>
      </c>
      <c r="J114" s="41">
        <v>35000.0</v>
      </c>
      <c r="K114" s="85" t="s">
        <v>1603</v>
      </c>
      <c r="L114" s="41" t="s">
        <v>1604</v>
      </c>
      <c r="M114" s="41" t="s">
        <v>1605</v>
      </c>
      <c r="N114" s="41" t="s">
        <v>1606</v>
      </c>
      <c r="O114" s="42"/>
      <c r="P114" s="42"/>
      <c r="Q114" s="42"/>
      <c r="R114" s="42"/>
      <c r="S114" s="42"/>
      <c r="T114" s="42"/>
      <c r="U114" s="42"/>
      <c r="V114" s="42"/>
      <c r="W114" s="42"/>
      <c r="X114" s="42"/>
      <c r="Y114" s="42"/>
      <c r="Z114" s="42"/>
    </row>
    <row r="115">
      <c r="A115" s="40">
        <v>44874.0</v>
      </c>
      <c r="B115" s="41" t="s">
        <v>1607</v>
      </c>
      <c r="C115" s="41" t="s">
        <v>1608</v>
      </c>
      <c r="D115" s="41" t="s">
        <v>1342</v>
      </c>
      <c r="E115" s="42"/>
      <c r="F115" s="42"/>
      <c r="G115" s="41">
        <v>10.0</v>
      </c>
      <c r="H115" s="42"/>
      <c r="I115" s="41">
        <v>25000.0</v>
      </c>
      <c r="J115" s="42"/>
      <c r="K115" s="85" t="s">
        <v>1609</v>
      </c>
      <c r="L115" s="42"/>
      <c r="M115" s="42"/>
      <c r="N115" s="42"/>
      <c r="O115" s="42"/>
      <c r="P115" s="42"/>
      <c r="Q115" s="42"/>
      <c r="R115" s="42"/>
      <c r="S115" s="42"/>
      <c r="T115" s="42"/>
      <c r="U115" s="42"/>
      <c r="V115" s="42"/>
      <c r="W115" s="42"/>
      <c r="X115" s="42"/>
      <c r="Y115" s="42"/>
      <c r="Z115" s="42"/>
    </row>
    <row r="116">
      <c r="A116" s="40">
        <v>44568.0</v>
      </c>
      <c r="B116" s="41" t="s">
        <v>1610</v>
      </c>
      <c r="C116" s="41" t="s">
        <v>1611</v>
      </c>
      <c r="D116" s="41" t="s">
        <v>670</v>
      </c>
      <c r="E116" s="42"/>
      <c r="F116" s="42"/>
      <c r="G116" s="41">
        <v>10.0</v>
      </c>
      <c r="H116" s="42"/>
      <c r="I116" s="41">
        <v>25000.0</v>
      </c>
      <c r="J116" s="42"/>
      <c r="K116" s="85" t="s">
        <v>1612</v>
      </c>
      <c r="L116" s="42"/>
      <c r="M116" s="42"/>
      <c r="N116" s="42"/>
      <c r="O116" s="42"/>
      <c r="P116" s="42"/>
      <c r="Q116" s="42"/>
      <c r="R116" s="42"/>
      <c r="S116" s="42"/>
      <c r="T116" s="42"/>
      <c r="U116" s="42"/>
      <c r="V116" s="42"/>
      <c r="W116" s="42"/>
      <c r="X116" s="42"/>
      <c r="Y116" s="42"/>
      <c r="Z116" s="42"/>
    </row>
    <row r="117">
      <c r="A117" s="40">
        <v>44946.0</v>
      </c>
      <c r="B117" s="42"/>
      <c r="C117" s="41" t="s">
        <v>1613</v>
      </c>
      <c r="D117" s="42"/>
      <c r="E117" s="42"/>
      <c r="F117" s="42"/>
      <c r="G117" s="41">
        <v>100.0</v>
      </c>
      <c r="H117" s="42"/>
      <c r="I117" s="42"/>
      <c r="J117" s="42"/>
      <c r="K117" s="85" t="s">
        <v>1614</v>
      </c>
      <c r="L117" s="42"/>
      <c r="M117" s="42"/>
      <c r="N117" s="42"/>
      <c r="O117" s="42"/>
      <c r="P117" s="42"/>
      <c r="Q117" s="42"/>
      <c r="R117" s="42"/>
      <c r="S117" s="42"/>
      <c r="T117" s="42"/>
      <c r="U117" s="42"/>
      <c r="V117" s="42"/>
      <c r="W117" s="42"/>
      <c r="X117" s="42"/>
      <c r="Y117" s="42"/>
      <c r="Z117" s="42"/>
    </row>
    <row r="118">
      <c r="A118" s="40">
        <v>44946.0</v>
      </c>
      <c r="B118" s="42"/>
      <c r="C118" s="41" t="s">
        <v>1615</v>
      </c>
      <c r="D118" s="42"/>
      <c r="E118" s="42"/>
      <c r="F118" s="42"/>
      <c r="G118" s="41">
        <v>90.0</v>
      </c>
      <c r="H118" s="42"/>
      <c r="I118" s="42"/>
      <c r="J118" s="42"/>
      <c r="K118" s="85" t="s">
        <v>1616</v>
      </c>
      <c r="L118" s="42"/>
      <c r="M118" s="42"/>
      <c r="N118" s="42"/>
      <c r="O118" s="42"/>
      <c r="P118" s="42"/>
      <c r="Q118" s="42"/>
      <c r="R118" s="42"/>
      <c r="S118" s="42"/>
      <c r="T118" s="42"/>
      <c r="U118" s="42"/>
      <c r="V118" s="42"/>
      <c r="W118" s="42"/>
      <c r="X118" s="42"/>
      <c r="Y118" s="42"/>
      <c r="Z118" s="42"/>
    </row>
    <row r="119">
      <c r="A119" s="40">
        <v>44946.0</v>
      </c>
      <c r="B119" s="42"/>
      <c r="C119" s="41" t="s">
        <v>1617</v>
      </c>
      <c r="D119" s="42"/>
      <c r="E119" s="42"/>
      <c r="F119" s="42"/>
      <c r="G119" s="42"/>
      <c r="H119" s="41">
        <v>240.0</v>
      </c>
      <c r="I119" s="41"/>
      <c r="J119" s="41">
        <v>250000.0</v>
      </c>
      <c r="K119" s="135"/>
      <c r="L119" s="42"/>
      <c r="M119" s="42"/>
      <c r="N119" s="41" t="s">
        <v>1618</v>
      </c>
      <c r="O119" s="42"/>
      <c r="P119" s="42"/>
      <c r="Q119" s="42"/>
      <c r="R119" s="42"/>
      <c r="S119" s="42"/>
      <c r="T119" s="42"/>
      <c r="U119" s="42"/>
      <c r="V119" s="42"/>
      <c r="W119" s="42"/>
      <c r="X119" s="42"/>
      <c r="Y119" s="42"/>
      <c r="Z119" s="42"/>
    </row>
    <row r="120">
      <c r="A120" s="40">
        <v>44947.0</v>
      </c>
      <c r="B120" s="41" t="s">
        <v>1619</v>
      </c>
      <c r="C120" s="41" t="s">
        <v>1620</v>
      </c>
      <c r="D120" s="41" t="s">
        <v>544</v>
      </c>
      <c r="E120" s="42"/>
      <c r="F120" s="42"/>
      <c r="G120" s="41">
        <v>10.0</v>
      </c>
      <c r="H120" s="42"/>
      <c r="I120" s="41">
        <v>20000.0</v>
      </c>
      <c r="J120" s="41">
        <v>1000.0</v>
      </c>
      <c r="K120" s="85" t="s">
        <v>1621</v>
      </c>
      <c r="L120" s="42"/>
      <c r="M120" s="41" t="s">
        <v>1622</v>
      </c>
      <c r="N120" s="41" t="s">
        <v>1623</v>
      </c>
      <c r="O120" s="42"/>
      <c r="P120" s="42"/>
      <c r="Q120" s="42"/>
      <c r="R120" s="42"/>
      <c r="S120" s="42"/>
      <c r="T120" s="42"/>
      <c r="U120" s="42"/>
      <c r="V120" s="42"/>
      <c r="W120" s="42"/>
      <c r="X120" s="42"/>
      <c r="Y120" s="42"/>
      <c r="Z120" s="42"/>
    </row>
    <row r="121">
      <c r="A121" s="40">
        <v>45074.0</v>
      </c>
      <c r="B121" s="41" t="s">
        <v>1624</v>
      </c>
      <c r="C121" s="41" t="s">
        <v>1625</v>
      </c>
      <c r="D121" s="41" t="s">
        <v>1626</v>
      </c>
      <c r="E121" s="42"/>
      <c r="F121" s="42"/>
      <c r="G121" s="41">
        <v>10.0</v>
      </c>
      <c r="H121" s="42"/>
      <c r="I121" s="42"/>
      <c r="J121" s="42"/>
      <c r="K121" s="85" t="s">
        <v>1627</v>
      </c>
      <c r="L121" s="42"/>
      <c r="M121" s="42"/>
      <c r="N121" s="41" t="s">
        <v>1628</v>
      </c>
      <c r="O121" s="42"/>
      <c r="P121" s="42"/>
      <c r="Q121" s="42"/>
      <c r="R121" s="42"/>
      <c r="S121" s="42"/>
      <c r="T121" s="42"/>
      <c r="U121" s="42"/>
      <c r="V121" s="42"/>
      <c r="W121" s="42"/>
      <c r="X121" s="42"/>
      <c r="Y121" s="42"/>
      <c r="Z121" s="42"/>
    </row>
    <row r="122">
      <c r="A122" s="40">
        <v>45084.0</v>
      </c>
      <c r="B122" s="41" t="s">
        <v>1629</v>
      </c>
      <c r="C122" s="41" t="s">
        <v>1630</v>
      </c>
      <c r="D122" s="41" t="s">
        <v>369</v>
      </c>
      <c r="E122" s="42"/>
      <c r="F122" s="42"/>
      <c r="G122" s="41">
        <v>10.0</v>
      </c>
      <c r="H122" s="42"/>
      <c r="I122" s="41">
        <v>14200.0</v>
      </c>
      <c r="J122" s="42"/>
      <c r="K122" s="85" t="s">
        <v>1294</v>
      </c>
      <c r="L122" s="41" t="s">
        <v>1631</v>
      </c>
      <c r="M122" s="42"/>
      <c r="N122" s="41" t="s">
        <v>1632</v>
      </c>
      <c r="O122" s="42"/>
      <c r="P122" s="42"/>
      <c r="Q122" s="42"/>
      <c r="R122" s="42"/>
      <c r="S122" s="42"/>
      <c r="T122" s="42"/>
      <c r="U122" s="42"/>
      <c r="V122" s="42"/>
      <c r="W122" s="42"/>
      <c r="X122" s="42"/>
      <c r="Y122" s="42"/>
      <c r="Z122" s="42"/>
    </row>
    <row r="123">
      <c r="A123" s="40">
        <v>45203.0</v>
      </c>
      <c r="B123" s="42"/>
      <c r="C123" s="41" t="s">
        <v>238</v>
      </c>
      <c r="D123" s="42"/>
      <c r="E123" s="42"/>
      <c r="F123" s="42"/>
      <c r="G123" s="41">
        <v>10.0</v>
      </c>
      <c r="H123" s="42"/>
      <c r="I123" s="42"/>
      <c r="J123" s="42"/>
      <c r="K123" s="85" t="s">
        <v>1633</v>
      </c>
      <c r="L123" s="42"/>
      <c r="M123" s="42"/>
      <c r="N123" s="42"/>
      <c r="O123" s="42"/>
      <c r="P123" s="42"/>
      <c r="Q123" s="42"/>
      <c r="R123" s="42"/>
      <c r="S123" s="42"/>
      <c r="T123" s="42"/>
      <c r="U123" s="42"/>
      <c r="V123" s="42"/>
      <c r="W123" s="42"/>
      <c r="X123" s="42"/>
      <c r="Y123" s="42"/>
      <c r="Z123" s="42"/>
    </row>
    <row r="124">
      <c r="A124" s="40">
        <v>45203.0</v>
      </c>
      <c r="B124" s="42"/>
      <c r="C124" s="41" t="s">
        <v>238</v>
      </c>
      <c r="D124" s="42"/>
      <c r="E124" s="42"/>
      <c r="F124" s="42"/>
      <c r="G124" s="41"/>
      <c r="H124" s="42"/>
      <c r="I124" s="41">
        <v>2500.0</v>
      </c>
      <c r="J124" s="42"/>
      <c r="K124" s="85" t="s">
        <v>548</v>
      </c>
      <c r="L124" s="42"/>
      <c r="M124" s="42"/>
      <c r="N124" s="42"/>
      <c r="O124" s="42"/>
      <c r="P124" s="42"/>
      <c r="Q124" s="42"/>
      <c r="R124" s="42"/>
      <c r="S124" s="42"/>
      <c r="T124" s="42"/>
      <c r="U124" s="42"/>
      <c r="V124" s="42"/>
      <c r="W124" s="42"/>
      <c r="X124" s="42"/>
      <c r="Y124" s="42"/>
      <c r="Z124" s="42"/>
    </row>
    <row r="125">
      <c r="A125" s="40">
        <v>45203.0</v>
      </c>
      <c r="B125" s="42"/>
      <c r="C125" s="41" t="s">
        <v>238</v>
      </c>
      <c r="D125" s="42"/>
      <c r="E125" s="42"/>
      <c r="F125" s="42"/>
      <c r="G125" s="41">
        <v>10.0</v>
      </c>
      <c r="H125" s="42"/>
      <c r="I125" s="42"/>
      <c r="J125" s="42"/>
      <c r="K125" s="85" t="s">
        <v>1634</v>
      </c>
      <c r="L125" s="42"/>
      <c r="M125" s="42"/>
      <c r="N125" s="42"/>
      <c r="O125" s="42"/>
      <c r="P125" s="42"/>
      <c r="Q125" s="42"/>
      <c r="R125" s="42"/>
      <c r="S125" s="42"/>
      <c r="T125" s="42"/>
      <c r="U125" s="42"/>
      <c r="V125" s="42"/>
      <c r="W125" s="42"/>
      <c r="X125" s="42"/>
      <c r="Y125" s="42"/>
      <c r="Z125" s="42"/>
    </row>
    <row r="126">
      <c r="A126" s="40">
        <v>45203.0</v>
      </c>
      <c r="B126" s="42"/>
      <c r="C126" s="41" t="s">
        <v>238</v>
      </c>
      <c r="D126" s="42"/>
      <c r="E126" s="42"/>
      <c r="F126" s="42"/>
      <c r="G126" s="41">
        <v>30.0</v>
      </c>
      <c r="H126" s="42"/>
      <c r="I126" s="42"/>
      <c r="J126" s="42"/>
      <c r="K126" s="85" t="s">
        <v>1557</v>
      </c>
      <c r="L126" s="42"/>
      <c r="M126" s="42"/>
      <c r="N126" s="42"/>
      <c r="O126" s="42"/>
      <c r="P126" s="42"/>
      <c r="Q126" s="42"/>
      <c r="R126" s="42"/>
      <c r="S126" s="42"/>
      <c r="T126" s="42"/>
      <c r="U126" s="42"/>
      <c r="V126" s="42"/>
      <c r="W126" s="42"/>
      <c r="X126" s="42"/>
      <c r="Y126" s="42"/>
      <c r="Z126" s="42"/>
    </row>
    <row r="127">
      <c r="A127" s="40">
        <v>45374.0</v>
      </c>
      <c r="B127" s="41"/>
      <c r="C127" s="41" t="s">
        <v>40</v>
      </c>
      <c r="D127" s="41" t="s">
        <v>1635</v>
      </c>
      <c r="E127" s="42"/>
      <c r="F127" s="42"/>
      <c r="G127" s="42"/>
      <c r="H127" s="41">
        <v>5.0</v>
      </c>
      <c r="I127" s="42"/>
      <c r="J127" s="42"/>
      <c r="K127" s="85" t="s">
        <v>1636</v>
      </c>
      <c r="L127" s="42"/>
      <c r="M127" s="42"/>
      <c r="N127" s="41" t="s">
        <v>1637</v>
      </c>
      <c r="O127" s="42"/>
      <c r="P127" s="42"/>
      <c r="Q127" s="42"/>
      <c r="R127" s="42"/>
      <c r="S127" s="42"/>
      <c r="T127" s="42"/>
      <c r="U127" s="42"/>
      <c r="V127" s="42"/>
      <c r="W127" s="42"/>
      <c r="X127" s="42"/>
      <c r="Y127" s="42"/>
      <c r="Z127" s="42"/>
    </row>
    <row r="128">
      <c r="A128" s="150">
        <v>45805.0</v>
      </c>
      <c r="B128" s="42"/>
      <c r="C128" s="41" t="s">
        <v>40</v>
      </c>
      <c r="D128" s="41" t="s">
        <v>179</v>
      </c>
      <c r="E128" s="42"/>
      <c r="F128" s="42"/>
      <c r="G128" s="42"/>
      <c r="H128" s="41">
        <v>5.0</v>
      </c>
      <c r="I128" s="42"/>
      <c r="J128" s="42"/>
      <c r="K128" s="85" t="s">
        <v>1291</v>
      </c>
      <c r="L128" s="42"/>
      <c r="M128" s="42"/>
      <c r="N128" s="41" t="s">
        <v>1638</v>
      </c>
      <c r="O128" s="42"/>
      <c r="P128" s="42"/>
      <c r="Q128" s="42"/>
      <c r="R128" s="42"/>
      <c r="S128" s="42"/>
      <c r="T128" s="42"/>
      <c r="U128" s="42"/>
      <c r="V128" s="42"/>
      <c r="W128" s="42"/>
      <c r="X128" s="42"/>
      <c r="Y128" s="42"/>
      <c r="Z128" s="42"/>
    </row>
    <row r="129">
      <c r="A129" s="40">
        <v>45835.0</v>
      </c>
      <c r="B129" s="42"/>
      <c r="C129" s="41" t="s">
        <v>1639</v>
      </c>
      <c r="D129" s="42"/>
      <c r="E129" s="42"/>
      <c r="F129" s="42"/>
      <c r="G129" s="42"/>
      <c r="H129" s="41">
        <v>25.0</v>
      </c>
      <c r="I129" s="42"/>
      <c r="J129" s="42"/>
      <c r="K129" s="135"/>
      <c r="L129" s="42"/>
      <c r="M129" s="42"/>
      <c r="N129" s="41" t="s">
        <v>1640</v>
      </c>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135"/>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135"/>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135"/>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135"/>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135"/>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135"/>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135"/>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135"/>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135"/>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135"/>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135"/>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135"/>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135"/>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135"/>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135"/>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135"/>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135"/>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135"/>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135"/>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135"/>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135"/>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135"/>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135"/>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135"/>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135"/>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135"/>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135"/>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135"/>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135"/>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135"/>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135"/>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135"/>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135"/>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135"/>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135"/>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135"/>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135"/>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135"/>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135"/>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135"/>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135"/>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135"/>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135"/>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135"/>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135"/>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135"/>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135"/>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135"/>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135"/>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135"/>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135"/>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135"/>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135"/>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135"/>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135"/>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135"/>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135"/>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135"/>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135"/>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135"/>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135"/>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135"/>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135"/>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135"/>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135"/>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135"/>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135"/>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135"/>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135"/>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135"/>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135"/>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135"/>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135"/>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135"/>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135"/>
      <c r="L204" s="42"/>
      <c r="M204" s="42"/>
      <c r="N204" s="42"/>
      <c r="O204" s="42"/>
      <c r="P204" s="42"/>
      <c r="Q204" s="42"/>
      <c r="R204" s="42"/>
      <c r="S204" s="42"/>
      <c r="T204" s="42"/>
      <c r="U204" s="42"/>
      <c r="V204" s="42"/>
      <c r="W204" s="42"/>
      <c r="X204" s="42"/>
      <c r="Y204" s="42"/>
      <c r="Z204" s="42"/>
    </row>
    <row r="205">
      <c r="K205" s="125"/>
    </row>
    <row r="206">
      <c r="K206" s="125"/>
    </row>
    <row r="207">
      <c r="K207" s="125"/>
    </row>
    <row r="208">
      <c r="K208" s="125"/>
    </row>
    <row r="209">
      <c r="K209" s="125"/>
    </row>
    <row r="210">
      <c r="K210" s="125"/>
    </row>
    <row r="211">
      <c r="K211" s="125"/>
    </row>
    <row r="212">
      <c r="K212" s="125"/>
    </row>
    <row r="213">
      <c r="K213" s="125"/>
    </row>
    <row r="214">
      <c r="K214" s="125"/>
    </row>
    <row r="215">
      <c r="K215" s="125"/>
    </row>
    <row r="216">
      <c r="K216" s="125"/>
    </row>
    <row r="217">
      <c r="K217" s="125"/>
    </row>
    <row r="218">
      <c r="K218" s="125"/>
    </row>
    <row r="219">
      <c r="K219" s="125"/>
    </row>
    <row r="220">
      <c r="K220" s="125"/>
    </row>
    <row r="221">
      <c r="K221" s="125"/>
    </row>
    <row r="222">
      <c r="K222" s="125"/>
    </row>
    <row r="223">
      <c r="K223" s="125"/>
    </row>
    <row r="224">
      <c r="K224" s="125"/>
    </row>
    <row r="225">
      <c r="K225" s="125"/>
    </row>
    <row r="226">
      <c r="K226" s="125"/>
    </row>
    <row r="227">
      <c r="K227" s="125"/>
    </row>
    <row r="228">
      <c r="K228" s="125"/>
    </row>
    <row r="229">
      <c r="K229" s="125"/>
    </row>
    <row r="230">
      <c r="K230" s="125"/>
    </row>
    <row r="231">
      <c r="K231" s="125"/>
    </row>
    <row r="232">
      <c r="K232" s="125"/>
    </row>
    <row r="233">
      <c r="K233" s="125"/>
    </row>
    <row r="234">
      <c r="K234" s="125"/>
    </row>
    <row r="235">
      <c r="K235" s="125"/>
    </row>
    <row r="236">
      <c r="K236" s="125"/>
    </row>
    <row r="237">
      <c r="K237" s="125"/>
    </row>
    <row r="238">
      <c r="K238" s="125"/>
    </row>
    <row r="239">
      <c r="K239" s="125"/>
    </row>
    <row r="240">
      <c r="K240" s="125"/>
    </row>
    <row r="241">
      <c r="K241" s="125"/>
    </row>
    <row r="242">
      <c r="K242" s="125"/>
    </row>
    <row r="243">
      <c r="K243" s="125"/>
    </row>
    <row r="244">
      <c r="K244" s="125"/>
    </row>
    <row r="245">
      <c r="K245" s="125"/>
    </row>
    <row r="246">
      <c r="K246" s="125"/>
    </row>
    <row r="247">
      <c r="K247" s="125"/>
    </row>
    <row r="248">
      <c r="K248" s="125"/>
    </row>
    <row r="249">
      <c r="K249" s="125"/>
    </row>
    <row r="250">
      <c r="K250" s="125"/>
    </row>
    <row r="251">
      <c r="K251" s="125"/>
    </row>
    <row r="252">
      <c r="K252" s="125"/>
    </row>
    <row r="253">
      <c r="K253" s="125"/>
    </row>
    <row r="254">
      <c r="K254" s="125"/>
    </row>
    <row r="255">
      <c r="K255" s="125"/>
    </row>
    <row r="256">
      <c r="K256" s="125"/>
    </row>
    <row r="257">
      <c r="K257" s="125"/>
    </row>
    <row r="258">
      <c r="K258" s="125"/>
    </row>
    <row r="259">
      <c r="K259" s="125"/>
    </row>
    <row r="260">
      <c r="K260" s="125"/>
    </row>
    <row r="261">
      <c r="K261" s="125"/>
    </row>
    <row r="262">
      <c r="K262" s="125"/>
    </row>
    <row r="263">
      <c r="K263" s="125"/>
    </row>
    <row r="264">
      <c r="K264" s="125"/>
    </row>
    <row r="265">
      <c r="K265" s="125"/>
    </row>
    <row r="266">
      <c r="K266" s="125"/>
    </row>
    <row r="267">
      <c r="K267" s="125"/>
    </row>
    <row r="268">
      <c r="K268" s="125"/>
    </row>
    <row r="269">
      <c r="K269" s="125"/>
    </row>
    <row r="270">
      <c r="K270" s="125"/>
    </row>
    <row r="271">
      <c r="K271" s="125"/>
    </row>
    <row r="272">
      <c r="K272" s="125"/>
    </row>
    <row r="273">
      <c r="K273" s="125"/>
    </row>
    <row r="274">
      <c r="K274" s="125"/>
    </row>
    <row r="275">
      <c r="K275" s="125"/>
    </row>
    <row r="276">
      <c r="K276" s="125"/>
    </row>
    <row r="277">
      <c r="K277" s="125"/>
    </row>
    <row r="278">
      <c r="K278" s="125"/>
    </row>
    <row r="279">
      <c r="K279" s="125"/>
    </row>
    <row r="280">
      <c r="K280" s="125"/>
    </row>
    <row r="281">
      <c r="K281" s="125"/>
    </row>
    <row r="282">
      <c r="K282" s="125"/>
    </row>
    <row r="283">
      <c r="K283" s="125"/>
    </row>
    <row r="284">
      <c r="K284" s="125"/>
    </row>
    <row r="285">
      <c r="K285" s="125"/>
    </row>
    <row r="286">
      <c r="K286" s="125"/>
    </row>
    <row r="287">
      <c r="K287" s="125"/>
    </row>
    <row r="288">
      <c r="K288" s="125"/>
    </row>
    <row r="289">
      <c r="K289" s="125"/>
    </row>
    <row r="290">
      <c r="K290" s="125"/>
    </row>
    <row r="291">
      <c r="K291" s="125"/>
    </row>
    <row r="292">
      <c r="K292" s="125"/>
    </row>
    <row r="293">
      <c r="K293" s="125"/>
    </row>
    <row r="294">
      <c r="K294" s="125"/>
    </row>
    <row r="295">
      <c r="K295" s="125"/>
    </row>
    <row r="296">
      <c r="K296" s="125"/>
    </row>
    <row r="297">
      <c r="K297" s="125"/>
    </row>
    <row r="298">
      <c r="K298" s="125"/>
    </row>
    <row r="299">
      <c r="K299" s="125"/>
    </row>
    <row r="300">
      <c r="K300" s="125"/>
    </row>
    <row r="301">
      <c r="K301" s="125"/>
    </row>
    <row r="302">
      <c r="K302" s="125"/>
    </row>
    <row r="303">
      <c r="K303" s="125"/>
    </row>
    <row r="304">
      <c r="K304" s="125"/>
    </row>
    <row r="305">
      <c r="K305" s="125"/>
    </row>
    <row r="306">
      <c r="K306" s="125"/>
    </row>
    <row r="307">
      <c r="K307" s="125"/>
    </row>
    <row r="308">
      <c r="K308" s="125"/>
    </row>
    <row r="309">
      <c r="K309" s="125"/>
    </row>
    <row r="310">
      <c r="K310" s="125"/>
    </row>
    <row r="311">
      <c r="K311" s="125"/>
    </row>
    <row r="312">
      <c r="K312" s="125"/>
    </row>
    <row r="313">
      <c r="K313" s="125"/>
    </row>
    <row r="314">
      <c r="K314" s="125"/>
    </row>
    <row r="315">
      <c r="K315" s="125"/>
    </row>
    <row r="316">
      <c r="K316" s="125"/>
    </row>
    <row r="317">
      <c r="K317" s="125"/>
    </row>
    <row r="318">
      <c r="K318" s="125"/>
    </row>
    <row r="319">
      <c r="K319" s="125"/>
    </row>
    <row r="320">
      <c r="K320" s="125"/>
    </row>
    <row r="321">
      <c r="K321" s="125"/>
    </row>
    <row r="322">
      <c r="K322" s="125"/>
    </row>
    <row r="323">
      <c r="K323" s="125"/>
    </row>
    <row r="324">
      <c r="K324" s="125"/>
    </row>
    <row r="325">
      <c r="K325" s="125"/>
    </row>
    <row r="326">
      <c r="K326" s="125"/>
    </row>
    <row r="327">
      <c r="K327" s="125"/>
    </row>
    <row r="328">
      <c r="K328" s="125"/>
    </row>
    <row r="329">
      <c r="K329" s="125"/>
    </row>
    <row r="330">
      <c r="K330" s="125"/>
    </row>
    <row r="331">
      <c r="K331" s="125"/>
    </row>
    <row r="332">
      <c r="K332" s="125"/>
    </row>
    <row r="333">
      <c r="K333" s="125"/>
    </row>
    <row r="334">
      <c r="K334" s="125"/>
    </row>
    <row r="335">
      <c r="K335" s="125"/>
    </row>
    <row r="336">
      <c r="K336" s="125"/>
    </row>
    <row r="337">
      <c r="K337" s="125"/>
    </row>
    <row r="338">
      <c r="K338" s="125"/>
    </row>
    <row r="339">
      <c r="K339" s="125"/>
    </row>
    <row r="340">
      <c r="K340" s="125"/>
    </row>
    <row r="341">
      <c r="K341" s="125"/>
    </row>
    <row r="342">
      <c r="K342" s="125"/>
    </row>
    <row r="343">
      <c r="K343" s="125"/>
    </row>
    <row r="344">
      <c r="K344" s="125"/>
    </row>
    <row r="345">
      <c r="K345" s="125"/>
    </row>
    <row r="346">
      <c r="K346" s="125"/>
    </row>
    <row r="347">
      <c r="K347" s="125"/>
    </row>
    <row r="348">
      <c r="K348" s="125"/>
    </row>
    <row r="349">
      <c r="K349" s="125"/>
    </row>
    <row r="350">
      <c r="K350" s="125"/>
    </row>
    <row r="351">
      <c r="K351" s="125"/>
    </row>
    <row r="352">
      <c r="K352" s="125"/>
    </row>
    <row r="353">
      <c r="K353" s="125"/>
    </row>
    <row r="354">
      <c r="K354" s="125"/>
    </row>
    <row r="355">
      <c r="K355" s="125"/>
    </row>
    <row r="356">
      <c r="K356" s="125"/>
    </row>
    <row r="357">
      <c r="K357" s="125"/>
    </row>
    <row r="358">
      <c r="K358" s="125"/>
    </row>
    <row r="359">
      <c r="K359" s="125"/>
    </row>
    <row r="360">
      <c r="K360" s="125"/>
    </row>
    <row r="361">
      <c r="K361" s="125"/>
    </row>
    <row r="362">
      <c r="K362" s="125"/>
    </row>
    <row r="363">
      <c r="K363" s="125"/>
    </row>
    <row r="364">
      <c r="K364" s="125"/>
    </row>
    <row r="365">
      <c r="K365" s="125"/>
    </row>
    <row r="366">
      <c r="K366" s="125"/>
    </row>
    <row r="367">
      <c r="K367" s="125"/>
    </row>
    <row r="368">
      <c r="K368" s="125"/>
    </row>
    <row r="369">
      <c r="K369" s="125"/>
    </row>
    <row r="370">
      <c r="K370" s="125"/>
    </row>
    <row r="371">
      <c r="K371" s="125"/>
    </row>
    <row r="372">
      <c r="K372" s="125"/>
    </row>
    <row r="373">
      <c r="K373" s="125"/>
    </row>
    <row r="374">
      <c r="K374" s="125"/>
    </row>
    <row r="375">
      <c r="K375" s="125"/>
    </row>
    <row r="376">
      <c r="K376" s="125"/>
    </row>
    <row r="377">
      <c r="K377" s="125"/>
    </row>
    <row r="378">
      <c r="K378" s="125"/>
    </row>
    <row r="379">
      <c r="K379" s="125"/>
    </row>
    <row r="380">
      <c r="K380" s="125"/>
    </row>
    <row r="381">
      <c r="K381" s="125"/>
    </row>
    <row r="382">
      <c r="K382" s="125"/>
    </row>
    <row r="383">
      <c r="K383" s="125"/>
    </row>
    <row r="384">
      <c r="K384" s="125"/>
    </row>
    <row r="385">
      <c r="K385" s="125"/>
    </row>
    <row r="386">
      <c r="K386" s="125"/>
    </row>
    <row r="387">
      <c r="K387" s="125"/>
    </row>
    <row r="388">
      <c r="K388" s="125"/>
    </row>
    <row r="389">
      <c r="K389" s="125"/>
    </row>
    <row r="390">
      <c r="K390" s="125"/>
    </row>
    <row r="391">
      <c r="K391" s="125"/>
    </row>
    <row r="392">
      <c r="K392" s="125"/>
    </row>
    <row r="393">
      <c r="K393" s="125"/>
    </row>
    <row r="394">
      <c r="K394" s="125"/>
    </row>
    <row r="395">
      <c r="K395" s="125"/>
    </row>
    <row r="396">
      <c r="K396" s="125"/>
    </row>
    <row r="397">
      <c r="K397" s="125"/>
    </row>
    <row r="398">
      <c r="K398" s="125"/>
    </row>
    <row r="399">
      <c r="K399" s="125"/>
    </row>
    <row r="400">
      <c r="K400" s="125"/>
    </row>
    <row r="401">
      <c r="K401" s="125"/>
    </row>
    <row r="402">
      <c r="K402" s="125"/>
    </row>
    <row r="403">
      <c r="K403" s="125"/>
    </row>
    <row r="404">
      <c r="K404" s="125"/>
    </row>
    <row r="405">
      <c r="K405" s="125"/>
    </row>
    <row r="406">
      <c r="K406" s="125"/>
    </row>
    <row r="407">
      <c r="K407" s="125"/>
    </row>
    <row r="408">
      <c r="K408" s="125"/>
    </row>
    <row r="409">
      <c r="K409" s="125"/>
    </row>
    <row r="410">
      <c r="K410" s="125"/>
    </row>
    <row r="411">
      <c r="K411" s="125"/>
    </row>
    <row r="412">
      <c r="K412" s="125"/>
    </row>
    <row r="413">
      <c r="K413" s="125"/>
    </row>
    <row r="414">
      <c r="K414" s="125"/>
    </row>
    <row r="415">
      <c r="K415" s="125"/>
    </row>
    <row r="416">
      <c r="K416" s="125"/>
    </row>
    <row r="417">
      <c r="K417" s="125"/>
    </row>
    <row r="418">
      <c r="K418" s="125"/>
    </row>
    <row r="419">
      <c r="K419" s="125"/>
    </row>
    <row r="420">
      <c r="K420" s="125"/>
    </row>
    <row r="421">
      <c r="K421" s="125"/>
    </row>
    <row r="422">
      <c r="K422" s="125"/>
    </row>
    <row r="423">
      <c r="K423" s="125"/>
    </row>
    <row r="424">
      <c r="K424" s="125"/>
    </row>
    <row r="425">
      <c r="K425" s="125"/>
    </row>
    <row r="426">
      <c r="K426" s="125"/>
    </row>
    <row r="427">
      <c r="K427" s="125"/>
    </row>
    <row r="428">
      <c r="K428" s="125"/>
    </row>
    <row r="429">
      <c r="K429" s="125"/>
    </row>
    <row r="430">
      <c r="K430" s="125"/>
    </row>
    <row r="431">
      <c r="K431" s="125"/>
    </row>
    <row r="432">
      <c r="K432" s="125"/>
    </row>
    <row r="433">
      <c r="K433" s="125"/>
    </row>
    <row r="434">
      <c r="K434" s="125"/>
    </row>
    <row r="435">
      <c r="K435" s="125"/>
    </row>
    <row r="436">
      <c r="K436" s="125"/>
    </row>
    <row r="437">
      <c r="K437" s="125"/>
    </row>
    <row r="438">
      <c r="K438" s="125"/>
    </row>
    <row r="439">
      <c r="K439" s="125"/>
    </row>
    <row r="440">
      <c r="K440" s="125"/>
    </row>
    <row r="441">
      <c r="K441" s="125"/>
    </row>
    <row r="442">
      <c r="K442" s="125"/>
    </row>
    <row r="443">
      <c r="K443" s="125"/>
    </row>
    <row r="444">
      <c r="K444" s="125"/>
    </row>
    <row r="445">
      <c r="K445" s="125"/>
    </row>
    <row r="446">
      <c r="K446" s="125"/>
    </row>
    <row r="447">
      <c r="K447" s="125"/>
    </row>
    <row r="448">
      <c r="K448" s="125"/>
    </row>
    <row r="449">
      <c r="K449" s="125"/>
    </row>
    <row r="450">
      <c r="K450" s="125"/>
    </row>
    <row r="451">
      <c r="K451" s="125"/>
    </row>
    <row r="452">
      <c r="K452" s="125"/>
    </row>
    <row r="453">
      <c r="K453" s="125"/>
    </row>
    <row r="454">
      <c r="K454" s="125"/>
    </row>
    <row r="455">
      <c r="K455" s="125"/>
    </row>
    <row r="456">
      <c r="K456" s="125"/>
    </row>
    <row r="457">
      <c r="K457" s="125"/>
    </row>
    <row r="458">
      <c r="K458" s="125"/>
    </row>
    <row r="459">
      <c r="K459" s="125"/>
    </row>
    <row r="460">
      <c r="K460" s="125"/>
    </row>
    <row r="461">
      <c r="K461" s="125"/>
    </row>
    <row r="462">
      <c r="K462" s="125"/>
    </row>
    <row r="463">
      <c r="K463" s="125"/>
    </row>
    <row r="464">
      <c r="K464" s="125"/>
    </row>
    <row r="465">
      <c r="K465" s="125"/>
    </row>
    <row r="466">
      <c r="K466" s="125"/>
    </row>
    <row r="467">
      <c r="K467" s="125"/>
    </row>
    <row r="468">
      <c r="K468" s="125"/>
    </row>
    <row r="469">
      <c r="K469" s="125"/>
    </row>
    <row r="470">
      <c r="K470" s="125"/>
    </row>
    <row r="471">
      <c r="K471" s="125"/>
    </row>
    <row r="472">
      <c r="K472" s="125"/>
    </row>
    <row r="473">
      <c r="K473" s="125"/>
    </row>
    <row r="474">
      <c r="K474" s="125"/>
    </row>
    <row r="475">
      <c r="K475" s="125"/>
    </row>
    <row r="476">
      <c r="K476" s="125"/>
    </row>
    <row r="477">
      <c r="K477" s="125"/>
    </row>
    <row r="478">
      <c r="K478" s="125"/>
    </row>
    <row r="479">
      <c r="K479" s="125"/>
    </row>
    <row r="480">
      <c r="K480" s="125"/>
    </row>
    <row r="481">
      <c r="K481" s="125"/>
    </row>
    <row r="482">
      <c r="K482" s="125"/>
    </row>
    <row r="483">
      <c r="K483" s="125"/>
    </row>
    <row r="484">
      <c r="K484" s="125"/>
    </row>
    <row r="485">
      <c r="K485" s="125"/>
    </row>
    <row r="486">
      <c r="K486" s="125"/>
    </row>
    <row r="487">
      <c r="K487" s="125"/>
    </row>
    <row r="488">
      <c r="K488" s="125"/>
    </row>
    <row r="489">
      <c r="K489" s="125"/>
    </row>
    <row r="490">
      <c r="K490" s="125"/>
    </row>
    <row r="491">
      <c r="K491" s="125"/>
    </row>
    <row r="492">
      <c r="K492" s="125"/>
    </row>
    <row r="493">
      <c r="K493" s="125"/>
    </row>
    <row r="494">
      <c r="K494" s="125"/>
    </row>
    <row r="495">
      <c r="K495" s="125"/>
    </row>
    <row r="496">
      <c r="K496" s="125"/>
    </row>
    <row r="497">
      <c r="K497" s="125"/>
    </row>
    <row r="498">
      <c r="K498" s="125"/>
    </row>
    <row r="499">
      <c r="K499" s="125"/>
    </row>
    <row r="500">
      <c r="K500" s="125"/>
    </row>
    <row r="501">
      <c r="K501" s="125"/>
    </row>
    <row r="502">
      <c r="K502" s="125"/>
    </row>
    <row r="503">
      <c r="K503" s="125"/>
    </row>
    <row r="504">
      <c r="K504" s="125"/>
    </row>
    <row r="505">
      <c r="K505" s="125"/>
    </row>
    <row r="506">
      <c r="K506" s="125"/>
    </row>
    <row r="507">
      <c r="K507" s="125"/>
    </row>
    <row r="508">
      <c r="K508" s="125"/>
    </row>
    <row r="509">
      <c r="K509" s="125"/>
    </row>
    <row r="510">
      <c r="K510" s="125"/>
    </row>
    <row r="511">
      <c r="K511" s="125"/>
    </row>
    <row r="512">
      <c r="K512" s="125"/>
    </row>
    <row r="513">
      <c r="K513" s="125"/>
    </row>
    <row r="514">
      <c r="K514" s="125"/>
    </row>
    <row r="515">
      <c r="K515" s="125"/>
    </row>
    <row r="516">
      <c r="K516" s="125"/>
    </row>
    <row r="517">
      <c r="K517" s="125"/>
    </row>
    <row r="518">
      <c r="K518" s="125"/>
    </row>
    <row r="519">
      <c r="K519" s="125"/>
    </row>
    <row r="520">
      <c r="K520" s="125"/>
    </row>
    <row r="521">
      <c r="K521" s="125"/>
    </row>
    <row r="522">
      <c r="K522" s="125"/>
    </row>
    <row r="523">
      <c r="K523" s="125"/>
    </row>
    <row r="524">
      <c r="K524" s="125"/>
    </row>
    <row r="525">
      <c r="K525" s="125"/>
    </row>
    <row r="526">
      <c r="K526" s="125"/>
    </row>
    <row r="527">
      <c r="K527" s="125"/>
    </row>
    <row r="528">
      <c r="K528" s="125"/>
    </row>
    <row r="529">
      <c r="K529" s="125"/>
    </row>
    <row r="530">
      <c r="K530" s="125"/>
    </row>
    <row r="531">
      <c r="K531" s="125"/>
    </row>
    <row r="532">
      <c r="K532" s="125"/>
    </row>
    <row r="533">
      <c r="K533" s="125"/>
    </row>
    <row r="534">
      <c r="K534" s="125"/>
    </row>
    <row r="535">
      <c r="K535" s="125"/>
    </row>
    <row r="536">
      <c r="K536" s="125"/>
    </row>
    <row r="537">
      <c r="K537" s="125"/>
    </row>
    <row r="538">
      <c r="K538" s="125"/>
    </row>
    <row r="539">
      <c r="K539" s="125"/>
    </row>
    <row r="540">
      <c r="K540" s="125"/>
    </row>
    <row r="541">
      <c r="K541" s="125"/>
    </row>
    <row r="542">
      <c r="K542" s="125"/>
    </row>
    <row r="543">
      <c r="K543" s="125"/>
    </row>
    <row r="544">
      <c r="K544" s="125"/>
    </row>
    <row r="545">
      <c r="K545" s="125"/>
    </row>
    <row r="546">
      <c r="K546" s="125"/>
    </row>
    <row r="547">
      <c r="K547" s="125"/>
    </row>
    <row r="548">
      <c r="K548" s="125"/>
    </row>
    <row r="549">
      <c r="K549" s="125"/>
    </row>
    <row r="550">
      <c r="K550" s="125"/>
    </row>
    <row r="551">
      <c r="K551" s="125"/>
    </row>
    <row r="552">
      <c r="K552" s="125"/>
    </row>
    <row r="553">
      <c r="K553" s="125"/>
    </row>
    <row r="554">
      <c r="K554" s="125"/>
    </row>
    <row r="555">
      <c r="K555" s="125"/>
    </row>
    <row r="556">
      <c r="K556" s="125"/>
    </row>
    <row r="557">
      <c r="K557" s="125"/>
    </row>
    <row r="558">
      <c r="K558" s="125"/>
    </row>
    <row r="559">
      <c r="K559" s="125"/>
    </row>
    <row r="560">
      <c r="K560" s="125"/>
    </row>
    <row r="561">
      <c r="K561" s="125"/>
    </row>
    <row r="562">
      <c r="K562" s="125"/>
    </row>
    <row r="563">
      <c r="K563" s="125"/>
    </row>
    <row r="564">
      <c r="K564" s="125"/>
    </row>
    <row r="565">
      <c r="K565" s="125"/>
    </row>
    <row r="566">
      <c r="K566" s="125"/>
    </row>
    <row r="567">
      <c r="K567" s="125"/>
    </row>
    <row r="568">
      <c r="K568" s="125"/>
    </row>
    <row r="569">
      <c r="K569" s="125"/>
    </row>
    <row r="570">
      <c r="K570" s="125"/>
    </row>
    <row r="571">
      <c r="K571" s="125"/>
    </row>
    <row r="572">
      <c r="K572" s="125"/>
    </row>
    <row r="573">
      <c r="K573" s="125"/>
    </row>
    <row r="574">
      <c r="K574" s="125"/>
    </row>
    <row r="575">
      <c r="K575" s="125"/>
    </row>
    <row r="576">
      <c r="K576" s="125"/>
    </row>
    <row r="577">
      <c r="K577" s="125"/>
    </row>
    <row r="578">
      <c r="K578" s="125"/>
    </row>
    <row r="579">
      <c r="K579" s="125"/>
    </row>
    <row r="580">
      <c r="K580" s="125"/>
    </row>
    <row r="581">
      <c r="K581" s="125"/>
    </row>
    <row r="582">
      <c r="K582" s="125"/>
    </row>
    <row r="583">
      <c r="K583" s="125"/>
    </row>
    <row r="584">
      <c r="K584" s="125"/>
    </row>
    <row r="585">
      <c r="K585" s="125"/>
    </row>
    <row r="586">
      <c r="K586" s="125"/>
    </row>
    <row r="587">
      <c r="K587" s="125"/>
    </row>
    <row r="588">
      <c r="K588" s="125"/>
    </row>
    <row r="589">
      <c r="K589" s="125"/>
    </row>
    <row r="590">
      <c r="K590" s="125"/>
    </row>
    <row r="591">
      <c r="K591" s="125"/>
    </row>
    <row r="592">
      <c r="K592" s="125"/>
    </row>
    <row r="593">
      <c r="K593" s="125"/>
    </row>
    <row r="594">
      <c r="K594" s="125"/>
    </row>
    <row r="595">
      <c r="K595" s="125"/>
    </row>
    <row r="596">
      <c r="K596" s="125"/>
    </row>
    <row r="597">
      <c r="K597" s="125"/>
    </row>
    <row r="598">
      <c r="K598" s="125"/>
    </row>
    <row r="599">
      <c r="K599" s="125"/>
    </row>
    <row r="600">
      <c r="K600" s="125"/>
    </row>
    <row r="601">
      <c r="K601" s="125"/>
    </row>
    <row r="602">
      <c r="K602" s="125"/>
    </row>
    <row r="603">
      <c r="K603" s="125"/>
    </row>
    <row r="604">
      <c r="K604" s="125"/>
    </row>
    <row r="605">
      <c r="K605" s="125"/>
    </row>
    <row r="606">
      <c r="K606" s="125"/>
    </row>
    <row r="607">
      <c r="K607" s="125"/>
    </row>
    <row r="608">
      <c r="K608" s="125"/>
    </row>
    <row r="609">
      <c r="K609" s="125"/>
    </row>
    <row r="610">
      <c r="K610" s="125"/>
    </row>
    <row r="611">
      <c r="K611" s="125"/>
    </row>
    <row r="612">
      <c r="K612" s="125"/>
    </row>
    <row r="613">
      <c r="K613" s="125"/>
    </row>
    <row r="614">
      <c r="K614" s="125"/>
    </row>
    <row r="615">
      <c r="K615" s="125"/>
    </row>
    <row r="616">
      <c r="K616" s="125"/>
    </row>
    <row r="617">
      <c r="K617" s="125"/>
    </row>
    <row r="618">
      <c r="K618" s="125"/>
    </row>
    <row r="619">
      <c r="K619" s="125"/>
    </row>
    <row r="620">
      <c r="K620" s="125"/>
    </row>
    <row r="621">
      <c r="K621" s="125"/>
    </row>
    <row r="622">
      <c r="K622" s="125"/>
    </row>
    <row r="623">
      <c r="K623" s="125"/>
    </row>
    <row r="624">
      <c r="K624" s="125"/>
    </row>
    <row r="625">
      <c r="K625" s="125"/>
    </row>
    <row r="626">
      <c r="K626" s="125"/>
    </row>
    <row r="627">
      <c r="K627" s="125"/>
    </row>
    <row r="628">
      <c r="K628" s="125"/>
    </row>
    <row r="629">
      <c r="K629" s="125"/>
    </row>
    <row r="630">
      <c r="K630" s="125"/>
    </row>
    <row r="631">
      <c r="K631" s="125"/>
    </row>
    <row r="632">
      <c r="K632" s="125"/>
    </row>
    <row r="633">
      <c r="K633" s="125"/>
    </row>
    <row r="634">
      <c r="K634" s="125"/>
    </row>
    <row r="635">
      <c r="K635" s="125"/>
    </row>
    <row r="636">
      <c r="K636" s="125"/>
    </row>
    <row r="637">
      <c r="K637" s="125"/>
    </row>
    <row r="638">
      <c r="K638" s="125"/>
    </row>
    <row r="639">
      <c r="K639" s="125"/>
    </row>
    <row r="640">
      <c r="K640" s="125"/>
    </row>
    <row r="641">
      <c r="K641" s="125"/>
    </row>
    <row r="642">
      <c r="K642" s="125"/>
    </row>
    <row r="643">
      <c r="K643" s="125"/>
    </row>
    <row r="644">
      <c r="K644" s="125"/>
    </row>
    <row r="645">
      <c r="K645" s="125"/>
    </row>
    <row r="646">
      <c r="K646" s="125"/>
    </row>
    <row r="647">
      <c r="K647" s="125"/>
    </row>
    <row r="648">
      <c r="K648" s="125"/>
    </row>
    <row r="649">
      <c r="K649" s="125"/>
    </row>
    <row r="650">
      <c r="K650" s="125"/>
    </row>
    <row r="651">
      <c r="K651" s="125"/>
    </row>
    <row r="652">
      <c r="K652" s="125"/>
    </row>
    <row r="653">
      <c r="K653" s="125"/>
    </row>
    <row r="654">
      <c r="K654" s="125"/>
    </row>
    <row r="655">
      <c r="K655" s="125"/>
    </row>
    <row r="656">
      <c r="K656" s="125"/>
    </row>
    <row r="657">
      <c r="K657" s="125"/>
    </row>
    <row r="658">
      <c r="K658" s="125"/>
    </row>
    <row r="659">
      <c r="K659" s="125"/>
    </row>
    <row r="660">
      <c r="K660" s="125"/>
    </row>
    <row r="661">
      <c r="K661" s="125"/>
    </row>
    <row r="662">
      <c r="K662" s="125"/>
    </row>
    <row r="663">
      <c r="K663" s="125"/>
    </row>
    <row r="664">
      <c r="K664" s="125"/>
    </row>
    <row r="665">
      <c r="K665" s="125"/>
    </row>
    <row r="666">
      <c r="K666" s="125"/>
    </row>
    <row r="667">
      <c r="K667" s="125"/>
    </row>
    <row r="668">
      <c r="K668" s="125"/>
    </row>
    <row r="669">
      <c r="K669" s="125"/>
    </row>
    <row r="670">
      <c r="K670" s="125"/>
    </row>
    <row r="671">
      <c r="K671" s="125"/>
    </row>
    <row r="672">
      <c r="K672" s="125"/>
    </row>
    <row r="673">
      <c r="K673" s="125"/>
    </row>
    <row r="674">
      <c r="K674" s="125"/>
    </row>
    <row r="675">
      <c r="K675" s="125"/>
    </row>
    <row r="676">
      <c r="K676" s="125"/>
    </row>
    <row r="677">
      <c r="K677" s="125"/>
    </row>
    <row r="678">
      <c r="K678" s="125"/>
    </row>
    <row r="679">
      <c r="K679" s="125"/>
    </row>
    <row r="680">
      <c r="K680" s="125"/>
    </row>
    <row r="681">
      <c r="K681" s="125"/>
    </row>
    <row r="682">
      <c r="K682" s="125"/>
    </row>
    <row r="683">
      <c r="K683" s="125"/>
    </row>
    <row r="684">
      <c r="K684" s="125"/>
    </row>
    <row r="685">
      <c r="K685" s="125"/>
    </row>
    <row r="686">
      <c r="K686" s="125"/>
    </row>
    <row r="687">
      <c r="K687" s="125"/>
    </row>
    <row r="688">
      <c r="K688" s="125"/>
    </row>
    <row r="689">
      <c r="K689" s="125"/>
    </row>
    <row r="690">
      <c r="K690" s="125"/>
    </row>
    <row r="691">
      <c r="K691" s="125"/>
    </row>
    <row r="692">
      <c r="K692" s="125"/>
    </row>
    <row r="693">
      <c r="K693" s="125"/>
    </row>
    <row r="694">
      <c r="K694" s="125"/>
    </row>
    <row r="695">
      <c r="K695" s="125"/>
    </row>
    <row r="696">
      <c r="K696" s="125"/>
    </row>
    <row r="697">
      <c r="K697" s="125"/>
    </row>
    <row r="698">
      <c r="K698" s="125"/>
    </row>
    <row r="699">
      <c r="K699" s="125"/>
    </row>
    <row r="700">
      <c r="K700" s="125"/>
    </row>
    <row r="701">
      <c r="K701" s="125"/>
    </row>
    <row r="702">
      <c r="K702" s="125"/>
    </row>
    <row r="703">
      <c r="K703" s="125"/>
    </row>
    <row r="704">
      <c r="K704" s="125"/>
    </row>
    <row r="705">
      <c r="K705" s="125"/>
    </row>
    <row r="706">
      <c r="K706" s="125"/>
    </row>
    <row r="707">
      <c r="K707" s="125"/>
    </row>
    <row r="708">
      <c r="K708" s="125"/>
    </row>
    <row r="709">
      <c r="K709" s="125"/>
    </row>
    <row r="710">
      <c r="K710" s="125"/>
    </row>
    <row r="711">
      <c r="K711" s="125"/>
    </row>
    <row r="712">
      <c r="K712" s="125"/>
    </row>
    <row r="713">
      <c r="K713" s="125"/>
    </row>
    <row r="714">
      <c r="K714" s="125"/>
    </row>
    <row r="715">
      <c r="K715" s="125"/>
    </row>
    <row r="716">
      <c r="K716" s="125"/>
    </row>
    <row r="717">
      <c r="K717" s="125"/>
    </row>
    <row r="718">
      <c r="K718" s="125"/>
    </row>
    <row r="719">
      <c r="K719" s="125"/>
    </row>
    <row r="720">
      <c r="K720" s="125"/>
    </row>
    <row r="721">
      <c r="K721" s="125"/>
    </row>
    <row r="722">
      <c r="K722" s="125"/>
    </row>
    <row r="723">
      <c r="K723" s="125"/>
    </row>
    <row r="724">
      <c r="K724" s="125"/>
    </row>
    <row r="725">
      <c r="K725" s="125"/>
    </row>
    <row r="726">
      <c r="K726" s="125"/>
    </row>
    <row r="727">
      <c r="K727" s="125"/>
    </row>
    <row r="728">
      <c r="K728" s="125"/>
    </row>
    <row r="729">
      <c r="K729" s="125"/>
    </row>
    <row r="730">
      <c r="K730" s="125"/>
    </row>
    <row r="731">
      <c r="K731" s="125"/>
    </row>
    <row r="732">
      <c r="K732" s="125"/>
    </row>
    <row r="733">
      <c r="K733" s="125"/>
    </row>
    <row r="734">
      <c r="K734" s="125"/>
    </row>
    <row r="735">
      <c r="K735" s="125"/>
    </row>
    <row r="736">
      <c r="K736" s="125"/>
    </row>
    <row r="737">
      <c r="K737" s="125"/>
    </row>
    <row r="738">
      <c r="K738" s="125"/>
    </row>
    <row r="739">
      <c r="K739" s="125"/>
    </row>
    <row r="740">
      <c r="K740" s="125"/>
    </row>
    <row r="741">
      <c r="K741" s="125"/>
    </row>
    <row r="742">
      <c r="K742" s="125"/>
    </row>
    <row r="743">
      <c r="K743" s="125"/>
    </row>
    <row r="744">
      <c r="K744" s="125"/>
    </row>
    <row r="745">
      <c r="K745" s="125"/>
    </row>
    <row r="746">
      <c r="K746" s="125"/>
    </row>
    <row r="747">
      <c r="K747" s="125"/>
    </row>
    <row r="748">
      <c r="K748" s="125"/>
    </row>
    <row r="749">
      <c r="K749" s="125"/>
    </row>
    <row r="750">
      <c r="K750" s="125"/>
    </row>
    <row r="751">
      <c r="K751" s="125"/>
    </row>
    <row r="752">
      <c r="K752" s="125"/>
    </row>
    <row r="753">
      <c r="K753" s="125"/>
    </row>
    <row r="754">
      <c r="K754" s="125"/>
    </row>
    <row r="755">
      <c r="K755" s="125"/>
    </row>
    <row r="756">
      <c r="K756" s="125"/>
    </row>
    <row r="757">
      <c r="K757" s="125"/>
    </row>
    <row r="758">
      <c r="K758" s="125"/>
    </row>
    <row r="759">
      <c r="K759" s="125"/>
    </row>
    <row r="760">
      <c r="K760" s="125"/>
    </row>
    <row r="761">
      <c r="K761" s="125"/>
    </row>
    <row r="762">
      <c r="K762" s="125"/>
    </row>
    <row r="763">
      <c r="K763" s="125"/>
    </row>
    <row r="764">
      <c r="K764" s="125"/>
    </row>
    <row r="765">
      <c r="K765" s="125"/>
    </row>
    <row r="766">
      <c r="K766" s="125"/>
    </row>
    <row r="767">
      <c r="K767" s="125"/>
    </row>
    <row r="768">
      <c r="K768" s="125"/>
    </row>
    <row r="769">
      <c r="K769" s="125"/>
    </row>
    <row r="770">
      <c r="K770" s="125"/>
    </row>
    <row r="771">
      <c r="K771" s="125"/>
    </row>
    <row r="772">
      <c r="K772" s="125"/>
    </row>
    <row r="773">
      <c r="K773" s="125"/>
    </row>
    <row r="774">
      <c r="K774" s="125"/>
    </row>
    <row r="775">
      <c r="K775" s="125"/>
    </row>
    <row r="776">
      <c r="K776" s="125"/>
    </row>
    <row r="777">
      <c r="K777" s="125"/>
    </row>
    <row r="778">
      <c r="K778" s="125"/>
    </row>
    <row r="779">
      <c r="K779" s="125"/>
    </row>
    <row r="780">
      <c r="K780" s="125"/>
    </row>
    <row r="781">
      <c r="K781" s="125"/>
    </row>
    <row r="782">
      <c r="K782" s="125"/>
    </row>
    <row r="783">
      <c r="K783" s="125"/>
    </row>
    <row r="784">
      <c r="K784" s="125"/>
    </row>
    <row r="785">
      <c r="K785" s="125"/>
    </row>
    <row r="786">
      <c r="K786" s="125"/>
    </row>
    <row r="787">
      <c r="K787" s="125"/>
    </row>
    <row r="788">
      <c r="K788" s="125"/>
    </row>
    <row r="789">
      <c r="K789" s="125"/>
    </row>
    <row r="790">
      <c r="K790" s="125"/>
    </row>
    <row r="791">
      <c r="K791" s="125"/>
    </row>
    <row r="792">
      <c r="K792" s="125"/>
    </row>
    <row r="793">
      <c r="K793" s="125"/>
    </row>
    <row r="794">
      <c r="K794" s="125"/>
    </row>
    <row r="795">
      <c r="K795" s="125"/>
    </row>
    <row r="796">
      <c r="K796" s="125"/>
    </row>
    <row r="797">
      <c r="K797" s="125"/>
    </row>
    <row r="798">
      <c r="K798" s="125"/>
    </row>
    <row r="799">
      <c r="K799" s="125"/>
    </row>
    <row r="800">
      <c r="K800" s="125"/>
    </row>
    <row r="801">
      <c r="K801" s="125"/>
    </row>
    <row r="802">
      <c r="K802" s="125"/>
    </row>
    <row r="803">
      <c r="K803" s="125"/>
    </row>
    <row r="804">
      <c r="K804" s="125"/>
    </row>
    <row r="805">
      <c r="K805" s="125"/>
    </row>
    <row r="806">
      <c r="K806" s="125"/>
    </row>
    <row r="807">
      <c r="K807" s="125"/>
    </row>
    <row r="808">
      <c r="K808" s="125"/>
    </row>
    <row r="809">
      <c r="K809" s="125"/>
    </row>
    <row r="810">
      <c r="K810" s="125"/>
    </row>
    <row r="811">
      <c r="K811" s="125"/>
    </row>
    <row r="812">
      <c r="K812" s="125"/>
    </row>
    <row r="813">
      <c r="K813" s="125"/>
    </row>
    <row r="814">
      <c r="K814" s="125"/>
    </row>
    <row r="815">
      <c r="K815" s="125"/>
    </row>
    <row r="816">
      <c r="K816" s="125"/>
    </row>
    <row r="817">
      <c r="K817" s="125"/>
    </row>
    <row r="818">
      <c r="K818" s="125"/>
    </row>
    <row r="819">
      <c r="K819" s="125"/>
    </row>
    <row r="820">
      <c r="K820" s="125"/>
    </row>
    <row r="821">
      <c r="K821" s="125"/>
    </row>
    <row r="822">
      <c r="K822" s="125"/>
    </row>
    <row r="823">
      <c r="K823" s="125"/>
    </row>
    <row r="824">
      <c r="K824" s="125"/>
    </row>
    <row r="825">
      <c r="K825" s="125"/>
    </row>
    <row r="826">
      <c r="K826" s="125"/>
    </row>
    <row r="827">
      <c r="K827" s="125"/>
    </row>
    <row r="828">
      <c r="K828" s="125"/>
    </row>
    <row r="829">
      <c r="K829" s="125"/>
    </row>
    <row r="830">
      <c r="K830" s="125"/>
    </row>
    <row r="831">
      <c r="K831" s="125"/>
    </row>
    <row r="832">
      <c r="K832" s="125"/>
    </row>
    <row r="833">
      <c r="K833" s="125"/>
    </row>
    <row r="834">
      <c r="K834" s="125"/>
    </row>
    <row r="835">
      <c r="K835" s="125"/>
    </row>
    <row r="836">
      <c r="K836" s="125"/>
    </row>
    <row r="837">
      <c r="K837" s="125"/>
    </row>
    <row r="838">
      <c r="K838" s="125"/>
    </row>
    <row r="839">
      <c r="K839" s="125"/>
    </row>
    <row r="840">
      <c r="K840" s="125"/>
    </row>
    <row r="841">
      <c r="K841" s="125"/>
    </row>
    <row r="842">
      <c r="K842" s="125"/>
    </row>
    <row r="843">
      <c r="K843" s="125"/>
    </row>
    <row r="844">
      <c r="K844" s="125"/>
    </row>
    <row r="845">
      <c r="K845" s="125"/>
    </row>
    <row r="846">
      <c r="K846" s="125"/>
    </row>
    <row r="847">
      <c r="K847" s="125"/>
    </row>
    <row r="848">
      <c r="K848" s="125"/>
    </row>
    <row r="849">
      <c r="K849" s="125"/>
    </row>
    <row r="850">
      <c r="K850" s="125"/>
    </row>
    <row r="851">
      <c r="K851" s="125"/>
    </row>
    <row r="852">
      <c r="K852" s="125"/>
    </row>
    <row r="853">
      <c r="K853" s="125"/>
    </row>
    <row r="854">
      <c r="K854" s="125"/>
    </row>
    <row r="855">
      <c r="K855" s="125"/>
    </row>
    <row r="856">
      <c r="K856" s="125"/>
    </row>
    <row r="857">
      <c r="K857" s="125"/>
    </row>
    <row r="858">
      <c r="K858" s="125"/>
    </row>
    <row r="859">
      <c r="K859" s="125"/>
    </row>
    <row r="860">
      <c r="K860" s="125"/>
    </row>
    <row r="861">
      <c r="K861" s="125"/>
    </row>
    <row r="862">
      <c r="K862" s="125"/>
    </row>
    <row r="863">
      <c r="K863" s="125"/>
    </row>
    <row r="864">
      <c r="K864" s="125"/>
    </row>
    <row r="865">
      <c r="K865" s="125"/>
    </row>
    <row r="866">
      <c r="K866" s="125"/>
    </row>
    <row r="867">
      <c r="K867" s="125"/>
    </row>
    <row r="868">
      <c r="K868" s="125"/>
    </row>
    <row r="869">
      <c r="K869" s="125"/>
    </row>
    <row r="870">
      <c r="K870" s="125"/>
    </row>
    <row r="871">
      <c r="K871" s="125"/>
    </row>
    <row r="872">
      <c r="K872" s="125"/>
    </row>
    <row r="873">
      <c r="K873" s="125"/>
    </row>
    <row r="874">
      <c r="K874" s="125"/>
    </row>
    <row r="875">
      <c r="K875" s="125"/>
    </row>
    <row r="876">
      <c r="K876" s="125"/>
    </row>
    <row r="877">
      <c r="K877" s="125"/>
    </row>
    <row r="878">
      <c r="K878" s="125"/>
    </row>
    <row r="879">
      <c r="K879" s="125"/>
    </row>
    <row r="880">
      <c r="K880" s="125"/>
    </row>
    <row r="881">
      <c r="K881" s="125"/>
    </row>
    <row r="882">
      <c r="K882" s="125"/>
    </row>
    <row r="883">
      <c r="K883" s="125"/>
    </row>
    <row r="884">
      <c r="K884" s="125"/>
    </row>
    <row r="885">
      <c r="K885" s="125"/>
    </row>
    <row r="886">
      <c r="K886" s="125"/>
    </row>
    <row r="887">
      <c r="K887" s="125"/>
    </row>
    <row r="888">
      <c r="K888" s="125"/>
    </row>
    <row r="889">
      <c r="K889" s="125"/>
    </row>
    <row r="890">
      <c r="K890" s="125"/>
    </row>
    <row r="891">
      <c r="K891" s="125"/>
    </row>
    <row r="892">
      <c r="K892" s="125"/>
    </row>
    <row r="893">
      <c r="K893" s="125"/>
    </row>
    <row r="894">
      <c r="K894" s="125"/>
    </row>
    <row r="895">
      <c r="K895" s="125"/>
    </row>
    <row r="896">
      <c r="K896" s="125"/>
    </row>
    <row r="897">
      <c r="K897" s="125"/>
    </row>
    <row r="898">
      <c r="K898" s="125"/>
    </row>
    <row r="899">
      <c r="K899" s="125"/>
    </row>
    <row r="900">
      <c r="K900" s="125"/>
    </row>
    <row r="901">
      <c r="K901" s="125"/>
    </row>
    <row r="902">
      <c r="K902" s="125"/>
    </row>
    <row r="903">
      <c r="K903" s="125"/>
    </row>
    <row r="904">
      <c r="K904" s="125"/>
    </row>
    <row r="905">
      <c r="K905" s="125"/>
    </row>
    <row r="906">
      <c r="K906" s="125"/>
    </row>
    <row r="907">
      <c r="K907" s="125"/>
    </row>
    <row r="908">
      <c r="K908" s="125"/>
    </row>
    <row r="909">
      <c r="K909" s="125"/>
    </row>
    <row r="910">
      <c r="K910" s="125"/>
    </row>
    <row r="911">
      <c r="K911" s="125"/>
    </row>
    <row r="912">
      <c r="K912" s="125"/>
    </row>
    <row r="913">
      <c r="K913" s="125"/>
    </row>
    <row r="914">
      <c r="K914" s="125"/>
    </row>
    <row r="915">
      <c r="K915" s="125"/>
    </row>
    <row r="916">
      <c r="K916" s="125"/>
    </row>
    <row r="917">
      <c r="K917" s="125"/>
    </row>
    <row r="918">
      <c r="K918" s="125"/>
    </row>
    <row r="919">
      <c r="K919" s="125"/>
    </row>
    <row r="920">
      <c r="K920" s="125"/>
    </row>
    <row r="921">
      <c r="K921" s="125"/>
    </row>
    <row r="922">
      <c r="K922" s="125"/>
    </row>
    <row r="923">
      <c r="K923" s="125"/>
    </row>
    <row r="924">
      <c r="K924" s="125"/>
    </row>
    <row r="925">
      <c r="K925" s="125"/>
    </row>
    <row r="926">
      <c r="K926" s="125"/>
    </row>
    <row r="927">
      <c r="K927" s="125"/>
    </row>
    <row r="928">
      <c r="K928" s="125"/>
    </row>
    <row r="929">
      <c r="K929" s="125"/>
    </row>
    <row r="930">
      <c r="K930" s="125"/>
    </row>
    <row r="931">
      <c r="K931" s="125"/>
    </row>
    <row r="932">
      <c r="K932" s="125"/>
    </row>
    <row r="933">
      <c r="K933" s="125"/>
    </row>
    <row r="934">
      <c r="K934" s="125"/>
    </row>
    <row r="935">
      <c r="K935" s="125"/>
    </row>
    <row r="936">
      <c r="K936" s="125"/>
    </row>
    <row r="937">
      <c r="K937" s="125"/>
    </row>
    <row r="938">
      <c r="K938" s="125"/>
    </row>
    <row r="939">
      <c r="K939" s="125"/>
    </row>
    <row r="940">
      <c r="K940" s="125"/>
    </row>
    <row r="941">
      <c r="K941" s="125"/>
    </row>
    <row r="942">
      <c r="K942" s="125"/>
    </row>
    <row r="943">
      <c r="K943" s="125"/>
    </row>
    <row r="944">
      <c r="K944" s="125"/>
    </row>
    <row r="945">
      <c r="K945" s="125"/>
    </row>
    <row r="946">
      <c r="K946" s="125"/>
    </row>
    <row r="947">
      <c r="K947" s="125"/>
    </row>
    <row r="948">
      <c r="K948" s="125"/>
    </row>
    <row r="949">
      <c r="K949" s="125"/>
    </row>
    <row r="950">
      <c r="K950" s="125"/>
    </row>
    <row r="951">
      <c r="K951" s="125"/>
    </row>
    <row r="952">
      <c r="K952" s="125"/>
    </row>
    <row r="953">
      <c r="K953" s="125"/>
    </row>
    <row r="954">
      <c r="K954" s="125"/>
    </row>
    <row r="955">
      <c r="K955" s="125"/>
    </row>
    <row r="956">
      <c r="K956" s="125"/>
    </row>
    <row r="957">
      <c r="K957" s="125"/>
    </row>
    <row r="958">
      <c r="K958" s="125"/>
    </row>
    <row r="959">
      <c r="K959" s="125"/>
    </row>
    <row r="960">
      <c r="K960" s="125"/>
    </row>
    <row r="961">
      <c r="K961" s="125"/>
    </row>
    <row r="962">
      <c r="K962" s="125"/>
    </row>
    <row r="963">
      <c r="K963" s="125"/>
    </row>
    <row r="964">
      <c r="K964" s="125"/>
    </row>
    <row r="965">
      <c r="K965" s="125"/>
    </row>
    <row r="966">
      <c r="K966" s="125"/>
    </row>
    <row r="967">
      <c r="K967" s="125"/>
    </row>
    <row r="968">
      <c r="K968" s="125"/>
    </row>
    <row r="969">
      <c r="K969" s="125"/>
    </row>
    <row r="970">
      <c r="K970" s="125"/>
    </row>
    <row r="971">
      <c r="K971" s="125"/>
    </row>
    <row r="972">
      <c r="K972" s="125"/>
    </row>
    <row r="973">
      <c r="K973" s="125"/>
    </row>
    <row r="974">
      <c r="K974" s="125"/>
    </row>
    <row r="975">
      <c r="K975" s="125"/>
    </row>
    <row r="976">
      <c r="K976" s="125"/>
    </row>
    <row r="977">
      <c r="K977" s="125"/>
    </row>
    <row r="978">
      <c r="K978" s="125"/>
    </row>
    <row r="979">
      <c r="K979" s="125"/>
    </row>
    <row r="980">
      <c r="K980" s="125"/>
    </row>
    <row r="981">
      <c r="K981" s="125"/>
    </row>
    <row r="982">
      <c r="K982" s="125"/>
    </row>
    <row r="983">
      <c r="K983" s="125"/>
    </row>
    <row r="984">
      <c r="K984" s="125"/>
    </row>
    <row r="985">
      <c r="K985" s="125"/>
    </row>
    <row r="986">
      <c r="K986" s="125"/>
    </row>
    <row r="987">
      <c r="K987" s="125"/>
    </row>
    <row r="988">
      <c r="K988" s="125"/>
    </row>
    <row r="989">
      <c r="K989" s="125"/>
    </row>
    <row r="990">
      <c r="K990" s="125"/>
    </row>
    <row r="991">
      <c r="K991" s="125"/>
    </row>
    <row r="992">
      <c r="K992" s="125"/>
    </row>
    <row r="993">
      <c r="K993" s="125"/>
    </row>
    <row r="994">
      <c r="K994" s="125"/>
    </row>
    <row r="995">
      <c r="K995" s="125"/>
    </row>
    <row r="996">
      <c r="K996" s="125"/>
    </row>
    <row r="997">
      <c r="K997" s="125"/>
    </row>
    <row r="998">
      <c r="K998" s="125"/>
    </row>
    <row r="999">
      <c r="K999" s="125"/>
    </row>
    <row r="1000">
      <c r="K1000" s="125"/>
    </row>
    <row r="1001">
      <c r="K1001" s="125"/>
    </row>
    <row r="1002">
      <c r="K1002" s="125"/>
    </row>
    <row r="1003">
      <c r="K1003" s="125"/>
    </row>
    <row r="1004">
      <c r="K1004" s="125"/>
    </row>
    <row r="1005">
      <c r="K1005" s="125"/>
    </row>
    <row r="1006">
      <c r="K1006" s="125"/>
    </row>
    <row r="1007">
      <c r="K1007" s="125"/>
    </row>
    <row r="1008">
      <c r="K1008" s="125"/>
    </row>
    <row r="1009">
      <c r="K1009" s="125"/>
    </row>
    <row r="1010">
      <c r="K1010" s="125"/>
    </row>
    <row r="1011">
      <c r="K1011" s="125"/>
    </row>
    <row r="1012">
      <c r="K1012" s="125"/>
    </row>
    <row r="1013">
      <c r="K1013" s="125"/>
    </row>
    <row r="1014">
      <c r="K1014" s="125"/>
    </row>
    <row r="1015">
      <c r="K1015" s="125"/>
    </row>
    <row r="1016">
      <c r="K1016" s="125"/>
    </row>
    <row r="1017">
      <c r="K1017" s="125"/>
    </row>
    <row r="1018">
      <c r="K1018" s="125"/>
    </row>
    <row r="1019">
      <c r="K1019" s="125"/>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5" width="7.5"/>
    <col customWidth="1" min="6" max="6" width="7.38"/>
    <col customWidth="1" min="7" max="7" width="6.38"/>
    <col customWidth="1" min="8" max="8" width="7.5"/>
    <col customWidth="1" min="9" max="9" width="6.75"/>
    <col customWidth="1" min="10" max="10" width="21.63"/>
    <col customWidth="1" min="11" max="11" width="23.5"/>
    <col customWidth="1" min="12" max="12" width="21.88"/>
    <col customWidth="1" min="13" max="13" width="24.63"/>
    <col customWidth="1" min="14" max="14" width="5.88"/>
    <col customWidth="1" min="15" max="15" width="28.63"/>
    <col customWidth="1" min="16" max="16" width="4.88"/>
    <col customWidth="1" min="17" max="17" width="26.5"/>
    <col customWidth="1" min="18" max="18" width="4.88"/>
    <col customWidth="1" min="19" max="19" width="25.63"/>
    <col customWidth="1" min="20" max="20" width="6.25"/>
    <col customWidth="1" min="21" max="21" width="5.63"/>
    <col customWidth="1" min="22" max="22" width="28.13"/>
    <col customWidth="1" min="23" max="23" width="43.5"/>
  </cols>
  <sheetData>
    <row r="1">
      <c r="A1" s="1" t="s">
        <v>1641</v>
      </c>
      <c r="O1" s="87"/>
      <c r="P1" s="87"/>
      <c r="Q1" s="87"/>
      <c r="R1" s="87"/>
      <c r="S1" s="87"/>
      <c r="T1" s="87"/>
    </row>
    <row r="2">
      <c r="A2" s="2" t="s">
        <v>442</v>
      </c>
      <c r="B2" s="2" t="s">
        <v>1642</v>
      </c>
      <c r="C2" s="3" t="s">
        <v>3</v>
      </c>
      <c r="D2" s="4" t="s">
        <v>4</v>
      </c>
      <c r="E2" s="5">
        <f>SUM(E11:E105)+1</f>
        <v>20</v>
      </c>
      <c r="J2" s="7" t="s">
        <v>5</v>
      </c>
      <c r="K2" s="8" t="s">
        <v>6</v>
      </c>
      <c r="L2" s="8" t="s">
        <v>7</v>
      </c>
      <c r="M2" s="8" t="s">
        <v>8</v>
      </c>
      <c r="O2" s="9" t="s">
        <v>9</v>
      </c>
      <c r="P2" s="151"/>
      <c r="Q2" s="151"/>
      <c r="R2" s="151"/>
      <c r="S2" s="151"/>
      <c r="T2" s="152"/>
      <c r="V2" s="8" t="s">
        <v>1643</v>
      </c>
      <c r="W2" s="8" t="s">
        <v>860</v>
      </c>
    </row>
    <row r="3">
      <c r="A3" s="2" t="s">
        <v>1644</v>
      </c>
      <c r="C3" s="15"/>
      <c r="D3" s="16" t="s">
        <v>12</v>
      </c>
      <c r="E3" s="17">
        <f>SUM(H11:H105)+15-SUM(I11:I105)</f>
        <v>49253</v>
      </c>
      <c r="K3" s="74" t="s">
        <v>1290</v>
      </c>
      <c r="L3" s="153" t="s">
        <v>1645</v>
      </c>
      <c r="M3" s="35"/>
      <c r="O3" s="35" t="s">
        <v>1646</v>
      </c>
      <c r="P3" s="35">
        <v>10.0</v>
      </c>
      <c r="Q3" s="35" t="s">
        <v>1647</v>
      </c>
      <c r="R3" s="35">
        <v>1.0</v>
      </c>
      <c r="S3" s="35" t="s">
        <v>1158</v>
      </c>
      <c r="T3" s="35">
        <v>1.0</v>
      </c>
      <c r="V3" s="35" t="s">
        <v>1648</v>
      </c>
      <c r="W3" s="35" t="s">
        <v>1649</v>
      </c>
    </row>
    <row r="4">
      <c r="C4" s="26"/>
      <c r="D4" s="27" t="s">
        <v>15</v>
      </c>
      <c r="E4" s="94">
        <f>SUM(F11:F105)-SUM(G11:G105)</f>
        <v>135</v>
      </c>
      <c r="K4" s="78" t="s">
        <v>1650</v>
      </c>
      <c r="L4" s="78" t="s">
        <v>785</v>
      </c>
      <c r="M4" s="32"/>
      <c r="O4" s="32" t="s">
        <v>470</v>
      </c>
      <c r="P4" s="32">
        <v>18.0</v>
      </c>
      <c r="Q4" s="32" t="s">
        <v>1651</v>
      </c>
      <c r="R4" s="32">
        <v>1.0</v>
      </c>
      <c r="S4" s="120" t="s">
        <v>1652</v>
      </c>
      <c r="T4" s="120">
        <v>2.0</v>
      </c>
      <c r="V4" s="32" t="s">
        <v>1653</v>
      </c>
      <c r="W4" s="154" t="s">
        <v>1654</v>
      </c>
      <c r="X4" s="70"/>
    </row>
    <row r="5">
      <c r="K5" s="155" t="s">
        <v>1655</v>
      </c>
      <c r="L5" s="34"/>
      <c r="M5" s="20"/>
      <c r="O5" s="35" t="s">
        <v>980</v>
      </c>
      <c r="P5" s="35">
        <v>1.0</v>
      </c>
      <c r="Q5" s="118" t="s">
        <v>1656</v>
      </c>
      <c r="R5" s="118">
        <v>2.0</v>
      </c>
      <c r="S5" s="118" t="s">
        <v>869</v>
      </c>
      <c r="T5" s="118">
        <v>1.0</v>
      </c>
      <c r="V5" s="35" t="s">
        <v>1657</v>
      </c>
      <c r="W5" s="35" t="s">
        <v>1658</v>
      </c>
      <c r="X5" s="2" t="s">
        <v>1659</v>
      </c>
    </row>
    <row r="6">
      <c r="K6" s="2" t="s">
        <v>80</v>
      </c>
      <c r="L6" s="2" t="s">
        <v>1660</v>
      </c>
      <c r="M6" s="31"/>
      <c r="O6" s="32" t="s">
        <v>1661</v>
      </c>
      <c r="P6" s="32">
        <v>1.0</v>
      </c>
      <c r="Q6" s="120" t="s">
        <v>1662</v>
      </c>
      <c r="R6" s="120">
        <v>1.0</v>
      </c>
      <c r="S6" s="120" t="s">
        <v>714</v>
      </c>
      <c r="T6" s="120">
        <v>1.0</v>
      </c>
      <c r="V6" s="31"/>
      <c r="W6" s="31"/>
    </row>
    <row r="7">
      <c r="O7" s="35" t="s">
        <v>1663</v>
      </c>
      <c r="P7" s="35">
        <v>1.0</v>
      </c>
      <c r="Q7" s="118" t="s">
        <v>983</v>
      </c>
      <c r="R7" s="118">
        <v>1.0</v>
      </c>
      <c r="S7" s="118" t="s">
        <v>1664</v>
      </c>
      <c r="T7" s="118">
        <v>1.0</v>
      </c>
      <c r="V7" s="20"/>
      <c r="W7" s="20"/>
    </row>
    <row r="8">
      <c r="J8" s="7" t="s">
        <v>17</v>
      </c>
      <c r="K8" s="155" t="s">
        <v>1655</v>
      </c>
      <c r="L8" s="153" t="s">
        <v>1645</v>
      </c>
      <c r="M8" s="74" t="s">
        <v>747</v>
      </c>
      <c r="O8" s="32" t="s">
        <v>733</v>
      </c>
      <c r="P8" s="32">
        <v>1.0</v>
      </c>
      <c r="Q8" s="120" t="s">
        <v>1665</v>
      </c>
      <c r="R8" s="120">
        <v>1.0</v>
      </c>
      <c r="S8" s="120" t="s">
        <v>290</v>
      </c>
      <c r="T8" s="120">
        <v>5.0</v>
      </c>
      <c r="V8" s="31"/>
      <c r="W8" s="31"/>
    </row>
    <row r="9">
      <c r="O9" s="35" t="s">
        <v>967</v>
      </c>
      <c r="P9" s="35">
        <v>2.0</v>
      </c>
      <c r="Q9" s="118" t="s">
        <v>937</v>
      </c>
      <c r="R9" s="118">
        <v>1.0</v>
      </c>
      <c r="S9" s="118" t="s">
        <v>265</v>
      </c>
      <c r="T9" s="118">
        <v>1.0</v>
      </c>
      <c r="V9" s="20"/>
      <c r="W9" s="20"/>
    </row>
    <row r="10">
      <c r="A10" s="37" t="s">
        <v>18</v>
      </c>
      <c r="B10" s="37" t="s">
        <v>19</v>
      </c>
      <c r="C10" s="37" t="s">
        <v>20</v>
      </c>
      <c r="D10" s="37" t="s">
        <v>21</v>
      </c>
      <c r="E10" s="37" t="s">
        <v>22</v>
      </c>
      <c r="F10" s="37" t="s">
        <v>23</v>
      </c>
      <c r="G10" s="37" t="s">
        <v>24</v>
      </c>
      <c r="H10" s="37" t="s">
        <v>25</v>
      </c>
      <c r="I10" s="37" t="s">
        <v>26</v>
      </c>
      <c r="J10" s="37" t="s">
        <v>27</v>
      </c>
      <c r="K10" s="37" t="s">
        <v>28</v>
      </c>
      <c r="L10" s="37" t="s">
        <v>29</v>
      </c>
      <c r="M10" s="37" t="s">
        <v>30</v>
      </c>
      <c r="N10" s="38"/>
      <c r="O10" s="156" t="s">
        <v>1666</v>
      </c>
      <c r="P10" s="156">
        <v>10.0</v>
      </c>
      <c r="Q10" s="156" t="s">
        <v>155</v>
      </c>
      <c r="R10" s="156">
        <v>1.0</v>
      </c>
      <c r="S10" s="156" t="s">
        <v>788</v>
      </c>
      <c r="T10" s="156">
        <v>1.0</v>
      </c>
      <c r="U10" s="38"/>
      <c r="V10" s="38"/>
      <c r="W10" s="38"/>
      <c r="X10" s="38"/>
      <c r="Y10" s="38"/>
      <c r="Z10" s="38"/>
      <c r="AA10" s="38"/>
      <c r="AB10" s="38"/>
      <c r="AC10" s="38"/>
      <c r="AD10" s="38"/>
    </row>
    <row r="11">
      <c r="A11" s="39">
        <v>43833.0</v>
      </c>
      <c r="B11" s="2" t="s">
        <v>1667</v>
      </c>
      <c r="C11" s="2" t="s">
        <v>1668</v>
      </c>
      <c r="D11" s="2" t="s">
        <v>1170</v>
      </c>
      <c r="E11" s="2">
        <v>1.0</v>
      </c>
      <c r="F11" s="2">
        <v>10.0</v>
      </c>
      <c r="G11" s="2"/>
      <c r="H11" s="2">
        <v>80.0</v>
      </c>
      <c r="J11" s="2" t="s">
        <v>1669</v>
      </c>
      <c r="O11" s="86"/>
      <c r="P11" s="86"/>
      <c r="Q11" s="86"/>
      <c r="R11" s="86"/>
      <c r="S11" s="86"/>
      <c r="T11" s="86"/>
    </row>
    <row r="12">
      <c r="A12" s="39">
        <v>43838.0</v>
      </c>
      <c r="B12" s="2" t="s">
        <v>575</v>
      </c>
      <c r="C12" s="2" t="s">
        <v>576</v>
      </c>
      <c r="D12" s="2" t="s">
        <v>574</v>
      </c>
      <c r="E12" s="2">
        <v>1.0</v>
      </c>
      <c r="F12" s="2">
        <v>10.0</v>
      </c>
      <c r="G12" s="2"/>
      <c r="H12" s="2">
        <v>80.0</v>
      </c>
      <c r="K12" s="2" t="s">
        <v>980</v>
      </c>
      <c r="O12" s="86"/>
      <c r="P12" s="86"/>
      <c r="Q12" s="156"/>
      <c r="R12" s="86"/>
      <c r="S12" s="86"/>
      <c r="T12" s="86"/>
    </row>
    <row r="13">
      <c r="A13" s="39">
        <v>43840.0</v>
      </c>
      <c r="B13" s="2" t="s">
        <v>477</v>
      </c>
      <c r="C13" s="2" t="s">
        <v>478</v>
      </c>
      <c r="D13" s="2" t="s">
        <v>574</v>
      </c>
      <c r="E13" s="2">
        <v>1.0</v>
      </c>
      <c r="F13" s="2">
        <v>10.0</v>
      </c>
      <c r="H13" s="2">
        <v>80.0</v>
      </c>
      <c r="I13" s="2">
        <v>50.0</v>
      </c>
      <c r="M13" s="2" t="s">
        <v>1670</v>
      </c>
      <c r="O13" s="86"/>
      <c r="P13" s="86"/>
      <c r="Q13" s="156"/>
      <c r="R13" s="86"/>
      <c r="S13" s="86"/>
      <c r="T13" s="86"/>
    </row>
    <row r="14">
      <c r="A14" s="39">
        <v>43840.0</v>
      </c>
      <c r="B14" s="2"/>
      <c r="C14" s="2" t="s">
        <v>1671</v>
      </c>
      <c r="E14" s="2">
        <v>1.0</v>
      </c>
      <c r="F14" s="2">
        <v>20.0</v>
      </c>
      <c r="G14" s="2">
        <v>20.0</v>
      </c>
      <c r="H14" s="2"/>
      <c r="I14" s="2"/>
      <c r="J14" s="2"/>
      <c r="M14" s="2"/>
      <c r="O14" s="86"/>
      <c r="P14" s="86"/>
      <c r="Q14" s="156"/>
      <c r="R14" s="86"/>
      <c r="S14" s="86"/>
      <c r="T14" s="86"/>
    </row>
    <row r="15">
      <c r="A15" s="40">
        <v>43844.0</v>
      </c>
      <c r="B15" s="41" t="s">
        <v>436</v>
      </c>
      <c r="C15" s="41" t="s">
        <v>437</v>
      </c>
      <c r="D15" s="41" t="s">
        <v>510</v>
      </c>
      <c r="E15" s="41">
        <v>1.0</v>
      </c>
      <c r="F15" s="41">
        <v>20.0</v>
      </c>
      <c r="G15" s="41"/>
      <c r="H15" s="41">
        <v>120.0</v>
      </c>
      <c r="I15" s="41">
        <v>45.0</v>
      </c>
      <c r="J15" s="41" t="s">
        <v>1672</v>
      </c>
      <c r="K15" s="42"/>
      <c r="L15" s="41"/>
      <c r="M15" s="41" t="s">
        <v>1673</v>
      </c>
      <c r="N15" s="42"/>
      <c r="O15" s="83"/>
      <c r="P15" s="83"/>
      <c r="Q15" s="116"/>
      <c r="R15" s="83"/>
      <c r="S15" s="83"/>
      <c r="T15" s="83"/>
      <c r="U15" s="42"/>
      <c r="V15" s="42"/>
      <c r="W15" s="42"/>
      <c r="X15" s="42"/>
      <c r="Y15" s="42"/>
      <c r="Z15" s="42"/>
      <c r="AA15" s="42"/>
      <c r="AB15" s="42"/>
      <c r="AC15" s="42"/>
      <c r="AD15" s="42"/>
    </row>
    <row r="16">
      <c r="A16" s="40">
        <v>43845.0</v>
      </c>
      <c r="B16" s="42"/>
      <c r="C16" s="41" t="s">
        <v>40</v>
      </c>
      <c r="D16" s="41" t="s">
        <v>1170</v>
      </c>
      <c r="E16" s="42"/>
      <c r="F16" s="42"/>
      <c r="G16" s="41">
        <v>15.0</v>
      </c>
      <c r="H16" s="42"/>
      <c r="I16" s="42"/>
      <c r="J16" s="41" t="s">
        <v>511</v>
      </c>
      <c r="K16" s="42"/>
      <c r="L16" s="42"/>
      <c r="M16" s="41" t="s">
        <v>1674</v>
      </c>
      <c r="N16" s="42"/>
      <c r="O16" s="83"/>
      <c r="P16" s="83"/>
      <c r="Q16" s="116"/>
      <c r="R16" s="83"/>
      <c r="S16" s="83"/>
      <c r="T16" s="83"/>
      <c r="U16" s="42"/>
      <c r="V16" s="42"/>
      <c r="W16" s="42"/>
      <c r="X16" s="42"/>
      <c r="Y16" s="42"/>
      <c r="Z16" s="42"/>
      <c r="AA16" s="42"/>
      <c r="AB16" s="42"/>
      <c r="AC16" s="42"/>
      <c r="AD16" s="42"/>
    </row>
    <row r="17">
      <c r="A17" s="40">
        <v>43845.0</v>
      </c>
      <c r="B17" s="84" t="s">
        <v>1675</v>
      </c>
      <c r="C17" s="41" t="s">
        <v>1676</v>
      </c>
      <c r="D17" s="41" t="s">
        <v>1677</v>
      </c>
      <c r="E17" s="41">
        <v>1.0</v>
      </c>
      <c r="F17" s="41">
        <v>20.0</v>
      </c>
      <c r="G17" s="42"/>
      <c r="H17" s="41">
        <v>100.0</v>
      </c>
      <c r="I17" s="42"/>
      <c r="J17" s="42"/>
      <c r="K17" s="42"/>
      <c r="L17" s="42"/>
      <c r="M17" s="42"/>
      <c r="N17" s="42"/>
      <c r="O17" s="83"/>
      <c r="P17" s="83"/>
      <c r="Q17" s="116"/>
      <c r="R17" s="83"/>
      <c r="S17" s="83"/>
      <c r="T17" s="83"/>
      <c r="U17" s="42"/>
      <c r="V17" s="42"/>
      <c r="W17" s="42"/>
      <c r="X17" s="42"/>
      <c r="Y17" s="42"/>
      <c r="Z17" s="42"/>
      <c r="AA17" s="42"/>
      <c r="AB17" s="42"/>
      <c r="AC17" s="42"/>
      <c r="AD17" s="42"/>
    </row>
    <row r="18">
      <c r="A18" s="40">
        <v>43846.0</v>
      </c>
      <c r="B18" s="41" t="s">
        <v>1678</v>
      </c>
      <c r="C18" s="41" t="s">
        <v>1679</v>
      </c>
      <c r="D18" s="41" t="s">
        <v>1680</v>
      </c>
      <c r="E18" s="41">
        <v>1.0</v>
      </c>
      <c r="F18" s="41">
        <v>20.0</v>
      </c>
      <c r="G18" s="42"/>
      <c r="H18" s="41">
        <v>120.0</v>
      </c>
      <c r="I18" s="42"/>
      <c r="J18" s="41" t="s">
        <v>671</v>
      </c>
      <c r="K18" s="42"/>
      <c r="L18" s="42"/>
      <c r="M18" s="42"/>
      <c r="N18" s="42"/>
      <c r="O18" s="83"/>
      <c r="P18" s="83"/>
      <c r="Q18" s="116"/>
      <c r="R18" s="83"/>
      <c r="S18" s="83"/>
      <c r="T18" s="83"/>
      <c r="U18" s="42"/>
      <c r="V18" s="42"/>
      <c r="W18" s="42"/>
      <c r="X18" s="42"/>
      <c r="Y18" s="42"/>
      <c r="Z18" s="42"/>
      <c r="AA18" s="42"/>
      <c r="AB18" s="42"/>
      <c r="AC18" s="42"/>
      <c r="AD18" s="42"/>
    </row>
    <row r="19">
      <c r="A19" s="40">
        <v>37273.0</v>
      </c>
      <c r="B19" s="42"/>
      <c r="C19" s="41" t="s">
        <v>40</v>
      </c>
      <c r="D19" s="42"/>
      <c r="E19" s="42"/>
      <c r="F19" s="42"/>
      <c r="G19" s="41">
        <v>15.0</v>
      </c>
      <c r="H19" s="42"/>
      <c r="I19" s="42"/>
      <c r="J19" s="41" t="s">
        <v>687</v>
      </c>
      <c r="K19" s="42"/>
      <c r="L19" s="42"/>
      <c r="M19" s="41" t="s">
        <v>1681</v>
      </c>
      <c r="N19" s="42"/>
      <c r="O19" s="83"/>
      <c r="P19" s="83"/>
      <c r="Q19" s="83"/>
      <c r="R19" s="83"/>
      <c r="S19" s="83"/>
      <c r="T19" s="83"/>
      <c r="U19" s="42"/>
      <c r="V19" s="42"/>
      <c r="W19" s="42"/>
      <c r="X19" s="42"/>
      <c r="Y19" s="42"/>
      <c r="Z19" s="42"/>
      <c r="AA19" s="42"/>
      <c r="AB19" s="42"/>
      <c r="AC19" s="42"/>
      <c r="AD19" s="42"/>
    </row>
    <row r="20">
      <c r="A20" s="40">
        <v>37273.0</v>
      </c>
      <c r="B20" s="42"/>
      <c r="C20" s="41" t="s">
        <v>40</v>
      </c>
      <c r="D20" s="41" t="s">
        <v>1682</v>
      </c>
      <c r="E20" s="42"/>
      <c r="F20" s="42"/>
      <c r="G20" s="41">
        <v>15.0</v>
      </c>
      <c r="H20" s="42"/>
      <c r="I20" s="42"/>
      <c r="J20" s="41" t="s">
        <v>1683</v>
      </c>
      <c r="K20" s="42"/>
      <c r="L20" s="42"/>
      <c r="M20" s="41" t="s">
        <v>1684</v>
      </c>
      <c r="N20" s="42"/>
      <c r="O20" s="83"/>
      <c r="P20" s="83"/>
      <c r="Q20" s="83"/>
      <c r="R20" s="83"/>
      <c r="S20" s="83"/>
      <c r="T20" s="83"/>
      <c r="U20" s="42"/>
      <c r="V20" s="42"/>
      <c r="W20" s="42"/>
      <c r="X20" s="42"/>
      <c r="Y20" s="42"/>
      <c r="Z20" s="42"/>
      <c r="AA20" s="42"/>
      <c r="AB20" s="42"/>
      <c r="AC20" s="42"/>
      <c r="AD20" s="42"/>
    </row>
    <row r="21">
      <c r="A21" s="40"/>
      <c r="B21" s="42"/>
      <c r="C21" s="41"/>
      <c r="D21" s="42"/>
      <c r="E21" s="42"/>
      <c r="F21" s="42"/>
      <c r="G21" s="41"/>
      <c r="H21" s="42"/>
      <c r="I21" s="42"/>
      <c r="J21" s="42"/>
      <c r="K21" s="42"/>
      <c r="L21" s="42"/>
      <c r="M21" s="41"/>
      <c r="N21" s="42"/>
      <c r="O21" s="83"/>
      <c r="P21" s="83"/>
      <c r="Q21" s="83"/>
      <c r="R21" s="83"/>
      <c r="S21" s="83"/>
      <c r="T21" s="83"/>
      <c r="U21" s="42"/>
      <c r="V21" s="42"/>
      <c r="W21" s="42"/>
      <c r="X21" s="42"/>
      <c r="Y21" s="42"/>
      <c r="Z21" s="42"/>
      <c r="AA21" s="42"/>
      <c r="AB21" s="42"/>
      <c r="AC21" s="42"/>
      <c r="AD21" s="42"/>
    </row>
    <row r="22">
      <c r="A22" s="40">
        <v>43847.0</v>
      </c>
      <c r="B22" s="41" t="s">
        <v>1685</v>
      </c>
      <c r="C22" s="41" t="s">
        <v>1686</v>
      </c>
      <c r="D22" s="41" t="s">
        <v>1687</v>
      </c>
      <c r="E22" s="41">
        <v>1.0</v>
      </c>
      <c r="F22" s="41">
        <v>20.0</v>
      </c>
      <c r="G22" s="42"/>
      <c r="H22" s="41">
        <v>120.0</v>
      </c>
      <c r="I22" s="41">
        <v>25.0</v>
      </c>
      <c r="J22" s="41"/>
      <c r="K22" s="41" t="s">
        <v>1688</v>
      </c>
      <c r="L22" s="42"/>
      <c r="M22" s="41" t="s">
        <v>1689</v>
      </c>
      <c r="N22" s="42"/>
      <c r="O22" s="83"/>
      <c r="P22" s="83"/>
      <c r="Q22" s="83"/>
      <c r="R22" s="83"/>
      <c r="S22" s="83"/>
      <c r="T22" s="83"/>
      <c r="U22" s="42"/>
      <c r="V22" s="42"/>
      <c r="W22" s="42"/>
      <c r="X22" s="42"/>
      <c r="Y22" s="42"/>
      <c r="Z22" s="42"/>
      <c r="AA22" s="42"/>
      <c r="AB22" s="42"/>
      <c r="AC22" s="42"/>
      <c r="AD22" s="42"/>
    </row>
    <row r="23">
      <c r="A23" s="40">
        <v>43848.0</v>
      </c>
      <c r="B23" s="41" t="s">
        <v>1690</v>
      </c>
      <c r="C23" s="41" t="s">
        <v>243</v>
      </c>
      <c r="D23" s="41" t="s">
        <v>408</v>
      </c>
      <c r="E23" s="41">
        <v>1.0</v>
      </c>
      <c r="F23" s="41">
        <v>20.0</v>
      </c>
      <c r="G23" s="42"/>
      <c r="H23" s="41">
        <v>120.0</v>
      </c>
      <c r="I23" s="42"/>
      <c r="J23" s="41"/>
      <c r="K23" s="41" t="s">
        <v>1688</v>
      </c>
      <c r="L23" s="42"/>
      <c r="M23" s="42"/>
      <c r="N23" s="42"/>
      <c r="O23" s="83"/>
      <c r="P23" s="83"/>
      <c r="Q23" s="83"/>
      <c r="R23" s="83"/>
      <c r="S23" s="83"/>
      <c r="T23" s="83"/>
      <c r="U23" s="42"/>
      <c r="V23" s="42"/>
      <c r="W23" s="42"/>
      <c r="X23" s="42"/>
      <c r="Y23" s="42"/>
      <c r="Z23" s="42"/>
      <c r="AA23" s="42"/>
      <c r="AB23" s="42"/>
      <c r="AC23" s="42"/>
      <c r="AD23" s="42"/>
    </row>
    <row r="24">
      <c r="A24" s="40">
        <v>43848.0</v>
      </c>
      <c r="B24" s="41" t="s">
        <v>1691</v>
      </c>
      <c r="C24" s="41" t="s">
        <v>1692</v>
      </c>
      <c r="D24" s="41" t="s">
        <v>448</v>
      </c>
      <c r="E24" s="41">
        <v>0.0</v>
      </c>
      <c r="F24" s="42"/>
      <c r="G24" s="42"/>
      <c r="H24" s="41">
        <v>120.0</v>
      </c>
      <c r="I24" s="42"/>
      <c r="J24" s="41"/>
      <c r="K24" s="41" t="s">
        <v>1688</v>
      </c>
      <c r="L24" s="42"/>
      <c r="M24" s="42"/>
      <c r="N24" s="42"/>
      <c r="O24" s="83"/>
      <c r="P24" s="83"/>
      <c r="Q24" s="83"/>
      <c r="R24" s="83"/>
      <c r="S24" s="83"/>
      <c r="T24" s="83"/>
      <c r="U24" s="42"/>
      <c r="V24" s="42"/>
      <c r="W24" s="42"/>
      <c r="X24" s="42"/>
      <c r="Y24" s="42"/>
      <c r="Z24" s="42"/>
      <c r="AA24" s="42"/>
      <c r="AB24" s="42"/>
      <c r="AC24" s="42"/>
      <c r="AD24" s="42"/>
    </row>
    <row r="25">
      <c r="A25" s="40">
        <v>43850.0</v>
      </c>
      <c r="B25" s="42"/>
      <c r="C25" s="41" t="s">
        <v>40</v>
      </c>
      <c r="D25" s="42"/>
      <c r="E25" s="42"/>
      <c r="F25" s="42"/>
      <c r="G25" s="41">
        <v>15.0</v>
      </c>
      <c r="H25" s="42"/>
      <c r="I25" s="42"/>
      <c r="J25" s="41" t="s">
        <v>171</v>
      </c>
      <c r="K25" s="42"/>
      <c r="L25" s="42"/>
      <c r="M25" s="41" t="s">
        <v>1693</v>
      </c>
      <c r="N25" s="42"/>
      <c r="O25" s="83"/>
      <c r="P25" s="83"/>
      <c r="Q25" s="83"/>
      <c r="R25" s="83"/>
      <c r="S25" s="83"/>
      <c r="T25" s="83"/>
      <c r="U25" s="42"/>
      <c r="V25" s="42"/>
      <c r="W25" s="42"/>
      <c r="X25" s="42"/>
      <c r="Y25" s="42"/>
      <c r="Z25" s="42"/>
      <c r="AA25" s="42"/>
      <c r="AB25" s="42"/>
      <c r="AC25" s="42"/>
      <c r="AD25" s="42"/>
    </row>
    <row r="26">
      <c r="A26" s="40">
        <v>43850.0</v>
      </c>
      <c r="B26" s="41" t="s">
        <v>1181</v>
      </c>
      <c r="C26" s="41" t="s">
        <v>585</v>
      </c>
      <c r="D26" s="41" t="s">
        <v>438</v>
      </c>
      <c r="E26" s="41">
        <v>1.0</v>
      </c>
      <c r="F26" s="41">
        <v>20.0</v>
      </c>
      <c r="G26" s="42"/>
      <c r="H26" s="41">
        <v>120.0</v>
      </c>
      <c r="I26" s="42"/>
      <c r="J26" s="41" t="s">
        <v>587</v>
      </c>
      <c r="K26" s="42"/>
      <c r="L26" s="41" t="s">
        <v>1694</v>
      </c>
      <c r="M26" s="42"/>
      <c r="N26" s="42"/>
      <c r="O26" s="83"/>
      <c r="P26" s="83"/>
      <c r="Q26" s="83"/>
      <c r="R26" s="83"/>
      <c r="S26" s="83"/>
      <c r="T26" s="83"/>
      <c r="U26" s="42"/>
      <c r="V26" s="42"/>
      <c r="W26" s="42"/>
      <c r="X26" s="42"/>
      <c r="Y26" s="42"/>
      <c r="Z26" s="42"/>
      <c r="AA26" s="42"/>
      <c r="AB26" s="42"/>
      <c r="AC26" s="42"/>
      <c r="AD26" s="42"/>
    </row>
    <row r="27">
      <c r="A27" s="39">
        <v>43852.0</v>
      </c>
      <c r="B27" s="2" t="s">
        <v>1695</v>
      </c>
      <c r="C27" s="2" t="s">
        <v>1696</v>
      </c>
      <c r="D27" s="2" t="s">
        <v>1697</v>
      </c>
      <c r="E27" s="2">
        <v>1.0</v>
      </c>
      <c r="F27" s="2">
        <v>20.0</v>
      </c>
      <c r="G27" s="2">
        <v>50.0</v>
      </c>
      <c r="H27" s="2">
        <v>800.0</v>
      </c>
      <c r="I27" s="2"/>
      <c r="J27" s="2" t="s">
        <v>785</v>
      </c>
      <c r="K27" s="2" t="s">
        <v>1661</v>
      </c>
      <c r="L27" s="2" t="s">
        <v>1698</v>
      </c>
      <c r="M27" s="2" t="s">
        <v>1699</v>
      </c>
      <c r="O27" s="86"/>
      <c r="P27" s="86"/>
      <c r="Q27" s="86"/>
      <c r="R27" s="86"/>
      <c r="S27" s="86"/>
      <c r="T27" s="86"/>
    </row>
    <row r="28">
      <c r="A28" s="39">
        <v>43852.0</v>
      </c>
      <c r="B28" s="2" t="s">
        <v>1700</v>
      </c>
      <c r="C28" s="2" t="s">
        <v>1701</v>
      </c>
      <c r="D28" s="2" t="s">
        <v>1702</v>
      </c>
      <c r="E28" s="2">
        <v>1.0</v>
      </c>
      <c r="F28" s="2">
        <v>20.0</v>
      </c>
      <c r="H28" s="2">
        <v>800.0</v>
      </c>
      <c r="I28" s="2">
        <v>200.0</v>
      </c>
      <c r="J28" s="2" t="s">
        <v>1104</v>
      </c>
      <c r="K28" s="2" t="s">
        <v>1663</v>
      </c>
      <c r="L28" s="2" t="s">
        <v>1703</v>
      </c>
      <c r="M28" s="2" t="s">
        <v>1704</v>
      </c>
      <c r="O28" s="86"/>
      <c r="P28" s="86"/>
      <c r="Q28" s="86"/>
      <c r="R28" s="86"/>
      <c r="S28" s="86"/>
      <c r="T28" s="86"/>
    </row>
    <row r="29">
      <c r="A29" s="39">
        <v>43853.0</v>
      </c>
      <c r="C29" s="2" t="s">
        <v>40</v>
      </c>
      <c r="G29" s="2">
        <v>15.0</v>
      </c>
      <c r="J29" s="2" t="s">
        <v>76</v>
      </c>
      <c r="M29" s="2" t="s">
        <v>1705</v>
      </c>
      <c r="O29" s="86"/>
      <c r="P29" s="86"/>
      <c r="Q29" s="86"/>
      <c r="R29" s="86"/>
      <c r="S29" s="86"/>
      <c r="T29" s="86"/>
    </row>
    <row r="30">
      <c r="A30" s="39">
        <v>43853.0</v>
      </c>
      <c r="B30" s="2" t="s">
        <v>1706</v>
      </c>
      <c r="C30" s="2" t="s">
        <v>1707</v>
      </c>
      <c r="D30" s="2" t="s">
        <v>272</v>
      </c>
      <c r="E30" s="2">
        <v>0.0</v>
      </c>
      <c r="H30" s="2">
        <v>800.0</v>
      </c>
      <c r="J30" s="2" t="s">
        <v>1708</v>
      </c>
      <c r="O30" s="86"/>
      <c r="P30" s="86"/>
      <c r="Q30" s="86"/>
      <c r="R30" s="86"/>
      <c r="S30" s="86"/>
      <c r="T30" s="86"/>
    </row>
    <row r="31">
      <c r="A31" s="39">
        <v>43859.0</v>
      </c>
      <c r="C31" s="2" t="s">
        <v>40</v>
      </c>
      <c r="D31" s="2" t="s">
        <v>1709</v>
      </c>
      <c r="G31" s="2">
        <v>15.0</v>
      </c>
      <c r="J31" s="2" t="s">
        <v>1318</v>
      </c>
      <c r="M31" s="2" t="s">
        <v>1710</v>
      </c>
      <c r="O31" s="86"/>
      <c r="P31" s="86"/>
      <c r="Q31" s="86"/>
      <c r="R31" s="86"/>
      <c r="S31" s="86"/>
      <c r="T31" s="86"/>
    </row>
    <row r="32">
      <c r="A32" s="39">
        <v>43862.0</v>
      </c>
      <c r="B32" s="2" t="s">
        <v>1711</v>
      </c>
      <c r="C32" s="2" t="s">
        <v>1712</v>
      </c>
      <c r="D32" s="2" t="s">
        <v>1031</v>
      </c>
      <c r="E32" s="2">
        <v>1.0</v>
      </c>
      <c r="F32" s="2">
        <v>20.0</v>
      </c>
      <c r="H32" s="2">
        <v>800.0</v>
      </c>
      <c r="I32" s="2">
        <v>2300.0</v>
      </c>
      <c r="M32" s="2" t="s">
        <v>1713</v>
      </c>
      <c r="O32" s="86"/>
      <c r="P32" s="86"/>
      <c r="Q32" s="86"/>
      <c r="R32" s="86"/>
      <c r="S32" s="86"/>
      <c r="T32" s="86"/>
    </row>
    <row r="33">
      <c r="A33" s="39">
        <v>43862.0</v>
      </c>
      <c r="B33" s="2" t="s">
        <v>1711</v>
      </c>
      <c r="C33" s="2" t="s">
        <v>1714</v>
      </c>
      <c r="D33" s="2" t="s">
        <v>1031</v>
      </c>
      <c r="E33" s="2">
        <v>0.0</v>
      </c>
      <c r="H33" s="2">
        <v>800.0</v>
      </c>
      <c r="J33" s="2" t="s">
        <v>289</v>
      </c>
      <c r="M33" s="2" t="s">
        <v>1715</v>
      </c>
      <c r="O33" s="86"/>
      <c r="P33" s="86"/>
      <c r="Q33" s="86"/>
      <c r="R33" s="86"/>
      <c r="S33" s="86"/>
      <c r="T33" s="86"/>
    </row>
    <row r="34">
      <c r="A34" s="39">
        <v>43863.0</v>
      </c>
      <c r="C34" s="2" t="s">
        <v>40</v>
      </c>
      <c r="D34" s="2" t="s">
        <v>1716</v>
      </c>
      <c r="G34" s="2">
        <v>15.0</v>
      </c>
      <c r="J34" s="2" t="s">
        <v>747</v>
      </c>
      <c r="M34" s="2" t="s">
        <v>1717</v>
      </c>
      <c r="O34" s="86"/>
      <c r="P34" s="86"/>
      <c r="Q34" s="86"/>
      <c r="R34" s="86"/>
      <c r="S34" s="86"/>
      <c r="T34" s="86"/>
    </row>
    <row r="35">
      <c r="A35" s="39">
        <v>43864.0</v>
      </c>
      <c r="B35" s="2" t="s">
        <v>1718</v>
      </c>
      <c r="C35" s="2" t="s">
        <v>1050</v>
      </c>
      <c r="D35" s="2" t="s">
        <v>1719</v>
      </c>
      <c r="E35" s="2">
        <v>1.0</v>
      </c>
      <c r="F35" s="2">
        <v>20.0</v>
      </c>
      <c r="H35" s="2">
        <v>800.0</v>
      </c>
      <c r="J35" s="2" t="s">
        <v>259</v>
      </c>
      <c r="M35" s="2" t="s">
        <v>1720</v>
      </c>
      <c r="O35" s="86"/>
      <c r="P35" s="86"/>
      <c r="Q35" s="86"/>
      <c r="R35" s="86"/>
      <c r="S35" s="86"/>
      <c r="T35" s="86"/>
    </row>
    <row r="36">
      <c r="A36" s="39">
        <v>43864.0</v>
      </c>
      <c r="C36" s="2" t="s">
        <v>1721</v>
      </c>
      <c r="G36" s="2">
        <v>15.0</v>
      </c>
      <c r="J36" s="2" t="s">
        <v>1104</v>
      </c>
      <c r="M36" s="2" t="s">
        <v>1722</v>
      </c>
      <c r="O36" s="86"/>
      <c r="P36" s="86"/>
      <c r="Q36" s="86"/>
      <c r="R36" s="86"/>
      <c r="S36" s="86"/>
      <c r="T36" s="86"/>
    </row>
    <row r="37">
      <c r="A37" s="39">
        <v>43867.0</v>
      </c>
      <c r="B37" s="157" t="s">
        <v>1723</v>
      </c>
      <c r="C37" s="2" t="s">
        <v>1724</v>
      </c>
      <c r="D37" s="2" t="s">
        <v>272</v>
      </c>
      <c r="E37" s="2">
        <v>0.0</v>
      </c>
      <c r="H37" s="2">
        <v>800.0</v>
      </c>
      <c r="O37" s="86"/>
      <c r="P37" s="86"/>
      <c r="Q37" s="86"/>
      <c r="R37" s="86"/>
      <c r="S37" s="86"/>
      <c r="T37" s="86"/>
    </row>
    <row r="38">
      <c r="A38" s="39">
        <v>43875.0</v>
      </c>
      <c r="B38" s="2" t="s">
        <v>1725</v>
      </c>
      <c r="C38" s="2" t="s">
        <v>1726</v>
      </c>
      <c r="D38" s="2" t="s">
        <v>544</v>
      </c>
      <c r="E38" s="2">
        <v>1.0</v>
      </c>
      <c r="F38" s="2">
        <v>20.0</v>
      </c>
      <c r="H38" s="2">
        <v>600.0</v>
      </c>
      <c r="K38" s="2" t="s">
        <v>1727</v>
      </c>
      <c r="O38" s="86"/>
      <c r="P38" s="86"/>
      <c r="Q38" s="86"/>
      <c r="R38" s="86"/>
      <c r="S38" s="86"/>
      <c r="T38" s="86"/>
    </row>
    <row r="39">
      <c r="A39" s="39">
        <v>43875.0</v>
      </c>
      <c r="B39" s="2" t="s">
        <v>1728</v>
      </c>
      <c r="C39" s="2" t="s">
        <v>1729</v>
      </c>
      <c r="D39" s="2" t="s">
        <v>544</v>
      </c>
      <c r="E39" s="2">
        <v>0.0</v>
      </c>
      <c r="H39" s="2">
        <v>600.0</v>
      </c>
      <c r="K39" s="2" t="s">
        <v>1730</v>
      </c>
      <c r="O39" s="86"/>
      <c r="P39" s="86"/>
      <c r="Q39" s="86"/>
      <c r="R39" s="86"/>
      <c r="S39" s="86"/>
      <c r="T39" s="86"/>
    </row>
    <row r="40">
      <c r="A40" s="39">
        <v>43876.0</v>
      </c>
      <c r="B40" s="2" t="s">
        <v>1731</v>
      </c>
      <c r="C40" s="2" t="s">
        <v>1732</v>
      </c>
      <c r="D40" s="2" t="s">
        <v>544</v>
      </c>
      <c r="E40" s="2">
        <v>0.0</v>
      </c>
      <c r="H40" s="2">
        <v>400.0</v>
      </c>
      <c r="K40" s="2" t="s">
        <v>1733</v>
      </c>
      <c r="O40" s="86"/>
      <c r="P40" s="86"/>
      <c r="Q40" s="86"/>
      <c r="R40" s="86"/>
      <c r="S40" s="86"/>
      <c r="T40" s="86"/>
    </row>
    <row r="41">
      <c r="A41" s="39">
        <v>43881.0</v>
      </c>
      <c r="B41" s="2" t="s">
        <v>1041</v>
      </c>
      <c r="C41" s="2" t="s">
        <v>1042</v>
      </c>
      <c r="D41" s="2" t="s">
        <v>544</v>
      </c>
      <c r="E41" s="2">
        <v>0.0</v>
      </c>
      <c r="H41" s="2">
        <v>600.0</v>
      </c>
      <c r="O41" s="86"/>
      <c r="P41" s="86"/>
      <c r="Q41" s="86"/>
      <c r="R41" s="86"/>
      <c r="S41" s="86"/>
      <c r="T41" s="86"/>
    </row>
    <row r="42">
      <c r="A42" s="39">
        <v>43888.0</v>
      </c>
      <c r="B42" s="2" t="s">
        <v>1734</v>
      </c>
      <c r="C42" s="2" t="s">
        <v>1735</v>
      </c>
      <c r="D42" s="2" t="s">
        <v>1736</v>
      </c>
      <c r="E42" s="2">
        <v>0.0</v>
      </c>
      <c r="O42" s="86"/>
      <c r="P42" s="86"/>
      <c r="Q42" s="86"/>
      <c r="R42" s="86"/>
      <c r="S42" s="86"/>
      <c r="T42" s="86"/>
    </row>
    <row r="43">
      <c r="A43" s="39">
        <v>43896.0</v>
      </c>
      <c r="B43" s="2" t="s">
        <v>1737</v>
      </c>
      <c r="C43" s="2" t="s">
        <v>1738</v>
      </c>
      <c r="D43" s="2" t="s">
        <v>1739</v>
      </c>
      <c r="E43" s="2">
        <v>0.0</v>
      </c>
      <c r="O43" s="86"/>
      <c r="P43" s="86"/>
      <c r="Q43" s="86"/>
      <c r="R43" s="86"/>
      <c r="S43" s="86"/>
      <c r="T43" s="86"/>
    </row>
    <row r="44">
      <c r="A44" s="39">
        <v>43897.0</v>
      </c>
      <c r="B44" s="2" t="s">
        <v>1740</v>
      </c>
      <c r="C44" s="81" t="s">
        <v>1741</v>
      </c>
      <c r="D44" s="2" t="s">
        <v>1742</v>
      </c>
      <c r="E44" s="2">
        <v>0.0</v>
      </c>
      <c r="I44" s="2">
        <v>1000.0</v>
      </c>
      <c r="K44" s="2" t="s">
        <v>1656</v>
      </c>
      <c r="M44" s="81" t="s">
        <v>1743</v>
      </c>
      <c r="O44" s="86"/>
      <c r="P44" s="86"/>
      <c r="Q44" s="86"/>
      <c r="R44" s="86"/>
      <c r="S44" s="86"/>
      <c r="T44" s="86"/>
    </row>
    <row r="45">
      <c r="A45" s="39">
        <v>43904.0</v>
      </c>
      <c r="B45" s="2" t="s">
        <v>1744</v>
      </c>
      <c r="C45" s="2" t="s">
        <v>1745</v>
      </c>
      <c r="D45" s="2" t="s">
        <v>1746</v>
      </c>
      <c r="E45" s="2">
        <v>0.0</v>
      </c>
      <c r="O45" s="86"/>
      <c r="P45" s="86"/>
      <c r="Q45" s="86"/>
      <c r="R45" s="86"/>
      <c r="S45" s="86"/>
      <c r="T45" s="86"/>
    </row>
    <row r="46">
      <c r="A46" s="39">
        <v>43917.0</v>
      </c>
      <c r="B46" s="2" t="s">
        <v>1747</v>
      </c>
      <c r="C46" s="2" t="s">
        <v>1082</v>
      </c>
      <c r="D46" s="2" t="s">
        <v>408</v>
      </c>
      <c r="E46" s="2">
        <v>0.0</v>
      </c>
      <c r="L46" s="2" t="s">
        <v>1748</v>
      </c>
      <c r="O46" s="86"/>
      <c r="P46" s="86"/>
      <c r="Q46" s="86"/>
      <c r="R46" s="86"/>
      <c r="S46" s="86"/>
      <c r="T46" s="86"/>
    </row>
    <row r="47">
      <c r="A47" s="39">
        <v>43922.0</v>
      </c>
      <c r="B47" s="2" t="s">
        <v>1038</v>
      </c>
      <c r="C47" s="2" t="s">
        <v>1039</v>
      </c>
      <c r="D47" s="2" t="s">
        <v>58</v>
      </c>
      <c r="E47" s="2">
        <v>0.0</v>
      </c>
      <c r="O47" s="86"/>
      <c r="P47" s="86"/>
      <c r="Q47" s="86"/>
      <c r="R47" s="86"/>
      <c r="S47" s="86"/>
      <c r="T47" s="86"/>
    </row>
    <row r="48">
      <c r="A48" s="39">
        <v>43929.0</v>
      </c>
      <c r="B48" s="2" t="s">
        <v>1749</v>
      </c>
      <c r="C48" s="2" t="s">
        <v>1750</v>
      </c>
      <c r="D48" s="2" t="s">
        <v>528</v>
      </c>
      <c r="E48" s="2">
        <v>0.0</v>
      </c>
      <c r="J48" s="2" t="s">
        <v>1751</v>
      </c>
      <c r="O48" s="86"/>
      <c r="P48" s="86"/>
      <c r="Q48" s="86"/>
      <c r="R48" s="86"/>
      <c r="S48" s="86"/>
      <c r="T48" s="86"/>
    </row>
    <row r="49">
      <c r="A49" s="39">
        <v>43937.0</v>
      </c>
      <c r="B49" s="2" t="s">
        <v>1752</v>
      </c>
      <c r="C49" s="2" t="s">
        <v>1753</v>
      </c>
      <c r="D49" s="2" t="s">
        <v>408</v>
      </c>
      <c r="E49" s="2">
        <v>0.0</v>
      </c>
      <c r="J49" s="2" t="s">
        <v>1754</v>
      </c>
      <c r="M49" s="2" t="s">
        <v>1755</v>
      </c>
      <c r="O49" s="86"/>
      <c r="P49" s="86"/>
      <c r="Q49" s="86"/>
      <c r="R49" s="86"/>
      <c r="S49" s="86"/>
      <c r="T49" s="86"/>
    </row>
    <row r="50">
      <c r="A50" s="39">
        <v>43937.0</v>
      </c>
      <c r="B50" s="2"/>
      <c r="C50" s="2" t="s">
        <v>40</v>
      </c>
      <c r="D50" s="2"/>
      <c r="E50" s="2"/>
      <c r="G50" s="2">
        <v>15.0</v>
      </c>
      <c r="J50" s="2" t="s">
        <v>289</v>
      </c>
      <c r="K50" s="2"/>
      <c r="L50" s="2"/>
      <c r="M50" s="2" t="s">
        <v>1756</v>
      </c>
      <c r="O50" s="86"/>
      <c r="P50" s="86"/>
      <c r="Q50" s="86"/>
      <c r="R50" s="86"/>
      <c r="S50" s="86"/>
      <c r="T50" s="86"/>
    </row>
    <row r="51">
      <c r="A51" s="39">
        <v>43939.0</v>
      </c>
      <c r="B51" s="2" t="s">
        <v>1757</v>
      </c>
      <c r="C51" s="2" t="s">
        <v>1064</v>
      </c>
      <c r="D51" s="2" t="s">
        <v>1758</v>
      </c>
      <c r="E51" s="2">
        <v>0.0</v>
      </c>
      <c r="K51" s="2" t="s">
        <v>1647</v>
      </c>
      <c r="L51" s="2" t="s">
        <v>1759</v>
      </c>
      <c r="O51" s="86"/>
      <c r="P51" s="86"/>
      <c r="Q51" s="86"/>
      <c r="R51" s="86"/>
      <c r="S51" s="86"/>
      <c r="T51" s="86"/>
    </row>
    <row r="52">
      <c r="A52" s="39">
        <v>43943.0</v>
      </c>
      <c r="B52" s="2" t="s">
        <v>962</v>
      </c>
      <c r="C52" s="2" t="s">
        <v>963</v>
      </c>
      <c r="D52" s="2" t="s">
        <v>247</v>
      </c>
      <c r="E52" s="2">
        <v>0.0</v>
      </c>
      <c r="L52" s="158" t="s">
        <v>1760</v>
      </c>
      <c r="O52" s="86"/>
      <c r="P52" s="86"/>
      <c r="Q52" s="86"/>
      <c r="R52" s="86"/>
      <c r="S52" s="86"/>
      <c r="T52" s="86"/>
    </row>
    <row r="53">
      <c r="A53" s="39">
        <v>43944.0</v>
      </c>
      <c r="B53" s="2" t="s">
        <v>1451</v>
      </c>
      <c r="C53" s="2" t="s">
        <v>1452</v>
      </c>
      <c r="D53" s="2" t="s">
        <v>408</v>
      </c>
      <c r="E53" s="2">
        <v>0.0</v>
      </c>
      <c r="L53" s="2" t="s">
        <v>1761</v>
      </c>
      <c r="O53" s="86"/>
      <c r="P53" s="86"/>
      <c r="Q53" s="86"/>
      <c r="R53" s="86"/>
      <c r="S53" s="86"/>
      <c r="T53" s="86"/>
    </row>
    <row r="54">
      <c r="A54" s="39">
        <v>43949.0</v>
      </c>
      <c r="B54" s="2" t="s">
        <v>1556</v>
      </c>
      <c r="C54" s="2" t="s">
        <v>1762</v>
      </c>
      <c r="D54" s="2" t="s">
        <v>1763</v>
      </c>
      <c r="E54" s="2">
        <v>0.0</v>
      </c>
      <c r="O54" s="86"/>
      <c r="P54" s="86"/>
      <c r="Q54" s="86"/>
      <c r="R54" s="86"/>
      <c r="S54" s="86"/>
      <c r="T54" s="86"/>
    </row>
    <row r="55">
      <c r="A55" s="39">
        <v>43956.0</v>
      </c>
      <c r="B55" s="2" t="s">
        <v>1764</v>
      </c>
      <c r="C55" s="81" t="s">
        <v>1421</v>
      </c>
      <c r="D55" s="2" t="s">
        <v>1763</v>
      </c>
      <c r="E55" s="2">
        <v>0.0</v>
      </c>
      <c r="O55" s="86"/>
      <c r="P55" s="86"/>
      <c r="Q55" s="86"/>
      <c r="R55" s="86"/>
      <c r="S55" s="86"/>
      <c r="T55" s="86"/>
    </row>
    <row r="56">
      <c r="A56" s="39">
        <v>43957.0</v>
      </c>
      <c r="B56" s="2" t="s">
        <v>1765</v>
      </c>
      <c r="C56" s="2" t="s">
        <v>1766</v>
      </c>
      <c r="D56" s="2" t="s">
        <v>58</v>
      </c>
      <c r="E56" s="2">
        <v>0.0</v>
      </c>
      <c r="O56" s="86"/>
      <c r="P56" s="86"/>
      <c r="Q56" s="86"/>
      <c r="R56" s="86"/>
      <c r="S56" s="86"/>
      <c r="T56" s="86"/>
    </row>
    <row r="57">
      <c r="A57" s="39">
        <v>43985.0</v>
      </c>
      <c r="B57" s="2" t="s">
        <v>1046</v>
      </c>
      <c r="C57" s="2" t="s">
        <v>1047</v>
      </c>
      <c r="D57" s="2" t="s">
        <v>247</v>
      </c>
      <c r="E57" s="2">
        <v>0.0</v>
      </c>
      <c r="J57" s="2" t="s">
        <v>258</v>
      </c>
      <c r="L57" s="2"/>
      <c r="O57" s="86"/>
      <c r="P57" s="86"/>
      <c r="Q57" s="86"/>
      <c r="R57" s="86"/>
      <c r="S57" s="86"/>
      <c r="T57" s="86"/>
    </row>
    <row r="58">
      <c r="A58" s="39">
        <v>43992.0</v>
      </c>
      <c r="B58" s="2" t="s">
        <v>1767</v>
      </c>
      <c r="C58" s="2" t="s">
        <v>1059</v>
      </c>
      <c r="D58" s="2" t="s">
        <v>1768</v>
      </c>
      <c r="E58" s="2">
        <v>0.0</v>
      </c>
      <c r="I58" s="2">
        <v>600.0</v>
      </c>
      <c r="L58" s="2" t="s">
        <v>1769</v>
      </c>
      <c r="M58" s="2" t="s">
        <v>1770</v>
      </c>
      <c r="O58" s="86"/>
      <c r="P58" s="86"/>
      <c r="Q58" s="86"/>
      <c r="R58" s="86"/>
      <c r="S58" s="86"/>
      <c r="T58" s="86"/>
    </row>
    <row r="59">
      <c r="A59" s="39">
        <v>43998.0</v>
      </c>
      <c r="B59" s="2" t="s">
        <v>1771</v>
      </c>
      <c r="C59" s="2" t="s">
        <v>1772</v>
      </c>
      <c r="D59" s="2" t="s">
        <v>1763</v>
      </c>
      <c r="E59" s="2">
        <v>0.0</v>
      </c>
      <c r="K59" s="2" t="s">
        <v>1773</v>
      </c>
      <c r="O59" s="86"/>
      <c r="P59" s="86"/>
      <c r="Q59" s="86"/>
      <c r="R59" s="86"/>
      <c r="S59" s="86"/>
      <c r="T59" s="86"/>
    </row>
    <row r="60">
      <c r="A60" s="39">
        <v>44013.0</v>
      </c>
      <c r="B60" s="2"/>
      <c r="C60" s="2" t="s">
        <v>40</v>
      </c>
      <c r="D60" s="2"/>
      <c r="G60" s="2">
        <v>15.0</v>
      </c>
      <c r="J60" s="2" t="s">
        <v>80</v>
      </c>
      <c r="M60" s="2" t="s">
        <v>1774</v>
      </c>
      <c r="O60" s="86"/>
      <c r="P60" s="86"/>
      <c r="Q60" s="86"/>
      <c r="R60" s="86"/>
      <c r="S60" s="86"/>
      <c r="T60" s="86"/>
    </row>
    <row r="61">
      <c r="A61" s="39">
        <v>44013.0</v>
      </c>
      <c r="B61" s="2" t="s">
        <v>1456</v>
      </c>
      <c r="C61" s="2" t="s">
        <v>1457</v>
      </c>
      <c r="D61" s="2" t="s">
        <v>58</v>
      </c>
      <c r="E61" s="2">
        <v>0.0</v>
      </c>
      <c r="K61" s="2" t="s">
        <v>1652</v>
      </c>
      <c r="O61" s="86"/>
      <c r="P61" s="86"/>
      <c r="Q61" s="86"/>
      <c r="R61" s="86"/>
      <c r="S61" s="86"/>
      <c r="T61" s="86"/>
    </row>
    <row r="62">
      <c r="A62" s="39">
        <v>44020.0</v>
      </c>
      <c r="B62" s="2" t="s">
        <v>1775</v>
      </c>
      <c r="C62" s="2" t="s">
        <v>1776</v>
      </c>
      <c r="D62" s="2" t="s">
        <v>1777</v>
      </c>
      <c r="E62" s="2">
        <v>0.0</v>
      </c>
      <c r="O62" s="86"/>
      <c r="P62" s="156"/>
      <c r="Q62" s="156"/>
      <c r="R62" s="86"/>
      <c r="S62" s="86"/>
      <c r="T62" s="86"/>
    </row>
    <row r="63">
      <c r="A63" s="39">
        <v>44027.0</v>
      </c>
      <c r="B63" s="2" t="s">
        <v>1778</v>
      </c>
      <c r="C63" s="2" t="s">
        <v>1779</v>
      </c>
      <c r="D63" s="2" t="s">
        <v>1777</v>
      </c>
      <c r="E63" s="2">
        <v>0.0</v>
      </c>
      <c r="I63" s="2">
        <v>100.0</v>
      </c>
      <c r="M63" s="2" t="s">
        <v>1780</v>
      </c>
      <c r="O63" s="86"/>
      <c r="P63" s="156"/>
      <c r="Q63" s="156"/>
      <c r="R63" s="86"/>
      <c r="S63" s="86"/>
      <c r="T63" s="86"/>
    </row>
    <row r="64">
      <c r="A64" s="39">
        <v>44056.0</v>
      </c>
      <c r="B64" s="2" t="s">
        <v>1781</v>
      </c>
      <c r="C64" s="2" t="s">
        <v>1782</v>
      </c>
      <c r="D64" s="2" t="s">
        <v>1777</v>
      </c>
      <c r="E64" s="2">
        <v>0.0</v>
      </c>
      <c r="J64" s="2" t="s">
        <v>1783</v>
      </c>
      <c r="O64" s="86"/>
      <c r="P64" s="156"/>
      <c r="Q64" s="156"/>
      <c r="R64" s="86"/>
      <c r="S64" s="86"/>
      <c r="T64" s="86"/>
    </row>
    <row r="65">
      <c r="A65" s="39">
        <v>44062.0</v>
      </c>
      <c r="B65" s="2" t="s">
        <v>1146</v>
      </c>
      <c r="C65" s="2" t="s">
        <v>1147</v>
      </c>
      <c r="D65" s="2" t="s">
        <v>412</v>
      </c>
      <c r="E65" s="2">
        <v>0.0</v>
      </c>
      <c r="J65" s="2" t="s">
        <v>1784</v>
      </c>
      <c r="O65" s="86"/>
      <c r="P65" s="156"/>
      <c r="Q65" s="156"/>
      <c r="R65" s="86"/>
      <c r="S65" s="86"/>
      <c r="T65" s="86"/>
    </row>
    <row r="66">
      <c r="A66" s="39">
        <v>44112.0</v>
      </c>
      <c r="B66" s="2" t="s">
        <v>1785</v>
      </c>
      <c r="C66" s="2" t="s">
        <v>1026</v>
      </c>
      <c r="D66" s="2" t="s">
        <v>429</v>
      </c>
      <c r="E66" s="2">
        <v>0.0</v>
      </c>
      <c r="J66" s="2" t="s">
        <v>994</v>
      </c>
      <c r="K66" s="2" t="s">
        <v>869</v>
      </c>
      <c r="L66" s="2" t="s">
        <v>1414</v>
      </c>
      <c r="M66" s="2" t="s">
        <v>1786</v>
      </c>
      <c r="O66" s="86"/>
      <c r="P66" s="156"/>
      <c r="Q66" s="156"/>
      <c r="R66" s="86"/>
      <c r="S66" s="86"/>
      <c r="T66" s="86"/>
    </row>
    <row r="67">
      <c r="A67" s="39">
        <v>44119.0</v>
      </c>
      <c r="C67" s="2" t="s">
        <v>40</v>
      </c>
      <c r="G67" s="2">
        <v>15.0</v>
      </c>
      <c r="J67" s="2" t="s">
        <v>1708</v>
      </c>
      <c r="M67" s="2" t="s">
        <v>1787</v>
      </c>
      <c r="O67" s="86"/>
      <c r="P67" s="156"/>
      <c r="Q67" s="156"/>
      <c r="R67" s="86"/>
      <c r="S67" s="86"/>
      <c r="T67" s="86"/>
    </row>
    <row r="68">
      <c r="A68" s="39">
        <v>44119.0</v>
      </c>
      <c r="B68" s="2" t="s">
        <v>1788</v>
      </c>
      <c r="C68" s="2" t="s">
        <v>1789</v>
      </c>
      <c r="D68" s="2" t="s">
        <v>1790</v>
      </c>
      <c r="E68" s="2">
        <v>0.0</v>
      </c>
      <c r="J68" s="2" t="s">
        <v>1791</v>
      </c>
      <c r="K68" s="2" t="s">
        <v>1664</v>
      </c>
      <c r="L68" s="2" t="s">
        <v>1792</v>
      </c>
      <c r="O68" s="86"/>
      <c r="P68" s="86"/>
      <c r="Q68" s="86"/>
      <c r="R68" s="86"/>
      <c r="S68" s="86"/>
      <c r="T68" s="86"/>
    </row>
    <row r="69">
      <c r="A69" s="39">
        <v>44142.0</v>
      </c>
      <c r="B69" s="2" t="s">
        <v>1793</v>
      </c>
      <c r="C69" s="2" t="s">
        <v>1794</v>
      </c>
      <c r="D69" s="2" t="s">
        <v>412</v>
      </c>
      <c r="E69" s="2">
        <v>0.0</v>
      </c>
      <c r="J69" s="2" t="s">
        <v>785</v>
      </c>
      <c r="M69" s="2" t="s">
        <v>1795</v>
      </c>
      <c r="O69" s="86"/>
      <c r="P69" s="86"/>
      <c r="Q69" s="86"/>
      <c r="R69" s="86"/>
      <c r="S69" s="86"/>
      <c r="T69" s="86"/>
    </row>
    <row r="70">
      <c r="A70" s="39">
        <v>44143.0</v>
      </c>
      <c r="B70" s="2" t="s">
        <v>958</v>
      </c>
      <c r="C70" s="2" t="s">
        <v>1118</v>
      </c>
      <c r="D70" s="2" t="s">
        <v>408</v>
      </c>
      <c r="E70" s="2">
        <v>0.0</v>
      </c>
      <c r="I70" s="2">
        <v>510.0</v>
      </c>
      <c r="J70" s="2" t="s">
        <v>960</v>
      </c>
      <c r="K70" s="2" t="s">
        <v>265</v>
      </c>
      <c r="L70" s="2" t="s">
        <v>1534</v>
      </c>
      <c r="M70" s="2" t="s">
        <v>1796</v>
      </c>
      <c r="O70" s="86"/>
      <c r="P70" s="86"/>
      <c r="Q70" s="86"/>
      <c r="R70" s="86"/>
      <c r="S70" s="86"/>
      <c r="T70" s="86"/>
    </row>
    <row r="71">
      <c r="A71" s="39">
        <v>44158.0</v>
      </c>
      <c r="C71" s="2" t="s">
        <v>1115</v>
      </c>
      <c r="D71" s="2" t="s">
        <v>333</v>
      </c>
      <c r="E71" s="2">
        <v>0.0</v>
      </c>
      <c r="I71" s="2">
        <v>300.0</v>
      </c>
      <c r="J71" s="2" t="s">
        <v>994</v>
      </c>
      <c r="M71" s="2" t="s">
        <v>1797</v>
      </c>
      <c r="O71" s="86"/>
      <c r="P71" s="86"/>
      <c r="Q71" s="86"/>
      <c r="R71" s="86"/>
      <c r="S71" s="86"/>
      <c r="T71" s="86"/>
    </row>
    <row r="72">
      <c r="A72" s="39">
        <v>44203.0</v>
      </c>
      <c r="B72" s="2" t="s">
        <v>1798</v>
      </c>
      <c r="C72" s="2" t="s">
        <v>1799</v>
      </c>
      <c r="D72" s="2" t="s">
        <v>438</v>
      </c>
      <c r="E72" s="2">
        <v>0.0</v>
      </c>
      <c r="J72" s="2" t="s">
        <v>1800</v>
      </c>
      <c r="L72" s="2" t="s">
        <v>1277</v>
      </c>
      <c r="O72" s="86"/>
      <c r="P72" s="86"/>
      <c r="Q72" s="86"/>
      <c r="R72" s="86"/>
      <c r="S72" s="86"/>
      <c r="T72" s="86"/>
    </row>
    <row r="73">
      <c r="A73" s="39"/>
      <c r="O73" s="86"/>
      <c r="P73" s="86"/>
      <c r="Q73" s="86"/>
      <c r="R73" s="86"/>
      <c r="S73" s="86"/>
      <c r="T73" s="86"/>
    </row>
    <row r="74">
      <c r="A74" s="39">
        <v>44416.0</v>
      </c>
      <c r="B74" s="2" t="s">
        <v>1801</v>
      </c>
      <c r="C74" s="2" t="s">
        <v>1802</v>
      </c>
      <c r="D74" s="2" t="s">
        <v>58</v>
      </c>
      <c r="E74" s="2">
        <v>0.0</v>
      </c>
      <c r="I74" s="2">
        <v>150.0</v>
      </c>
      <c r="J74" s="2" t="s">
        <v>720</v>
      </c>
      <c r="M74" s="2" t="s">
        <v>1803</v>
      </c>
      <c r="O74" s="86"/>
      <c r="P74" s="86"/>
      <c r="Q74" s="86"/>
      <c r="R74" s="86"/>
      <c r="S74" s="86"/>
      <c r="T74" s="86"/>
    </row>
    <row r="75">
      <c r="A75" s="39">
        <v>44485.0</v>
      </c>
      <c r="C75" s="2" t="s">
        <v>1070</v>
      </c>
      <c r="D75" s="2" t="s">
        <v>438</v>
      </c>
      <c r="E75" s="2">
        <v>0.0</v>
      </c>
      <c r="F75" s="2">
        <v>10.0</v>
      </c>
      <c r="H75" s="2">
        <v>1500.0</v>
      </c>
      <c r="J75" s="2" t="s">
        <v>815</v>
      </c>
      <c r="K75" s="2" t="s">
        <v>1804</v>
      </c>
      <c r="M75" s="2" t="s">
        <v>1805</v>
      </c>
      <c r="O75" s="86"/>
      <c r="P75" s="86"/>
      <c r="Q75" s="86"/>
      <c r="R75" s="86"/>
      <c r="S75" s="86"/>
      <c r="T75" s="86"/>
    </row>
    <row r="76">
      <c r="A76" s="39">
        <v>44552.0</v>
      </c>
      <c r="C76" s="2" t="s">
        <v>1035</v>
      </c>
      <c r="D76" s="2" t="s">
        <v>58</v>
      </c>
      <c r="E76" s="2">
        <v>0.0</v>
      </c>
      <c r="F76" s="2">
        <v>10.0</v>
      </c>
      <c r="H76" s="2">
        <v>10000.0</v>
      </c>
      <c r="I76" s="2">
        <v>550.0</v>
      </c>
      <c r="J76" s="2" t="s">
        <v>158</v>
      </c>
      <c r="K76" s="2" t="s">
        <v>714</v>
      </c>
      <c r="L76" s="2" t="s">
        <v>1036</v>
      </c>
      <c r="O76" s="86"/>
      <c r="P76" s="86"/>
      <c r="Q76" s="86"/>
      <c r="R76" s="86"/>
      <c r="S76" s="86"/>
      <c r="T76" s="86"/>
    </row>
    <row r="77">
      <c r="A77" s="39">
        <v>44583.0</v>
      </c>
      <c r="B77" s="2" t="s">
        <v>1520</v>
      </c>
      <c r="C77" s="2" t="s">
        <v>1521</v>
      </c>
      <c r="D77" s="2" t="s">
        <v>408</v>
      </c>
      <c r="F77" s="2">
        <v>10.0</v>
      </c>
      <c r="H77" s="2">
        <v>8333.0</v>
      </c>
      <c r="I77" s="2">
        <v>750.0</v>
      </c>
      <c r="J77" s="2" t="s">
        <v>1806</v>
      </c>
      <c r="K77" s="2" t="s">
        <v>1807</v>
      </c>
      <c r="M77" s="2" t="s">
        <v>1808</v>
      </c>
      <c r="O77" s="86"/>
      <c r="P77" s="86"/>
      <c r="Q77" s="86"/>
      <c r="R77" s="86"/>
      <c r="S77" s="86"/>
      <c r="T77" s="86"/>
    </row>
    <row r="78">
      <c r="D78" s="2" t="s">
        <v>58</v>
      </c>
      <c r="F78" s="2">
        <v>10.0</v>
      </c>
      <c r="H78" s="2">
        <v>2200.0</v>
      </c>
      <c r="J78" s="2" t="s">
        <v>248</v>
      </c>
      <c r="K78" s="2" t="s">
        <v>175</v>
      </c>
      <c r="O78" s="86"/>
      <c r="P78" s="86"/>
      <c r="Q78" s="86"/>
      <c r="R78" s="86"/>
      <c r="S78" s="86"/>
      <c r="T78" s="86"/>
    </row>
    <row r="79">
      <c r="B79" s="2" t="s">
        <v>1809</v>
      </c>
      <c r="C79" s="2" t="s">
        <v>1810</v>
      </c>
      <c r="D79" s="2" t="s">
        <v>760</v>
      </c>
      <c r="E79" s="2">
        <v>1.0</v>
      </c>
      <c r="F79" s="2">
        <v>10.0</v>
      </c>
      <c r="H79" s="2">
        <v>4925.0</v>
      </c>
      <c r="J79" s="2" t="s">
        <v>1811</v>
      </c>
      <c r="K79" s="2" t="s">
        <v>1812</v>
      </c>
      <c r="L79" s="2" t="s">
        <v>1813</v>
      </c>
      <c r="O79" s="86"/>
      <c r="P79" s="86"/>
      <c r="Q79" s="86"/>
      <c r="R79" s="86"/>
      <c r="S79" s="86"/>
      <c r="T79" s="86"/>
    </row>
    <row r="80">
      <c r="A80" s="159">
        <v>45546.0</v>
      </c>
      <c r="B80" s="101"/>
      <c r="C80" s="160" t="s">
        <v>238</v>
      </c>
      <c r="D80" s="160" t="s">
        <v>179</v>
      </c>
      <c r="E80" s="101">
        <v>3.0</v>
      </c>
      <c r="F80" s="101"/>
      <c r="G80" s="161"/>
      <c r="H80" s="101"/>
      <c r="I80" s="101"/>
      <c r="J80" s="161"/>
      <c r="K80" s="101"/>
      <c r="L80" s="101"/>
      <c r="M80" s="161"/>
      <c r="N80" s="101"/>
      <c r="O80" s="162"/>
      <c r="P80" s="162"/>
      <c r="Q80" s="162"/>
      <c r="R80" s="162"/>
      <c r="S80" s="162"/>
      <c r="T80" s="162"/>
      <c r="U80" s="101"/>
      <c r="V80" s="101"/>
      <c r="W80" s="101"/>
      <c r="X80" s="101"/>
      <c r="Y80" s="101"/>
      <c r="Z80" s="101"/>
      <c r="AA80" s="101"/>
      <c r="AB80" s="101"/>
      <c r="AC80" s="101"/>
      <c r="AD80" s="101"/>
    </row>
    <row r="81">
      <c r="A81" s="150">
        <v>45616.0</v>
      </c>
      <c r="B81" s="101"/>
      <c r="C81" s="161" t="s">
        <v>40</v>
      </c>
      <c r="D81" s="161" t="s">
        <v>179</v>
      </c>
      <c r="E81" s="101"/>
      <c r="F81" s="101"/>
      <c r="G81" s="161">
        <v>5.0</v>
      </c>
      <c r="H81" s="101"/>
      <c r="I81" s="101"/>
      <c r="J81" s="161" t="s">
        <v>791</v>
      </c>
      <c r="K81" s="101"/>
      <c r="L81" s="101"/>
      <c r="M81" s="161" t="s">
        <v>1814</v>
      </c>
      <c r="N81" s="101"/>
      <c r="O81" s="162"/>
      <c r="P81" s="162"/>
      <c r="Q81" s="162"/>
      <c r="R81" s="162"/>
      <c r="S81" s="162"/>
      <c r="T81" s="162"/>
      <c r="U81" s="101"/>
      <c r="V81" s="101"/>
      <c r="W81" s="101"/>
      <c r="X81" s="101"/>
      <c r="Y81" s="101"/>
      <c r="Z81" s="101"/>
      <c r="AA81" s="101"/>
      <c r="AB81" s="101"/>
      <c r="AC81" s="101"/>
      <c r="AD81" s="101"/>
    </row>
    <row r="82">
      <c r="A82" s="150">
        <v>45763.0</v>
      </c>
      <c r="B82" s="161"/>
      <c r="C82" s="161" t="s">
        <v>40</v>
      </c>
      <c r="D82" s="161" t="s">
        <v>179</v>
      </c>
      <c r="E82" s="161"/>
      <c r="F82" s="161"/>
      <c r="G82" s="161">
        <v>5.0</v>
      </c>
      <c r="H82" s="161"/>
      <c r="I82" s="101"/>
      <c r="J82" s="161" t="s">
        <v>940</v>
      </c>
      <c r="K82" s="101"/>
      <c r="L82" s="101"/>
      <c r="M82" s="161" t="s">
        <v>1815</v>
      </c>
      <c r="N82" s="101"/>
      <c r="O82" s="101"/>
      <c r="P82" s="101"/>
      <c r="Q82" s="101"/>
      <c r="R82" s="101"/>
      <c r="S82" s="101"/>
      <c r="T82" s="101"/>
      <c r="U82" s="101"/>
      <c r="V82" s="101"/>
      <c r="W82" s="101"/>
      <c r="X82" s="101"/>
      <c r="Y82" s="101"/>
      <c r="Z82" s="101"/>
      <c r="AA82" s="101"/>
      <c r="AB82" s="101"/>
      <c r="AC82" s="101"/>
      <c r="AD82" s="101"/>
    </row>
    <row r="83">
      <c r="A83" s="150">
        <v>45791.0</v>
      </c>
      <c r="B83" s="161"/>
      <c r="C83" s="161" t="s">
        <v>238</v>
      </c>
      <c r="D83" s="161" t="s">
        <v>179</v>
      </c>
      <c r="E83" s="161"/>
      <c r="F83" s="161">
        <v>40.0</v>
      </c>
      <c r="G83" s="101"/>
      <c r="H83" s="163"/>
      <c r="I83" s="101"/>
      <c r="J83" s="161" t="s">
        <v>1655</v>
      </c>
      <c r="K83" s="101"/>
      <c r="L83" s="101"/>
      <c r="M83" s="161"/>
      <c r="N83" s="101"/>
      <c r="O83" s="164"/>
      <c r="P83" s="162"/>
      <c r="Q83" s="162"/>
      <c r="R83" s="162"/>
      <c r="S83" s="162"/>
      <c r="T83" s="162"/>
      <c r="U83" s="101"/>
      <c r="V83" s="101"/>
      <c r="W83" s="101"/>
      <c r="X83" s="101"/>
      <c r="Y83" s="101"/>
      <c r="Z83" s="101"/>
      <c r="AA83" s="101"/>
      <c r="AB83" s="101"/>
      <c r="AC83" s="101"/>
      <c r="AD83" s="101"/>
    </row>
    <row r="84">
      <c r="A84" s="150">
        <v>45791.0</v>
      </c>
      <c r="B84" s="161" t="s">
        <v>1816</v>
      </c>
      <c r="C84" s="161" t="s">
        <v>1817</v>
      </c>
      <c r="D84" s="161" t="s">
        <v>58</v>
      </c>
      <c r="E84" s="161"/>
      <c r="F84" s="161">
        <v>10.0</v>
      </c>
      <c r="G84" s="101"/>
      <c r="H84" s="163">
        <v>20000.0</v>
      </c>
      <c r="I84" s="101"/>
      <c r="J84" s="161" t="s">
        <v>1818</v>
      </c>
      <c r="K84" s="101"/>
      <c r="L84" s="101"/>
      <c r="M84" s="161" t="s">
        <v>1653</v>
      </c>
      <c r="N84" s="101"/>
      <c r="O84" s="164" t="s">
        <v>1819</v>
      </c>
      <c r="P84" s="162"/>
      <c r="Q84" s="162"/>
      <c r="R84" s="162"/>
      <c r="S84" s="162"/>
      <c r="T84" s="162"/>
      <c r="U84" s="101"/>
      <c r="V84" s="101"/>
      <c r="W84" s="101"/>
      <c r="X84" s="101"/>
      <c r="Y84" s="101"/>
      <c r="Z84" s="101"/>
      <c r="AA84" s="101"/>
      <c r="AB84" s="101"/>
      <c r="AC84" s="101"/>
      <c r="AD84" s="101"/>
    </row>
    <row r="85">
      <c r="A85" s="150">
        <v>45802.0</v>
      </c>
      <c r="B85" s="161" t="s">
        <v>1820</v>
      </c>
      <c r="C85" s="161" t="s">
        <v>1821</v>
      </c>
      <c r="D85" s="101"/>
      <c r="E85" s="101"/>
      <c r="F85" s="161">
        <v>10.0</v>
      </c>
      <c r="G85" s="101"/>
      <c r="H85" s="101"/>
      <c r="I85" s="101"/>
      <c r="J85" s="161" t="s">
        <v>1563</v>
      </c>
      <c r="K85" s="101"/>
      <c r="L85" s="101"/>
      <c r="M85" s="101"/>
      <c r="N85" s="101"/>
      <c r="O85" s="101"/>
      <c r="P85" s="162"/>
      <c r="Q85" s="162"/>
      <c r="R85" s="162"/>
      <c r="S85" s="162"/>
      <c r="T85" s="162"/>
      <c r="U85" s="101"/>
      <c r="V85" s="101"/>
      <c r="W85" s="101"/>
      <c r="X85" s="101"/>
      <c r="Y85" s="101"/>
      <c r="Z85" s="101"/>
      <c r="AA85" s="101"/>
      <c r="AB85" s="101"/>
      <c r="AC85" s="101"/>
      <c r="AD85" s="101"/>
    </row>
    <row r="86">
      <c r="A86" s="101"/>
      <c r="B86" s="101"/>
      <c r="C86" s="101"/>
      <c r="D86" s="101"/>
      <c r="E86" s="101"/>
      <c r="F86" s="101"/>
      <c r="G86" s="101"/>
      <c r="H86" s="101"/>
      <c r="I86" s="101"/>
      <c r="J86" s="101"/>
      <c r="K86" s="101"/>
      <c r="L86" s="101"/>
      <c r="M86" s="101"/>
      <c r="N86" s="101"/>
      <c r="O86" s="162"/>
      <c r="P86" s="162"/>
      <c r="Q86" s="162"/>
      <c r="R86" s="162"/>
      <c r="S86" s="162"/>
      <c r="T86" s="162"/>
      <c r="U86" s="101"/>
      <c r="V86" s="101"/>
      <c r="W86" s="101"/>
      <c r="X86" s="101"/>
      <c r="Y86" s="101"/>
      <c r="Z86" s="101"/>
      <c r="AA86" s="101"/>
      <c r="AB86" s="101"/>
      <c r="AC86" s="101"/>
      <c r="AD86" s="101"/>
    </row>
    <row r="87">
      <c r="A87" s="101"/>
      <c r="B87" s="101"/>
      <c r="C87" s="101"/>
      <c r="D87" s="101"/>
      <c r="E87" s="101"/>
      <c r="F87" s="101"/>
      <c r="G87" s="101"/>
      <c r="H87" s="101"/>
      <c r="I87" s="101"/>
      <c r="J87" s="101"/>
      <c r="K87" s="101"/>
      <c r="L87" s="101"/>
      <c r="M87" s="101"/>
      <c r="N87" s="101"/>
      <c r="O87" s="162"/>
      <c r="P87" s="162"/>
      <c r="Q87" s="162"/>
      <c r="R87" s="162"/>
      <c r="S87" s="162"/>
      <c r="T87" s="162"/>
      <c r="U87" s="101"/>
      <c r="V87" s="101"/>
      <c r="W87" s="101"/>
      <c r="X87" s="101"/>
      <c r="Y87" s="101"/>
      <c r="Z87" s="101"/>
      <c r="AA87" s="101"/>
      <c r="AB87" s="101"/>
      <c r="AC87" s="101"/>
      <c r="AD87" s="101"/>
    </row>
    <row r="88">
      <c r="A88" s="101"/>
      <c r="B88" s="101"/>
      <c r="C88" s="101"/>
      <c r="D88" s="101"/>
      <c r="E88" s="101"/>
      <c r="F88" s="101"/>
      <c r="G88" s="101"/>
      <c r="H88" s="101"/>
      <c r="I88" s="101"/>
      <c r="J88" s="101"/>
      <c r="K88" s="101"/>
      <c r="L88" s="101"/>
      <c r="M88" s="101"/>
      <c r="N88" s="101"/>
      <c r="O88" s="162"/>
      <c r="P88" s="162"/>
      <c r="Q88" s="162"/>
      <c r="R88" s="162"/>
      <c r="S88" s="162"/>
      <c r="T88" s="162"/>
      <c r="U88" s="101"/>
      <c r="V88" s="101"/>
      <c r="W88" s="101"/>
      <c r="X88" s="101"/>
      <c r="Y88" s="101"/>
      <c r="Z88" s="101"/>
      <c r="AA88" s="101"/>
      <c r="AB88" s="101"/>
      <c r="AC88" s="101"/>
      <c r="AD88" s="101"/>
    </row>
    <row r="89">
      <c r="A89" s="101"/>
      <c r="B89" s="101"/>
      <c r="C89" s="101"/>
      <c r="D89" s="101"/>
      <c r="E89" s="101"/>
      <c r="F89" s="101"/>
      <c r="G89" s="101"/>
      <c r="H89" s="101"/>
      <c r="I89" s="101"/>
      <c r="J89" s="101"/>
      <c r="K89" s="101"/>
      <c r="L89" s="101"/>
      <c r="M89" s="101"/>
      <c r="N89" s="101"/>
      <c r="O89" s="162"/>
      <c r="P89" s="162"/>
      <c r="Q89" s="162"/>
      <c r="R89" s="162"/>
      <c r="S89" s="162"/>
      <c r="T89" s="162"/>
      <c r="U89" s="101"/>
      <c r="V89" s="101"/>
      <c r="W89" s="101"/>
      <c r="X89" s="101"/>
      <c r="Y89" s="101"/>
      <c r="Z89" s="101"/>
      <c r="AA89" s="101"/>
      <c r="AB89" s="101"/>
      <c r="AC89" s="101"/>
      <c r="AD89" s="101"/>
    </row>
    <row r="90">
      <c r="A90" s="101"/>
      <c r="B90" s="101"/>
      <c r="C90" s="101"/>
      <c r="D90" s="101"/>
      <c r="E90" s="101"/>
      <c r="F90" s="101"/>
      <c r="G90" s="101"/>
      <c r="H90" s="101"/>
      <c r="I90" s="101"/>
      <c r="J90" s="101"/>
      <c r="K90" s="101"/>
      <c r="L90" s="101"/>
      <c r="M90" s="101"/>
      <c r="N90" s="101"/>
      <c r="O90" s="162"/>
      <c r="P90" s="162"/>
      <c r="Q90" s="162"/>
      <c r="R90" s="162"/>
      <c r="S90" s="162"/>
      <c r="T90" s="162"/>
      <c r="U90" s="101"/>
      <c r="V90" s="101"/>
      <c r="W90" s="101"/>
      <c r="X90" s="101"/>
      <c r="Y90" s="101"/>
      <c r="Z90" s="101"/>
      <c r="AA90" s="101"/>
      <c r="AB90" s="101"/>
      <c r="AC90" s="101"/>
      <c r="AD90" s="101"/>
    </row>
    <row r="91">
      <c r="A91" s="101"/>
      <c r="B91" s="101"/>
      <c r="C91" s="101"/>
      <c r="D91" s="101"/>
      <c r="E91" s="101"/>
      <c r="F91" s="101"/>
      <c r="G91" s="101"/>
      <c r="H91" s="101"/>
      <c r="I91" s="101"/>
      <c r="J91" s="101"/>
      <c r="K91" s="101"/>
      <c r="L91" s="101"/>
      <c r="M91" s="101"/>
      <c r="N91" s="101"/>
      <c r="O91" s="162"/>
      <c r="P91" s="162"/>
      <c r="Q91" s="162"/>
      <c r="R91" s="162"/>
      <c r="S91" s="162"/>
      <c r="T91" s="162"/>
      <c r="U91" s="101"/>
      <c r="V91" s="101"/>
      <c r="W91" s="101"/>
      <c r="X91" s="101"/>
      <c r="Y91" s="101"/>
      <c r="Z91" s="101"/>
      <c r="AA91" s="101"/>
      <c r="AB91" s="101"/>
      <c r="AC91" s="101"/>
      <c r="AD91" s="101"/>
    </row>
    <row r="92">
      <c r="A92" s="101"/>
      <c r="B92" s="101"/>
      <c r="C92" s="101"/>
      <c r="D92" s="101"/>
      <c r="E92" s="101"/>
      <c r="F92" s="101"/>
      <c r="G92" s="101"/>
      <c r="H92" s="101"/>
      <c r="I92" s="101"/>
      <c r="J92" s="101"/>
      <c r="K92" s="101"/>
      <c r="L92" s="101"/>
      <c r="M92" s="101"/>
      <c r="N92" s="101"/>
      <c r="O92" s="162"/>
      <c r="P92" s="162"/>
      <c r="Q92" s="162"/>
      <c r="R92" s="162"/>
      <c r="S92" s="162"/>
      <c r="T92" s="162"/>
      <c r="U92" s="101"/>
      <c r="V92" s="101"/>
      <c r="W92" s="101"/>
      <c r="X92" s="101"/>
      <c r="Y92" s="101"/>
      <c r="Z92" s="101"/>
      <c r="AA92" s="101"/>
      <c r="AB92" s="101"/>
      <c r="AC92" s="101"/>
      <c r="AD92" s="101"/>
    </row>
    <row r="93">
      <c r="A93" s="101"/>
      <c r="B93" s="101"/>
      <c r="C93" s="101"/>
      <c r="D93" s="101"/>
      <c r="E93" s="101"/>
      <c r="F93" s="101"/>
      <c r="G93" s="101"/>
      <c r="H93" s="101"/>
      <c r="I93" s="101"/>
      <c r="J93" s="101"/>
      <c r="K93" s="101"/>
      <c r="L93" s="101"/>
      <c r="M93" s="101"/>
      <c r="N93" s="101"/>
      <c r="O93" s="162"/>
      <c r="P93" s="162"/>
      <c r="Q93" s="162"/>
      <c r="R93" s="162"/>
      <c r="S93" s="162"/>
      <c r="T93" s="162"/>
      <c r="U93" s="101"/>
      <c r="V93" s="101"/>
      <c r="W93" s="101"/>
      <c r="X93" s="101"/>
      <c r="Y93" s="101"/>
      <c r="Z93" s="101"/>
      <c r="AA93" s="101"/>
      <c r="AB93" s="101"/>
      <c r="AC93" s="101"/>
      <c r="AD93" s="101"/>
    </row>
    <row r="94">
      <c r="A94" s="101"/>
      <c r="B94" s="101"/>
      <c r="C94" s="101"/>
      <c r="D94" s="101"/>
      <c r="E94" s="101"/>
      <c r="F94" s="101"/>
      <c r="G94" s="101"/>
      <c r="H94" s="101"/>
      <c r="I94" s="101"/>
      <c r="J94" s="101"/>
      <c r="K94" s="101"/>
      <c r="L94" s="101"/>
      <c r="M94" s="101"/>
      <c r="N94" s="101"/>
      <c r="O94" s="162"/>
      <c r="P94" s="162"/>
      <c r="Q94" s="162"/>
      <c r="R94" s="162"/>
      <c r="S94" s="162"/>
      <c r="T94" s="162"/>
      <c r="U94" s="101"/>
      <c r="V94" s="101"/>
      <c r="W94" s="101"/>
      <c r="X94" s="101"/>
      <c r="Y94" s="101"/>
      <c r="Z94" s="101"/>
      <c r="AA94" s="101"/>
      <c r="AB94" s="101"/>
      <c r="AC94" s="101"/>
      <c r="AD94" s="101"/>
    </row>
    <row r="95">
      <c r="A95" s="101"/>
      <c r="B95" s="101"/>
      <c r="C95" s="101"/>
      <c r="D95" s="101"/>
      <c r="E95" s="101"/>
      <c r="F95" s="101"/>
      <c r="G95" s="101"/>
      <c r="H95" s="101"/>
      <c r="I95" s="101"/>
      <c r="J95" s="101"/>
      <c r="K95" s="101"/>
      <c r="L95" s="101"/>
      <c r="M95" s="101"/>
      <c r="N95" s="101"/>
      <c r="O95" s="162"/>
      <c r="P95" s="162"/>
      <c r="Q95" s="162"/>
      <c r="R95" s="162"/>
      <c r="S95" s="162"/>
      <c r="T95" s="162"/>
      <c r="U95" s="101"/>
      <c r="V95" s="101"/>
      <c r="W95" s="101"/>
      <c r="X95" s="101"/>
      <c r="Y95" s="101"/>
      <c r="Z95" s="101"/>
      <c r="AA95" s="101"/>
      <c r="AB95" s="101"/>
      <c r="AC95" s="101"/>
      <c r="AD95" s="101"/>
    </row>
    <row r="96">
      <c r="A96" s="101"/>
      <c r="B96" s="101"/>
      <c r="C96" s="101"/>
      <c r="D96" s="101"/>
      <c r="E96" s="101"/>
      <c r="F96" s="101"/>
      <c r="G96" s="101"/>
      <c r="H96" s="101"/>
      <c r="I96" s="101"/>
      <c r="J96" s="101"/>
      <c r="K96" s="101"/>
      <c r="L96" s="101"/>
      <c r="M96" s="101"/>
      <c r="N96" s="101"/>
      <c r="O96" s="162"/>
      <c r="P96" s="162"/>
      <c r="Q96" s="162"/>
      <c r="R96" s="162"/>
      <c r="S96" s="162"/>
      <c r="T96" s="162"/>
      <c r="U96" s="101"/>
      <c r="V96" s="101"/>
      <c r="W96" s="101"/>
      <c r="X96" s="101"/>
      <c r="Y96" s="101"/>
      <c r="Z96" s="101"/>
      <c r="AA96" s="101"/>
      <c r="AB96" s="101"/>
      <c r="AC96" s="101"/>
      <c r="AD96" s="101"/>
    </row>
    <row r="97">
      <c r="A97" s="101"/>
      <c r="B97" s="101"/>
      <c r="C97" s="101"/>
      <c r="D97" s="101"/>
      <c r="E97" s="101"/>
      <c r="F97" s="101"/>
      <c r="G97" s="101"/>
      <c r="H97" s="101"/>
      <c r="I97" s="101"/>
      <c r="J97" s="101"/>
      <c r="K97" s="101"/>
      <c r="L97" s="101"/>
      <c r="M97" s="101"/>
      <c r="N97" s="101"/>
      <c r="O97" s="162"/>
      <c r="P97" s="162"/>
      <c r="Q97" s="162"/>
      <c r="R97" s="162"/>
      <c r="S97" s="162"/>
      <c r="T97" s="162"/>
      <c r="U97" s="101"/>
      <c r="V97" s="101"/>
      <c r="W97" s="101"/>
      <c r="X97" s="101"/>
      <c r="Y97" s="101"/>
      <c r="Z97" s="101"/>
      <c r="AA97" s="101"/>
      <c r="AB97" s="101"/>
      <c r="AC97" s="101"/>
      <c r="AD97" s="101"/>
    </row>
    <row r="98">
      <c r="A98" s="101"/>
      <c r="B98" s="101"/>
      <c r="C98" s="101"/>
      <c r="D98" s="101"/>
      <c r="E98" s="101"/>
      <c r="F98" s="101"/>
      <c r="G98" s="101"/>
      <c r="H98" s="101"/>
      <c r="I98" s="101"/>
      <c r="J98" s="101"/>
      <c r="K98" s="101"/>
      <c r="L98" s="101"/>
      <c r="M98" s="101"/>
      <c r="N98" s="101"/>
      <c r="O98" s="162"/>
      <c r="P98" s="162"/>
      <c r="Q98" s="162"/>
      <c r="R98" s="162"/>
      <c r="S98" s="162"/>
      <c r="T98" s="162"/>
      <c r="U98" s="101"/>
      <c r="V98" s="101"/>
      <c r="W98" s="101"/>
      <c r="X98" s="101"/>
      <c r="Y98" s="101"/>
      <c r="Z98" s="101"/>
      <c r="AA98" s="101"/>
      <c r="AB98" s="101"/>
      <c r="AC98" s="101"/>
      <c r="AD98" s="101"/>
    </row>
    <row r="99">
      <c r="A99" s="101"/>
      <c r="B99" s="101"/>
      <c r="C99" s="101"/>
      <c r="D99" s="101"/>
      <c r="E99" s="101"/>
      <c r="F99" s="101"/>
      <c r="G99" s="101"/>
      <c r="H99" s="101"/>
      <c r="I99" s="101"/>
      <c r="J99" s="101"/>
      <c r="K99" s="101"/>
      <c r="L99" s="101"/>
      <c r="M99" s="101"/>
      <c r="N99" s="101"/>
      <c r="O99" s="162"/>
      <c r="P99" s="162"/>
      <c r="Q99" s="162"/>
      <c r="R99" s="162"/>
      <c r="S99" s="162"/>
      <c r="T99" s="162"/>
      <c r="U99" s="101"/>
      <c r="V99" s="101"/>
      <c r="W99" s="101"/>
      <c r="X99" s="101"/>
      <c r="Y99" s="101"/>
      <c r="Z99" s="101"/>
      <c r="AA99" s="101"/>
      <c r="AB99" s="101"/>
      <c r="AC99" s="101"/>
      <c r="AD99" s="101"/>
    </row>
    <row r="100">
      <c r="A100" s="101"/>
      <c r="B100" s="101"/>
      <c r="C100" s="101"/>
      <c r="D100" s="101"/>
      <c r="E100" s="101"/>
      <c r="F100" s="101"/>
      <c r="G100" s="101"/>
      <c r="H100" s="101"/>
      <c r="I100" s="101"/>
      <c r="J100" s="101"/>
      <c r="K100" s="101"/>
      <c r="L100" s="101"/>
      <c r="M100" s="101"/>
      <c r="N100" s="101"/>
      <c r="O100" s="162"/>
      <c r="P100" s="162"/>
      <c r="Q100" s="162"/>
      <c r="R100" s="162"/>
      <c r="S100" s="162"/>
      <c r="T100" s="162"/>
      <c r="U100" s="101"/>
      <c r="V100" s="101"/>
      <c r="W100" s="101"/>
      <c r="X100" s="101"/>
      <c r="Y100" s="101"/>
      <c r="Z100" s="101"/>
      <c r="AA100" s="101"/>
      <c r="AB100" s="101"/>
      <c r="AC100" s="101"/>
      <c r="AD100" s="101"/>
    </row>
    <row r="101">
      <c r="A101" s="101"/>
      <c r="B101" s="101"/>
      <c r="C101" s="101"/>
      <c r="D101" s="101"/>
      <c r="E101" s="101"/>
      <c r="F101" s="101"/>
      <c r="G101" s="101"/>
      <c r="H101" s="101"/>
      <c r="I101" s="101"/>
      <c r="J101" s="101"/>
      <c r="K101" s="101"/>
      <c r="L101" s="101"/>
      <c r="M101" s="101"/>
      <c r="N101" s="101"/>
      <c r="O101" s="162"/>
      <c r="P101" s="162"/>
      <c r="Q101" s="162"/>
      <c r="R101" s="162"/>
      <c r="S101" s="162"/>
      <c r="T101" s="162"/>
      <c r="U101" s="101"/>
      <c r="V101" s="101"/>
      <c r="W101" s="101"/>
      <c r="X101" s="101"/>
      <c r="Y101" s="101"/>
      <c r="Z101" s="101"/>
      <c r="AA101" s="101"/>
      <c r="AB101" s="101"/>
      <c r="AC101" s="101"/>
      <c r="AD101" s="101"/>
    </row>
    <row r="102">
      <c r="A102" s="101"/>
      <c r="B102" s="101"/>
      <c r="C102" s="101"/>
      <c r="D102" s="101"/>
      <c r="E102" s="101"/>
      <c r="F102" s="101"/>
      <c r="G102" s="101"/>
      <c r="H102" s="101"/>
      <c r="I102" s="101"/>
      <c r="J102" s="101"/>
      <c r="K102" s="101"/>
      <c r="L102" s="101"/>
      <c r="M102" s="101"/>
      <c r="N102" s="101"/>
      <c r="O102" s="162"/>
      <c r="P102" s="162"/>
      <c r="Q102" s="162"/>
      <c r="R102" s="162"/>
      <c r="S102" s="162"/>
      <c r="T102" s="162"/>
      <c r="U102" s="101"/>
      <c r="V102" s="101"/>
      <c r="W102" s="101"/>
      <c r="X102" s="101"/>
      <c r="Y102" s="101"/>
      <c r="Z102" s="101"/>
      <c r="AA102" s="101"/>
      <c r="AB102" s="101"/>
      <c r="AC102" s="101"/>
      <c r="AD102" s="101"/>
    </row>
    <row r="103">
      <c r="A103" s="101"/>
      <c r="B103" s="101"/>
      <c r="C103" s="101"/>
      <c r="D103" s="101"/>
      <c r="E103" s="101"/>
      <c r="F103" s="101"/>
      <c r="G103" s="101"/>
      <c r="H103" s="101"/>
      <c r="I103" s="101"/>
      <c r="J103" s="101"/>
      <c r="K103" s="101"/>
      <c r="L103" s="101"/>
      <c r="M103" s="101"/>
      <c r="N103" s="101"/>
      <c r="O103" s="162"/>
      <c r="P103" s="162"/>
      <c r="Q103" s="162"/>
      <c r="R103" s="162"/>
      <c r="S103" s="162"/>
      <c r="T103" s="162"/>
      <c r="U103" s="101"/>
      <c r="V103" s="101"/>
      <c r="W103" s="101"/>
      <c r="X103" s="101"/>
      <c r="Y103" s="101"/>
      <c r="Z103" s="101"/>
      <c r="AA103" s="101"/>
      <c r="AB103" s="101"/>
      <c r="AC103" s="101"/>
      <c r="AD103" s="101"/>
    </row>
    <row r="104">
      <c r="A104" s="101"/>
      <c r="B104" s="101"/>
      <c r="C104" s="101"/>
      <c r="D104" s="101"/>
      <c r="E104" s="101"/>
      <c r="F104" s="101"/>
      <c r="G104" s="101"/>
      <c r="H104" s="101"/>
      <c r="I104" s="101"/>
      <c r="J104" s="101"/>
      <c r="K104" s="101"/>
      <c r="L104" s="101"/>
      <c r="M104" s="101"/>
      <c r="N104" s="101"/>
      <c r="O104" s="162"/>
      <c r="P104" s="162"/>
      <c r="Q104" s="162"/>
      <c r="R104" s="162"/>
      <c r="S104" s="162"/>
      <c r="T104" s="162"/>
      <c r="U104" s="101"/>
      <c r="V104" s="101"/>
      <c r="W104" s="101"/>
      <c r="X104" s="101"/>
      <c r="Y104" s="101"/>
      <c r="Z104" s="101"/>
      <c r="AA104" s="101"/>
      <c r="AB104" s="101"/>
      <c r="AC104" s="101"/>
      <c r="AD104" s="101"/>
    </row>
    <row r="105">
      <c r="A105" s="101"/>
      <c r="B105" s="101"/>
      <c r="C105" s="101"/>
      <c r="D105" s="101"/>
      <c r="E105" s="101"/>
      <c r="F105" s="101"/>
      <c r="G105" s="101"/>
      <c r="H105" s="101"/>
      <c r="I105" s="101"/>
      <c r="J105" s="101"/>
      <c r="K105" s="101"/>
      <c r="L105" s="101"/>
      <c r="M105" s="101"/>
      <c r="N105" s="101"/>
      <c r="O105" s="162"/>
      <c r="P105" s="162"/>
      <c r="Q105" s="162"/>
      <c r="R105" s="162"/>
      <c r="S105" s="162"/>
      <c r="T105" s="162"/>
      <c r="U105" s="101"/>
      <c r="V105" s="101"/>
      <c r="W105" s="101"/>
      <c r="X105" s="101"/>
      <c r="Y105" s="101"/>
      <c r="Z105" s="101"/>
      <c r="AA105" s="101"/>
      <c r="AB105" s="101"/>
      <c r="AC105" s="101"/>
      <c r="AD105" s="101"/>
    </row>
    <row r="106">
      <c r="A106" s="101"/>
      <c r="B106" s="101"/>
      <c r="C106" s="101"/>
      <c r="D106" s="101"/>
      <c r="E106" s="101"/>
      <c r="F106" s="101"/>
      <c r="G106" s="101"/>
      <c r="H106" s="101"/>
      <c r="I106" s="101"/>
      <c r="J106" s="101"/>
      <c r="K106" s="101"/>
      <c r="L106" s="101"/>
      <c r="M106" s="101"/>
      <c r="N106" s="101"/>
      <c r="O106" s="162"/>
      <c r="P106" s="162"/>
      <c r="Q106" s="162"/>
      <c r="R106" s="162"/>
      <c r="S106" s="162"/>
      <c r="T106" s="162"/>
      <c r="U106" s="101"/>
      <c r="V106" s="101"/>
      <c r="W106" s="101"/>
      <c r="X106" s="101"/>
      <c r="Y106" s="101"/>
      <c r="Z106" s="101"/>
      <c r="AA106" s="101"/>
      <c r="AB106" s="101"/>
      <c r="AC106" s="101"/>
      <c r="AD106" s="101"/>
    </row>
    <row r="107">
      <c r="A107" s="101"/>
      <c r="B107" s="101"/>
      <c r="C107" s="101"/>
      <c r="D107" s="101"/>
      <c r="E107" s="101"/>
      <c r="F107" s="101"/>
      <c r="G107" s="101"/>
      <c r="H107" s="101"/>
      <c r="I107" s="101"/>
      <c r="J107" s="101"/>
      <c r="K107" s="101"/>
      <c r="L107" s="101"/>
      <c r="M107" s="101"/>
      <c r="N107" s="101"/>
      <c r="O107" s="162"/>
      <c r="P107" s="162"/>
      <c r="Q107" s="162"/>
      <c r="R107" s="162"/>
      <c r="S107" s="162"/>
      <c r="T107" s="162"/>
      <c r="U107" s="101"/>
      <c r="V107" s="101"/>
      <c r="W107" s="101"/>
      <c r="X107" s="101"/>
      <c r="Y107" s="101"/>
      <c r="Z107" s="101"/>
      <c r="AA107" s="101"/>
      <c r="AB107" s="101"/>
      <c r="AC107" s="101"/>
      <c r="AD107" s="101"/>
    </row>
    <row r="108">
      <c r="A108" s="101"/>
      <c r="B108" s="101"/>
      <c r="C108" s="101"/>
      <c r="D108" s="101"/>
      <c r="E108" s="101"/>
      <c r="F108" s="101"/>
      <c r="G108" s="101"/>
      <c r="H108" s="101"/>
      <c r="I108" s="101"/>
      <c r="J108" s="101"/>
      <c r="K108" s="101"/>
      <c r="L108" s="101"/>
      <c r="M108" s="101"/>
      <c r="N108" s="101"/>
      <c r="O108" s="162"/>
      <c r="P108" s="162"/>
      <c r="Q108" s="162"/>
      <c r="R108" s="162"/>
      <c r="S108" s="162"/>
      <c r="T108" s="162"/>
      <c r="U108" s="101"/>
      <c r="V108" s="101"/>
      <c r="W108" s="101"/>
      <c r="X108" s="101"/>
      <c r="Y108" s="101"/>
      <c r="Z108" s="101"/>
      <c r="AA108" s="101"/>
      <c r="AB108" s="101"/>
      <c r="AC108" s="101"/>
      <c r="AD108" s="101"/>
    </row>
    <row r="109">
      <c r="A109" s="101"/>
      <c r="B109" s="101"/>
      <c r="C109" s="101"/>
      <c r="D109" s="101"/>
      <c r="E109" s="101"/>
      <c r="F109" s="101"/>
      <c r="G109" s="101"/>
      <c r="H109" s="101"/>
      <c r="I109" s="101"/>
      <c r="J109" s="101"/>
      <c r="K109" s="101"/>
      <c r="L109" s="101"/>
      <c r="M109" s="101"/>
      <c r="N109" s="101"/>
      <c r="O109" s="162"/>
      <c r="P109" s="162"/>
      <c r="Q109" s="162"/>
      <c r="R109" s="162"/>
      <c r="S109" s="162"/>
      <c r="T109" s="162"/>
      <c r="U109" s="101"/>
      <c r="V109" s="101"/>
      <c r="W109" s="101"/>
      <c r="X109" s="101"/>
      <c r="Y109" s="101"/>
      <c r="Z109" s="101"/>
      <c r="AA109" s="101"/>
      <c r="AB109" s="101"/>
      <c r="AC109" s="101"/>
      <c r="AD109" s="101"/>
    </row>
    <row r="110">
      <c r="A110" s="101"/>
      <c r="B110" s="101"/>
      <c r="C110" s="101"/>
      <c r="D110" s="101"/>
      <c r="E110" s="101"/>
      <c r="F110" s="101"/>
      <c r="G110" s="101"/>
      <c r="H110" s="101"/>
      <c r="I110" s="101"/>
      <c r="J110" s="101"/>
      <c r="K110" s="101"/>
      <c r="L110" s="101"/>
      <c r="M110" s="101"/>
      <c r="N110" s="101"/>
      <c r="O110" s="162"/>
      <c r="P110" s="162"/>
      <c r="Q110" s="162"/>
      <c r="R110" s="162"/>
      <c r="S110" s="162"/>
      <c r="T110" s="162"/>
      <c r="U110" s="101"/>
      <c r="V110" s="101"/>
      <c r="W110" s="101"/>
      <c r="X110" s="101"/>
      <c r="Y110" s="101"/>
      <c r="Z110" s="101"/>
      <c r="AA110" s="101"/>
      <c r="AB110" s="101"/>
      <c r="AC110" s="101"/>
      <c r="AD110" s="101"/>
    </row>
    <row r="111">
      <c r="A111" s="101"/>
      <c r="B111" s="101"/>
      <c r="C111" s="101"/>
      <c r="D111" s="101"/>
      <c r="E111" s="101"/>
      <c r="F111" s="101"/>
      <c r="G111" s="101"/>
      <c r="H111" s="101"/>
      <c r="I111" s="101"/>
      <c r="J111" s="101"/>
      <c r="K111" s="101"/>
      <c r="L111" s="101"/>
      <c r="M111" s="101"/>
      <c r="N111" s="101"/>
      <c r="O111" s="162"/>
      <c r="P111" s="162"/>
      <c r="Q111" s="162"/>
      <c r="R111" s="162"/>
      <c r="S111" s="162"/>
      <c r="T111" s="162"/>
      <c r="U111" s="101"/>
      <c r="V111" s="101"/>
      <c r="W111" s="101"/>
      <c r="X111" s="101"/>
      <c r="Y111" s="101"/>
      <c r="Z111" s="101"/>
      <c r="AA111" s="101"/>
      <c r="AB111" s="101"/>
      <c r="AC111" s="101"/>
      <c r="AD111" s="101"/>
    </row>
    <row r="112">
      <c r="A112" s="101"/>
      <c r="B112" s="101"/>
      <c r="C112" s="101"/>
      <c r="D112" s="101"/>
      <c r="E112" s="101"/>
      <c r="F112" s="101"/>
      <c r="G112" s="101"/>
      <c r="H112" s="101"/>
      <c r="I112" s="101"/>
      <c r="J112" s="101"/>
      <c r="K112" s="101"/>
      <c r="L112" s="101"/>
      <c r="M112" s="101"/>
      <c r="N112" s="101"/>
      <c r="O112" s="162"/>
      <c r="P112" s="162"/>
      <c r="Q112" s="162"/>
      <c r="R112" s="162"/>
      <c r="S112" s="162"/>
      <c r="T112" s="162"/>
      <c r="U112" s="101"/>
      <c r="V112" s="101"/>
      <c r="W112" s="101"/>
      <c r="X112" s="101"/>
      <c r="Y112" s="101"/>
      <c r="Z112" s="101"/>
      <c r="AA112" s="101"/>
      <c r="AB112" s="101"/>
      <c r="AC112" s="101"/>
      <c r="AD112" s="101"/>
    </row>
    <row r="113">
      <c r="A113" s="101"/>
      <c r="B113" s="101"/>
      <c r="C113" s="101"/>
      <c r="D113" s="101"/>
      <c r="E113" s="101"/>
      <c r="F113" s="101"/>
      <c r="G113" s="101"/>
      <c r="H113" s="101"/>
      <c r="I113" s="101"/>
      <c r="J113" s="101"/>
      <c r="K113" s="101"/>
      <c r="L113" s="101"/>
      <c r="M113" s="101"/>
      <c r="N113" s="101"/>
      <c r="O113" s="162"/>
      <c r="P113" s="162"/>
      <c r="Q113" s="162"/>
      <c r="R113" s="162"/>
      <c r="S113" s="162"/>
      <c r="T113" s="162"/>
      <c r="U113" s="101"/>
      <c r="V113" s="101"/>
      <c r="W113" s="101"/>
      <c r="X113" s="101"/>
      <c r="Y113" s="101"/>
      <c r="Z113" s="101"/>
      <c r="AA113" s="101"/>
      <c r="AB113" s="101"/>
      <c r="AC113" s="101"/>
      <c r="AD113" s="101"/>
    </row>
    <row r="114">
      <c r="A114" s="101"/>
      <c r="B114" s="101"/>
      <c r="C114" s="101"/>
      <c r="D114" s="101"/>
      <c r="E114" s="101"/>
      <c r="F114" s="101"/>
      <c r="G114" s="101"/>
      <c r="H114" s="101"/>
      <c r="I114" s="101"/>
      <c r="J114" s="101"/>
      <c r="K114" s="101"/>
      <c r="L114" s="101"/>
      <c r="M114" s="101"/>
      <c r="N114" s="101"/>
      <c r="O114" s="162"/>
      <c r="P114" s="162"/>
      <c r="Q114" s="162"/>
      <c r="R114" s="162"/>
      <c r="S114" s="162"/>
      <c r="T114" s="162"/>
      <c r="U114" s="101"/>
      <c r="V114" s="101"/>
      <c r="W114" s="101"/>
      <c r="X114" s="101"/>
      <c r="Y114" s="101"/>
      <c r="Z114" s="101"/>
      <c r="AA114" s="101"/>
      <c r="AB114" s="101"/>
      <c r="AC114" s="101"/>
      <c r="AD114" s="101"/>
    </row>
    <row r="115">
      <c r="A115" s="101"/>
      <c r="B115" s="101"/>
      <c r="C115" s="101"/>
      <c r="D115" s="101"/>
      <c r="E115" s="101"/>
      <c r="F115" s="101"/>
      <c r="G115" s="101"/>
      <c r="H115" s="101"/>
      <c r="I115" s="101"/>
      <c r="J115" s="101"/>
      <c r="K115" s="101"/>
      <c r="L115" s="101"/>
      <c r="M115" s="101"/>
      <c r="N115" s="101"/>
      <c r="O115" s="162"/>
      <c r="P115" s="162"/>
      <c r="Q115" s="162"/>
      <c r="R115" s="162"/>
      <c r="S115" s="162"/>
      <c r="T115" s="162"/>
      <c r="U115" s="101"/>
      <c r="V115" s="101"/>
      <c r="W115" s="101"/>
      <c r="X115" s="101"/>
      <c r="Y115" s="101"/>
      <c r="Z115" s="101"/>
      <c r="AA115" s="101"/>
      <c r="AB115" s="101"/>
      <c r="AC115" s="101"/>
      <c r="AD115" s="101"/>
    </row>
    <row r="116">
      <c r="A116" s="101"/>
      <c r="B116" s="101"/>
      <c r="C116" s="101"/>
      <c r="D116" s="101"/>
      <c r="E116" s="101"/>
      <c r="F116" s="101"/>
      <c r="G116" s="101"/>
      <c r="H116" s="101"/>
      <c r="I116" s="101"/>
      <c r="J116" s="101"/>
      <c r="K116" s="101"/>
      <c r="L116" s="101"/>
      <c r="M116" s="101"/>
      <c r="N116" s="101"/>
      <c r="O116" s="162"/>
      <c r="P116" s="162"/>
      <c r="Q116" s="162"/>
      <c r="R116" s="162"/>
      <c r="S116" s="162"/>
      <c r="T116" s="162"/>
      <c r="U116" s="101"/>
      <c r="V116" s="101"/>
      <c r="W116" s="101"/>
      <c r="X116" s="101"/>
      <c r="Y116" s="101"/>
      <c r="Z116" s="101"/>
      <c r="AA116" s="101"/>
      <c r="AB116" s="101"/>
      <c r="AC116" s="101"/>
      <c r="AD116" s="101"/>
    </row>
    <row r="117">
      <c r="A117" s="101"/>
      <c r="B117" s="101"/>
      <c r="C117" s="101"/>
      <c r="D117" s="101"/>
      <c r="E117" s="101"/>
      <c r="F117" s="101"/>
      <c r="G117" s="101"/>
      <c r="H117" s="101"/>
      <c r="I117" s="101"/>
      <c r="J117" s="101"/>
      <c r="K117" s="101"/>
      <c r="L117" s="101"/>
      <c r="M117" s="101"/>
      <c r="N117" s="101"/>
      <c r="O117" s="162"/>
      <c r="P117" s="162"/>
      <c r="Q117" s="162"/>
      <c r="R117" s="162"/>
      <c r="S117" s="162"/>
      <c r="T117" s="162"/>
      <c r="U117" s="101"/>
      <c r="V117" s="101"/>
      <c r="W117" s="101"/>
      <c r="X117" s="101"/>
      <c r="Y117" s="101"/>
      <c r="Z117" s="101"/>
      <c r="AA117" s="101"/>
      <c r="AB117" s="101"/>
      <c r="AC117" s="101"/>
      <c r="AD117" s="101"/>
    </row>
    <row r="118">
      <c r="O118" s="86"/>
      <c r="P118" s="86"/>
      <c r="Q118" s="86"/>
      <c r="R118" s="86"/>
      <c r="S118" s="86"/>
      <c r="T118" s="86"/>
    </row>
    <row r="119">
      <c r="O119" s="86"/>
      <c r="P119" s="86"/>
      <c r="Q119" s="86"/>
      <c r="R119" s="86"/>
      <c r="S119" s="86"/>
      <c r="T119" s="86"/>
    </row>
    <row r="120">
      <c r="O120" s="86"/>
      <c r="P120" s="86"/>
      <c r="Q120" s="86"/>
      <c r="R120" s="86"/>
      <c r="S120" s="86"/>
      <c r="T120" s="86"/>
    </row>
    <row r="121">
      <c r="O121" s="86"/>
      <c r="P121" s="86"/>
      <c r="Q121" s="86"/>
      <c r="R121" s="86"/>
      <c r="S121" s="86"/>
      <c r="T121" s="86"/>
    </row>
    <row r="122">
      <c r="O122" s="86"/>
      <c r="P122" s="86"/>
      <c r="Q122" s="86"/>
      <c r="R122" s="86"/>
      <c r="S122" s="86"/>
      <c r="T122" s="86"/>
    </row>
    <row r="123">
      <c r="O123" s="86"/>
      <c r="P123" s="86"/>
      <c r="Q123" s="86"/>
      <c r="R123" s="86"/>
      <c r="S123" s="86"/>
      <c r="T123" s="86"/>
    </row>
    <row r="124">
      <c r="O124" s="86"/>
      <c r="P124" s="86"/>
      <c r="Q124" s="86"/>
      <c r="R124" s="86"/>
      <c r="S124" s="86"/>
      <c r="T124" s="86"/>
    </row>
    <row r="125">
      <c r="O125" s="86"/>
      <c r="P125" s="86"/>
      <c r="Q125" s="86"/>
      <c r="R125" s="86"/>
      <c r="S125" s="86"/>
      <c r="T125" s="86"/>
    </row>
    <row r="126">
      <c r="O126" s="86"/>
      <c r="P126" s="86"/>
      <c r="Q126" s="86"/>
      <c r="R126" s="86"/>
      <c r="S126" s="86"/>
      <c r="T126" s="86"/>
    </row>
    <row r="127">
      <c r="O127" s="86"/>
      <c r="P127" s="86"/>
      <c r="Q127" s="86"/>
      <c r="R127" s="86"/>
      <c r="S127" s="86"/>
      <c r="T127" s="86"/>
    </row>
    <row r="128">
      <c r="O128" s="86"/>
      <c r="P128" s="86"/>
      <c r="Q128" s="86"/>
      <c r="R128" s="86"/>
      <c r="S128" s="86"/>
      <c r="T128" s="86"/>
    </row>
    <row r="129">
      <c r="O129" s="86"/>
      <c r="P129" s="86"/>
      <c r="Q129" s="86"/>
      <c r="R129" s="86"/>
      <c r="S129" s="86"/>
      <c r="T129" s="86"/>
    </row>
    <row r="130">
      <c r="O130" s="86"/>
      <c r="P130" s="86"/>
      <c r="Q130" s="86"/>
      <c r="R130" s="86"/>
      <c r="S130" s="86"/>
      <c r="T130" s="86"/>
    </row>
    <row r="131">
      <c r="O131" s="86"/>
      <c r="P131" s="86"/>
      <c r="Q131" s="86"/>
      <c r="R131" s="86"/>
      <c r="S131" s="86"/>
      <c r="T131" s="86"/>
    </row>
    <row r="132">
      <c r="O132" s="86"/>
      <c r="P132" s="86"/>
      <c r="Q132" s="86"/>
      <c r="R132" s="86"/>
      <c r="S132" s="86"/>
      <c r="T132" s="86"/>
    </row>
    <row r="133">
      <c r="O133" s="86"/>
      <c r="P133" s="86"/>
      <c r="Q133" s="86"/>
      <c r="R133" s="86"/>
      <c r="S133" s="86"/>
      <c r="T133" s="86"/>
    </row>
    <row r="134">
      <c r="O134" s="86"/>
      <c r="P134" s="86"/>
      <c r="Q134" s="86"/>
      <c r="R134" s="86"/>
      <c r="S134" s="86"/>
      <c r="T134" s="86"/>
    </row>
    <row r="135">
      <c r="O135" s="86"/>
      <c r="P135" s="86"/>
      <c r="Q135" s="86"/>
      <c r="R135" s="86"/>
      <c r="S135" s="86"/>
      <c r="T135" s="86"/>
    </row>
    <row r="136">
      <c r="O136" s="86"/>
      <c r="P136" s="86"/>
      <c r="Q136" s="86"/>
      <c r="R136" s="86"/>
      <c r="S136" s="86"/>
      <c r="T136" s="86"/>
    </row>
    <row r="137">
      <c r="O137" s="86"/>
      <c r="P137" s="86"/>
      <c r="Q137" s="86"/>
      <c r="R137" s="86"/>
      <c r="S137" s="86"/>
      <c r="T137" s="86"/>
    </row>
    <row r="138">
      <c r="O138" s="86"/>
      <c r="P138" s="86"/>
      <c r="Q138" s="86"/>
      <c r="R138" s="86"/>
      <c r="S138" s="86"/>
      <c r="T138" s="86"/>
    </row>
    <row r="139">
      <c r="O139" s="86"/>
      <c r="P139" s="86"/>
      <c r="Q139" s="86"/>
      <c r="R139" s="86"/>
      <c r="S139" s="86"/>
      <c r="T139" s="86"/>
    </row>
    <row r="140">
      <c r="O140" s="86"/>
      <c r="P140" s="86"/>
      <c r="Q140" s="86"/>
      <c r="R140" s="86"/>
      <c r="S140" s="86"/>
      <c r="T140" s="86"/>
    </row>
    <row r="141">
      <c r="O141" s="86"/>
      <c r="P141" s="86"/>
      <c r="Q141" s="86"/>
      <c r="R141" s="86"/>
      <c r="S141" s="86"/>
      <c r="T141" s="86"/>
    </row>
    <row r="142">
      <c r="O142" s="86"/>
      <c r="P142" s="86"/>
      <c r="Q142" s="86"/>
      <c r="R142" s="86"/>
      <c r="S142" s="86"/>
      <c r="T142" s="86"/>
    </row>
    <row r="143">
      <c r="O143" s="86"/>
      <c r="P143" s="86"/>
      <c r="Q143" s="86"/>
      <c r="R143" s="86"/>
      <c r="S143" s="86"/>
      <c r="T143" s="86"/>
    </row>
    <row r="144">
      <c r="O144" s="86"/>
      <c r="P144" s="86"/>
      <c r="Q144" s="86"/>
      <c r="R144" s="86"/>
      <c r="S144" s="86"/>
      <c r="T144" s="86"/>
    </row>
    <row r="145">
      <c r="O145" s="86"/>
      <c r="P145" s="86"/>
      <c r="Q145" s="86"/>
      <c r="R145" s="86"/>
      <c r="S145" s="86"/>
      <c r="T145" s="86"/>
    </row>
    <row r="146">
      <c r="O146" s="86"/>
      <c r="P146" s="86"/>
      <c r="Q146" s="86"/>
      <c r="R146" s="86"/>
      <c r="S146" s="86"/>
      <c r="T146" s="86"/>
    </row>
    <row r="147">
      <c r="O147" s="86"/>
      <c r="P147" s="86"/>
      <c r="Q147" s="86"/>
      <c r="R147" s="86"/>
      <c r="S147" s="86"/>
      <c r="T147" s="86"/>
    </row>
    <row r="148">
      <c r="O148" s="86"/>
      <c r="P148" s="86"/>
      <c r="Q148" s="86"/>
      <c r="R148" s="86"/>
      <c r="S148" s="86"/>
      <c r="T148" s="86"/>
    </row>
    <row r="149">
      <c r="O149" s="86"/>
      <c r="P149" s="86"/>
      <c r="Q149" s="86"/>
      <c r="R149" s="86"/>
      <c r="S149" s="86"/>
      <c r="T149" s="86"/>
    </row>
    <row r="150">
      <c r="O150" s="86"/>
      <c r="P150" s="86"/>
      <c r="Q150" s="86"/>
      <c r="R150" s="86"/>
      <c r="S150" s="86"/>
      <c r="T150" s="86"/>
    </row>
    <row r="151">
      <c r="O151" s="86"/>
      <c r="P151" s="86"/>
      <c r="Q151" s="86"/>
      <c r="R151" s="86"/>
      <c r="S151" s="86"/>
      <c r="T151" s="86"/>
    </row>
    <row r="152">
      <c r="O152" s="86"/>
      <c r="P152" s="86"/>
      <c r="Q152" s="86"/>
      <c r="R152" s="86"/>
      <c r="S152" s="86"/>
      <c r="T152" s="86"/>
    </row>
    <row r="153">
      <c r="O153" s="86"/>
      <c r="P153" s="86"/>
      <c r="Q153" s="86"/>
      <c r="R153" s="86"/>
      <c r="S153" s="86"/>
      <c r="T153" s="86"/>
    </row>
    <row r="154">
      <c r="O154" s="86"/>
      <c r="P154" s="86"/>
      <c r="Q154" s="86"/>
      <c r="R154" s="86"/>
      <c r="S154" s="86"/>
      <c r="T154" s="86"/>
    </row>
    <row r="155">
      <c r="O155" s="86"/>
      <c r="P155" s="86"/>
      <c r="Q155" s="86"/>
      <c r="R155" s="86"/>
      <c r="S155" s="86"/>
      <c r="T155" s="86"/>
    </row>
    <row r="156">
      <c r="O156" s="86"/>
      <c r="P156" s="86"/>
      <c r="Q156" s="86"/>
      <c r="R156" s="86"/>
      <c r="S156" s="86"/>
      <c r="T156" s="86"/>
    </row>
    <row r="157">
      <c r="O157" s="86"/>
      <c r="P157" s="86"/>
      <c r="Q157" s="86"/>
      <c r="R157" s="86"/>
      <c r="S157" s="86"/>
      <c r="T157" s="86"/>
    </row>
    <row r="158">
      <c r="O158" s="86"/>
      <c r="P158" s="86"/>
      <c r="Q158" s="86"/>
      <c r="R158" s="86"/>
      <c r="S158" s="86"/>
      <c r="T158" s="86"/>
    </row>
    <row r="159">
      <c r="O159" s="86"/>
      <c r="P159" s="86"/>
      <c r="Q159" s="86"/>
      <c r="R159" s="86"/>
      <c r="S159" s="86"/>
      <c r="T159" s="86"/>
    </row>
    <row r="160">
      <c r="O160" s="86"/>
      <c r="P160" s="86"/>
      <c r="Q160" s="86"/>
      <c r="R160" s="86"/>
      <c r="S160" s="86"/>
      <c r="T160" s="86"/>
    </row>
    <row r="161">
      <c r="O161" s="86"/>
      <c r="P161" s="86"/>
      <c r="Q161" s="86"/>
      <c r="R161" s="86"/>
      <c r="S161" s="86"/>
      <c r="T161" s="86"/>
    </row>
    <row r="162">
      <c r="O162" s="86"/>
      <c r="P162" s="86"/>
      <c r="Q162" s="86"/>
      <c r="R162" s="86"/>
      <c r="S162" s="86"/>
      <c r="T162" s="86"/>
    </row>
    <row r="163">
      <c r="O163" s="86"/>
      <c r="P163" s="86"/>
      <c r="Q163" s="86"/>
      <c r="R163" s="86"/>
      <c r="S163" s="86"/>
      <c r="T163" s="86"/>
    </row>
    <row r="164">
      <c r="O164" s="86"/>
      <c r="P164" s="86"/>
      <c r="Q164" s="86"/>
      <c r="R164" s="86"/>
      <c r="S164" s="86"/>
      <c r="T164" s="86"/>
    </row>
    <row r="165">
      <c r="O165" s="86"/>
      <c r="P165" s="86"/>
      <c r="Q165" s="86"/>
      <c r="R165" s="86"/>
      <c r="S165" s="86"/>
      <c r="T165" s="86"/>
    </row>
    <row r="166">
      <c r="O166" s="86"/>
      <c r="P166" s="86"/>
      <c r="Q166" s="86"/>
      <c r="R166" s="86"/>
      <c r="S166" s="86"/>
      <c r="T166" s="86"/>
    </row>
    <row r="167">
      <c r="O167" s="86"/>
      <c r="P167" s="86"/>
      <c r="Q167" s="86"/>
      <c r="R167" s="86"/>
      <c r="S167" s="86"/>
      <c r="T167" s="86"/>
    </row>
    <row r="168">
      <c r="O168" s="86"/>
      <c r="P168" s="86"/>
      <c r="Q168" s="86"/>
      <c r="R168" s="86"/>
      <c r="S168" s="86"/>
      <c r="T168" s="86"/>
    </row>
    <row r="169">
      <c r="O169" s="86"/>
      <c r="P169" s="86"/>
      <c r="Q169" s="86"/>
      <c r="R169" s="86"/>
      <c r="S169" s="86"/>
      <c r="T169" s="86"/>
    </row>
    <row r="170">
      <c r="O170" s="86"/>
      <c r="P170" s="86"/>
      <c r="Q170" s="86"/>
      <c r="R170" s="86"/>
      <c r="S170" s="86"/>
      <c r="T170" s="86"/>
    </row>
    <row r="171">
      <c r="O171" s="86"/>
      <c r="P171" s="86"/>
      <c r="Q171" s="86"/>
      <c r="R171" s="86"/>
      <c r="S171" s="86"/>
      <c r="T171" s="86"/>
    </row>
    <row r="172">
      <c r="O172" s="86"/>
      <c r="P172" s="86"/>
      <c r="Q172" s="86"/>
      <c r="R172" s="86"/>
      <c r="S172" s="86"/>
      <c r="T172" s="86"/>
    </row>
    <row r="173">
      <c r="O173" s="86"/>
      <c r="P173" s="86"/>
      <c r="Q173" s="86"/>
      <c r="R173" s="86"/>
      <c r="S173" s="86"/>
      <c r="T173" s="86"/>
    </row>
    <row r="174">
      <c r="O174" s="86"/>
      <c r="P174" s="86"/>
      <c r="Q174" s="86"/>
      <c r="R174" s="86"/>
      <c r="S174" s="86"/>
      <c r="T174" s="86"/>
    </row>
    <row r="175">
      <c r="O175" s="86"/>
      <c r="P175" s="86"/>
      <c r="Q175" s="86"/>
      <c r="R175" s="86"/>
      <c r="S175" s="86"/>
      <c r="T175" s="86"/>
    </row>
    <row r="176">
      <c r="O176" s="86"/>
      <c r="P176" s="86"/>
      <c r="Q176" s="86"/>
      <c r="R176" s="86"/>
      <c r="S176" s="86"/>
      <c r="T176" s="86"/>
    </row>
    <row r="177">
      <c r="O177" s="86"/>
      <c r="P177" s="86"/>
      <c r="Q177" s="86"/>
      <c r="R177" s="86"/>
      <c r="S177" s="86"/>
      <c r="T177" s="86"/>
    </row>
    <row r="178">
      <c r="O178" s="86"/>
      <c r="P178" s="86"/>
      <c r="Q178" s="86"/>
      <c r="R178" s="86"/>
      <c r="S178" s="86"/>
      <c r="T178" s="86"/>
    </row>
    <row r="179">
      <c r="O179" s="86"/>
      <c r="P179" s="86"/>
      <c r="Q179" s="86"/>
      <c r="R179" s="86"/>
      <c r="S179" s="86"/>
      <c r="T179" s="86"/>
    </row>
    <row r="180">
      <c r="O180" s="86"/>
      <c r="P180" s="86"/>
      <c r="Q180" s="86"/>
      <c r="R180" s="86"/>
      <c r="S180" s="86"/>
      <c r="T180" s="86"/>
    </row>
    <row r="181">
      <c r="O181" s="86"/>
      <c r="P181" s="86"/>
      <c r="Q181" s="86"/>
      <c r="R181" s="86"/>
      <c r="S181" s="86"/>
      <c r="T181" s="86"/>
    </row>
    <row r="182">
      <c r="O182" s="86"/>
      <c r="P182" s="86"/>
      <c r="Q182" s="86"/>
      <c r="R182" s="86"/>
      <c r="S182" s="86"/>
      <c r="T182" s="86"/>
    </row>
    <row r="183">
      <c r="O183" s="86"/>
      <c r="P183" s="86"/>
      <c r="Q183" s="86"/>
      <c r="R183" s="86"/>
      <c r="S183" s="86"/>
      <c r="T183" s="86"/>
    </row>
    <row r="184">
      <c r="O184" s="86"/>
      <c r="P184" s="86"/>
      <c r="Q184" s="86"/>
      <c r="R184" s="86"/>
      <c r="S184" s="86"/>
      <c r="T184" s="86"/>
    </row>
    <row r="185">
      <c r="O185" s="86"/>
      <c r="P185" s="86"/>
      <c r="Q185" s="86"/>
      <c r="R185" s="86"/>
      <c r="S185" s="86"/>
      <c r="T185" s="86"/>
    </row>
    <row r="186">
      <c r="O186" s="86"/>
      <c r="P186" s="86"/>
      <c r="Q186" s="86"/>
      <c r="R186" s="86"/>
      <c r="S186" s="86"/>
      <c r="T186" s="86"/>
    </row>
    <row r="187">
      <c r="O187" s="86"/>
      <c r="P187" s="86"/>
      <c r="Q187" s="86"/>
      <c r="R187" s="86"/>
      <c r="S187" s="86"/>
      <c r="T187" s="86"/>
    </row>
    <row r="188">
      <c r="O188" s="86"/>
      <c r="P188" s="86"/>
      <c r="Q188" s="86"/>
      <c r="R188" s="86"/>
      <c r="S188" s="86"/>
      <c r="T188" s="86"/>
    </row>
    <row r="189">
      <c r="O189" s="86"/>
      <c r="P189" s="86"/>
      <c r="Q189" s="86"/>
      <c r="R189" s="86"/>
      <c r="S189" s="86"/>
      <c r="T189" s="86"/>
    </row>
    <row r="190">
      <c r="O190" s="86"/>
      <c r="P190" s="86"/>
      <c r="Q190" s="86"/>
      <c r="R190" s="86"/>
      <c r="S190" s="86"/>
      <c r="T190" s="86"/>
    </row>
    <row r="191">
      <c r="O191" s="86"/>
      <c r="P191" s="86"/>
      <c r="Q191" s="86"/>
      <c r="R191" s="86"/>
      <c r="S191" s="86"/>
      <c r="T191" s="86"/>
    </row>
    <row r="192">
      <c r="O192" s="86"/>
      <c r="P192" s="86"/>
      <c r="Q192" s="86"/>
      <c r="R192" s="86"/>
      <c r="S192" s="86"/>
      <c r="T192" s="86"/>
    </row>
    <row r="193">
      <c r="O193" s="86"/>
      <c r="P193" s="86"/>
      <c r="Q193" s="86"/>
      <c r="R193" s="86"/>
      <c r="S193" s="86"/>
      <c r="T193" s="86"/>
    </row>
    <row r="194">
      <c r="O194" s="86"/>
      <c r="P194" s="86"/>
      <c r="Q194" s="86"/>
      <c r="R194" s="86"/>
      <c r="S194" s="86"/>
      <c r="T194" s="86"/>
    </row>
    <row r="195">
      <c r="O195" s="86"/>
      <c r="P195" s="86"/>
      <c r="Q195" s="86"/>
      <c r="R195" s="86"/>
      <c r="S195" s="86"/>
      <c r="T195" s="86"/>
    </row>
    <row r="196">
      <c r="O196" s="86"/>
      <c r="P196" s="86"/>
      <c r="Q196" s="86"/>
      <c r="R196" s="86"/>
      <c r="S196" s="86"/>
      <c r="T196" s="86"/>
    </row>
    <row r="197">
      <c r="O197" s="86"/>
      <c r="P197" s="86"/>
      <c r="Q197" s="86"/>
      <c r="R197" s="86"/>
      <c r="S197" s="86"/>
      <c r="T197" s="86"/>
    </row>
    <row r="198">
      <c r="O198" s="86"/>
      <c r="P198" s="86"/>
      <c r="Q198" s="86"/>
      <c r="R198" s="86"/>
      <c r="S198" s="86"/>
      <c r="T198" s="86"/>
    </row>
    <row r="199">
      <c r="O199" s="86"/>
      <c r="P199" s="86"/>
      <c r="Q199" s="86"/>
      <c r="R199" s="86"/>
      <c r="S199" s="86"/>
      <c r="T199" s="86"/>
    </row>
    <row r="200">
      <c r="O200" s="86"/>
      <c r="P200" s="86"/>
      <c r="Q200" s="86"/>
      <c r="R200" s="86"/>
      <c r="S200" s="86"/>
      <c r="T200" s="86"/>
    </row>
    <row r="201">
      <c r="O201" s="86"/>
      <c r="P201" s="86"/>
      <c r="Q201" s="86"/>
      <c r="R201" s="86"/>
      <c r="S201" s="86"/>
      <c r="T201" s="86"/>
    </row>
    <row r="202">
      <c r="O202" s="86"/>
      <c r="P202" s="86"/>
      <c r="Q202" s="86"/>
      <c r="R202" s="86"/>
      <c r="S202" s="86"/>
      <c r="T202" s="86"/>
    </row>
    <row r="203">
      <c r="O203" s="86"/>
      <c r="P203" s="86"/>
      <c r="Q203" s="86"/>
      <c r="R203" s="86"/>
      <c r="S203" s="86"/>
      <c r="T203" s="86"/>
    </row>
    <row r="204">
      <c r="O204" s="86"/>
      <c r="P204" s="86"/>
      <c r="Q204" s="86"/>
      <c r="R204" s="86"/>
      <c r="S204" s="86"/>
      <c r="T204" s="86"/>
    </row>
    <row r="205">
      <c r="O205" s="86"/>
      <c r="P205" s="86"/>
      <c r="Q205" s="86"/>
      <c r="R205" s="86"/>
      <c r="S205" s="86"/>
      <c r="T205" s="86"/>
    </row>
    <row r="206">
      <c r="O206" s="86"/>
      <c r="P206" s="86"/>
      <c r="Q206" s="86"/>
      <c r="R206" s="86"/>
      <c r="S206" s="86"/>
      <c r="T206" s="86"/>
    </row>
    <row r="207">
      <c r="O207" s="86"/>
      <c r="P207" s="86"/>
      <c r="Q207" s="86"/>
      <c r="R207" s="86"/>
      <c r="S207" s="86"/>
      <c r="T207" s="86"/>
    </row>
    <row r="208">
      <c r="O208" s="86"/>
      <c r="P208" s="86"/>
      <c r="Q208" s="86"/>
      <c r="R208" s="86"/>
      <c r="S208" s="86"/>
      <c r="T208" s="86"/>
    </row>
    <row r="209">
      <c r="O209" s="86"/>
      <c r="P209" s="86"/>
      <c r="Q209" s="86"/>
      <c r="R209" s="86"/>
      <c r="S209" s="86"/>
      <c r="T209" s="86"/>
    </row>
    <row r="210">
      <c r="O210" s="86"/>
      <c r="P210" s="86"/>
      <c r="Q210" s="86"/>
      <c r="R210" s="86"/>
      <c r="S210" s="86"/>
      <c r="T210" s="86"/>
    </row>
    <row r="211">
      <c r="O211" s="86"/>
      <c r="P211" s="86"/>
      <c r="Q211" s="86"/>
      <c r="R211" s="86"/>
      <c r="S211" s="86"/>
      <c r="T211" s="86"/>
    </row>
    <row r="212">
      <c r="O212" s="86"/>
      <c r="P212" s="86"/>
      <c r="Q212" s="86"/>
      <c r="R212" s="86"/>
      <c r="S212" s="86"/>
      <c r="T212" s="86"/>
    </row>
    <row r="213">
      <c r="O213" s="86"/>
      <c r="P213" s="86"/>
      <c r="Q213" s="86"/>
      <c r="R213" s="86"/>
      <c r="S213" s="86"/>
      <c r="T213" s="86"/>
    </row>
    <row r="214">
      <c r="O214" s="86"/>
      <c r="P214" s="86"/>
      <c r="Q214" s="86"/>
      <c r="R214" s="86"/>
      <c r="S214" s="86"/>
      <c r="T214" s="86"/>
    </row>
    <row r="215">
      <c r="O215" s="86"/>
      <c r="P215" s="86"/>
      <c r="Q215" s="86"/>
      <c r="R215" s="86"/>
      <c r="S215" s="86"/>
      <c r="T215" s="86"/>
    </row>
    <row r="216">
      <c r="O216" s="86"/>
      <c r="P216" s="86"/>
      <c r="Q216" s="86"/>
      <c r="R216" s="86"/>
      <c r="S216" s="86"/>
      <c r="T216" s="86"/>
    </row>
    <row r="217">
      <c r="O217" s="86"/>
      <c r="P217" s="86"/>
      <c r="Q217" s="86"/>
      <c r="R217" s="86"/>
      <c r="S217" s="86"/>
      <c r="T217" s="86"/>
    </row>
    <row r="218">
      <c r="O218" s="86"/>
      <c r="P218" s="86"/>
      <c r="Q218" s="86"/>
      <c r="R218" s="86"/>
      <c r="S218" s="86"/>
      <c r="T218" s="86"/>
    </row>
    <row r="219">
      <c r="O219" s="86"/>
      <c r="P219" s="86"/>
      <c r="Q219" s="86"/>
      <c r="R219" s="86"/>
      <c r="S219" s="86"/>
      <c r="T219" s="86"/>
    </row>
    <row r="220">
      <c r="O220" s="86"/>
      <c r="P220" s="86"/>
      <c r="Q220" s="86"/>
      <c r="R220" s="86"/>
      <c r="S220" s="86"/>
      <c r="T220" s="86"/>
    </row>
    <row r="221">
      <c r="O221" s="86"/>
      <c r="P221" s="86"/>
      <c r="Q221" s="86"/>
      <c r="R221" s="86"/>
      <c r="S221" s="86"/>
      <c r="T221" s="86"/>
    </row>
    <row r="222">
      <c r="O222" s="86"/>
      <c r="P222" s="86"/>
      <c r="Q222" s="86"/>
      <c r="R222" s="86"/>
      <c r="S222" s="86"/>
      <c r="T222" s="86"/>
    </row>
    <row r="223">
      <c r="O223" s="86"/>
      <c r="P223" s="86"/>
      <c r="Q223" s="86"/>
      <c r="R223" s="86"/>
      <c r="S223" s="86"/>
      <c r="T223" s="86"/>
    </row>
    <row r="224">
      <c r="O224" s="86"/>
      <c r="P224" s="86"/>
      <c r="Q224" s="86"/>
      <c r="R224" s="86"/>
      <c r="S224" s="86"/>
      <c r="T224" s="86"/>
    </row>
    <row r="225">
      <c r="O225" s="86"/>
      <c r="P225" s="86"/>
      <c r="Q225" s="86"/>
      <c r="R225" s="86"/>
      <c r="S225" s="86"/>
      <c r="T225" s="86"/>
    </row>
    <row r="226">
      <c r="O226" s="86"/>
      <c r="P226" s="86"/>
      <c r="Q226" s="86"/>
      <c r="R226" s="86"/>
      <c r="S226" s="86"/>
      <c r="T226" s="86"/>
    </row>
    <row r="227">
      <c r="O227" s="86"/>
      <c r="P227" s="86"/>
      <c r="Q227" s="86"/>
      <c r="R227" s="86"/>
      <c r="S227" s="86"/>
      <c r="T227" s="86"/>
    </row>
    <row r="228">
      <c r="O228" s="86"/>
      <c r="P228" s="86"/>
      <c r="Q228" s="86"/>
      <c r="R228" s="86"/>
      <c r="S228" s="86"/>
      <c r="T228" s="86"/>
    </row>
    <row r="229">
      <c r="O229" s="86"/>
      <c r="P229" s="86"/>
      <c r="Q229" s="86"/>
      <c r="R229" s="86"/>
      <c r="S229" s="86"/>
      <c r="T229" s="86"/>
    </row>
    <row r="230">
      <c r="O230" s="86"/>
      <c r="P230" s="86"/>
      <c r="Q230" s="86"/>
      <c r="R230" s="86"/>
      <c r="S230" s="86"/>
      <c r="T230" s="86"/>
    </row>
    <row r="231">
      <c r="O231" s="86"/>
      <c r="P231" s="86"/>
      <c r="Q231" s="86"/>
      <c r="R231" s="86"/>
      <c r="S231" s="86"/>
      <c r="T231" s="86"/>
    </row>
    <row r="232">
      <c r="O232" s="86"/>
      <c r="P232" s="86"/>
      <c r="Q232" s="86"/>
      <c r="R232" s="86"/>
      <c r="S232" s="86"/>
      <c r="T232" s="86"/>
    </row>
    <row r="233">
      <c r="O233" s="86"/>
      <c r="P233" s="86"/>
      <c r="Q233" s="86"/>
      <c r="R233" s="86"/>
      <c r="S233" s="86"/>
      <c r="T233" s="86"/>
    </row>
    <row r="234">
      <c r="O234" s="86"/>
      <c r="P234" s="86"/>
      <c r="Q234" s="86"/>
      <c r="R234" s="86"/>
      <c r="S234" s="86"/>
      <c r="T234" s="86"/>
    </row>
    <row r="235">
      <c r="O235" s="86"/>
      <c r="P235" s="86"/>
      <c r="Q235" s="86"/>
      <c r="R235" s="86"/>
      <c r="S235" s="86"/>
      <c r="T235" s="86"/>
    </row>
    <row r="236">
      <c r="O236" s="86"/>
      <c r="P236" s="86"/>
      <c r="Q236" s="86"/>
      <c r="R236" s="86"/>
      <c r="S236" s="86"/>
      <c r="T236" s="86"/>
    </row>
    <row r="237">
      <c r="O237" s="86"/>
      <c r="P237" s="86"/>
      <c r="Q237" s="86"/>
      <c r="R237" s="86"/>
      <c r="S237" s="86"/>
      <c r="T237" s="86"/>
    </row>
    <row r="238">
      <c r="O238" s="86"/>
      <c r="P238" s="86"/>
      <c r="Q238" s="86"/>
      <c r="R238" s="86"/>
      <c r="S238" s="86"/>
      <c r="T238" s="86"/>
    </row>
    <row r="239">
      <c r="O239" s="86"/>
      <c r="P239" s="86"/>
      <c r="Q239" s="86"/>
      <c r="R239" s="86"/>
      <c r="S239" s="86"/>
      <c r="T239" s="86"/>
    </row>
    <row r="240">
      <c r="O240" s="86"/>
      <c r="P240" s="86"/>
      <c r="Q240" s="86"/>
      <c r="R240" s="86"/>
      <c r="S240" s="86"/>
      <c r="T240" s="86"/>
    </row>
    <row r="241">
      <c r="O241" s="86"/>
      <c r="P241" s="86"/>
      <c r="Q241" s="86"/>
      <c r="R241" s="86"/>
      <c r="S241" s="86"/>
      <c r="T241" s="86"/>
    </row>
    <row r="242">
      <c r="O242" s="86"/>
      <c r="P242" s="86"/>
      <c r="Q242" s="86"/>
      <c r="R242" s="86"/>
      <c r="S242" s="86"/>
      <c r="T242" s="86"/>
    </row>
    <row r="243">
      <c r="O243" s="86"/>
      <c r="P243" s="86"/>
      <c r="Q243" s="86"/>
      <c r="R243" s="86"/>
      <c r="S243" s="86"/>
      <c r="T243" s="86"/>
    </row>
    <row r="244">
      <c r="O244" s="86"/>
      <c r="P244" s="86"/>
      <c r="Q244" s="86"/>
      <c r="R244" s="86"/>
      <c r="S244" s="86"/>
      <c r="T244" s="86"/>
    </row>
    <row r="245">
      <c r="O245" s="86"/>
      <c r="P245" s="86"/>
      <c r="Q245" s="86"/>
      <c r="R245" s="86"/>
      <c r="S245" s="86"/>
      <c r="T245" s="86"/>
    </row>
    <row r="246">
      <c r="O246" s="86"/>
      <c r="P246" s="86"/>
      <c r="Q246" s="86"/>
      <c r="R246" s="86"/>
      <c r="S246" s="86"/>
      <c r="T246" s="86"/>
    </row>
    <row r="247">
      <c r="O247" s="86"/>
      <c r="P247" s="86"/>
      <c r="Q247" s="86"/>
      <c r="R247" s="86"/>
      <c r="S247" s="86"/>
      <c r="T247" s="86"/>
    </row>
    <row r="248">
      <c r="O248" s="86"/>
      <c r="P248" s="86"/>
      <c r="Q248" s="86"/>
      <c r="R248" s="86"/>
      <c r="S248" s="86"/>
      <c r="T248" s="86"/>
    </row>
    <row r="249">
      <c r="O249" s="86"/>
      <c r="P249" s="86"/>
      <c r="Q249" s="86"/>
      <c r="R249" s="86"/>
      <c r="S249" s="86"/>
      <c r="T249" s="86"/>
    </row>
    <row r="250">
      <c r="O250" s="86"/>
      <c r="P250" s="86"/>
      <c r="Q250" s="86"/>
      <c r="R250" s="86"/>
      <c r="S250" s="86"/>
      <c r="T250" s="86"/>
    </row>
    <row r="251">
      <c r="O251" s="86"/>
      <c r="P251" s="86"/>
      <c r="Q251" s="86"/>
      <c r="R251" s="86"/>
      <c r="S251" s="86"/>
      <c r="T251" s="86"/>
    </row>
    <row r="252">
      <c r="O252" s="86"/>
      <c r="P252" s="86"/>
      <c r="Q252" s="86"/>
      <c r="R252" s="86"/>
      <c r="S252" s="86"/>
      <c r="T252" s="86"/>
    </row>
    <row r="253">
      <c r="O253" s="86"/>
      <c r="P253" s="86"/>
      <c r="Q253" s="86"/>
      <c r="R253" s="86"/>
      <c r="S253" s="86"/>
      <c r="T253" s="86"/>
    </row>
    <row r="254">
      <c r="O254" s="86"/>
      <c r="P254" s="86"/>
      <c r="Q254" s="86"/>
      <c r="R254" s="86"/>
      <c r="S254" s="86"/>
      <c r="T254" s="86"/>
    </row>
    <row r="255">
      <c r="O255" s="86"/>
      <c r="P255" s="86"/>
      <c r="Q255" s="86"/>
      <c r="R255" s="86"/>
      <c r="S255" s="86"/>
      <c r="T255" s="86"/>
    </row>
    <row r="256">
      <c r="O256" s="86"/>
      <c r="P256" s="86"/>
      <c r="Q256" s="86"/>
      <c r="R256" s="86"/>
      <c r="S256" s="86"/>
      <c r="T256" s="86"/>
    </row>
    <row r="257">
      <c r="O257" s="86"/>
      <c r="P257" s="86"/>
      <c r="Q257" s="86"/>
      <c r="R257" s="86"/>
      <c r="S257" s="86"/>
      <c r="T257" s="86"/>
    </row>
    <row r="258">
      <c r="O258" s="86"/>
      <c r="P258" s="86"/>
      <c r="Q258" s="86"/>
      <c r="R258" s="86"/>
      <c r="S258" s="86"/>
      <c r="T258" s="86"/>
    </row>
    <row r="259">
      <c r="O259" s="86"/>
      <c r="P259" s="86"/>
      <c r="Q259" s="86"/>
      <c r="R259" s="86"/>
      <c r="S259" s="86"/>
      <c r="T259" s="86"/>
    </row>
    <row r="260">
      <c r="O260" s="86"/>
      <c r="P260" s="86"/>
      <c r="Q260" s="86"/>
      <c r="R260" s="86"/>
      <c r="S260" s="86"/>
      <c r="T260" s="86"/>
    </row>
    <row r="261">
      <c r="O261" s="86"/>
      <c r="P261" s="86"/>
      <c r="Q261" s="86"/>
      <c r="R261" s="86"/>
      <c r="S261" s="86"/>
      <c r="T261" s="86"/>
    </row>
    <row r="262">
      <c r="O262" s="86"/>
      <c r="P262" s="86"/>
      <c r="Q262" s="86"/>
      <c r="R262" s="86"/>
      <c r="S262" s="86"/>
      <c r="T262" s="86"/>
    </row>
    <row r="263">
      <c r="O263" s="86"/>
      <c r="P263" s="86"/>
      <c r="Q263" s="86"/>
      <c r="R263" s="86"/>
      <c r="S263" s="86"/>
      <c r="T263" s="86"/>
    </row>
    <row r="264">
      <c r="O264" s="86"/>
      <c r="P264" s="86"/>
      <c r="Q264" s="86"/>
      <c r="R264" s="86"/>
      <c r="S264" s="86"/>
      <c r="T264" s="86"/>
    </row>
    <row r="265">
      <c r="O265" s="86"/>
      <c r="P265" s="86"/>
      <c r="Q265" s="86"/>
      <c r="R265" s="86"/>
      <c r="S265" s="86"/>
      <c r="T265" s="86"/>
    </row>
    <row r="266">
      <c r="O266" s="86"/>
      <c r="P266" s="86"/>
      <c r="Q266" s="86"/>
      <c r="R266" s="86"/>
      <c r="S266" s="86"/>
      <c r="T266" s="86"/>
    </row>
    <row r="267">
      <c r="O267" s="86"/>
      <c r="P267" s="86"/>
      <c r="Q267" s="86"/>
      <c r="R267" s="86"/>
      <c r="S267" s="86"/>
      <c r="T267" s="86"/>
    </row>
    <row r="268">
      <c r="O268" s="86"/>
      <c r="P268" s="86"/>
      <c r="Q268" s="86"/>
      <c r="R268" s="86"/>
      <c r="S268" s="86"/>
      <c r="T268" s="86"/>
    </row>
    <row r="269">
      <c r="O269" s="86"/>
      <c r="P269" s="86"/>
      <c r="Q269" s="86"/>
      <c r="R269" s="86"/>
      <c r="S269" s="86"/>
      <c r="T269" s="86"/>
    </row>
    <row r="270">
      <c r="O270" s="86"/>
      <c r="P270" s="86"/>
      <c r="Q270" s="86"/>
      <c r="R270" s="86"/>
      <c r="S270" s="86"/>
      <c r="T270" s="86"/>
    </row>
    <row r="271">
      <c r="O271" s="86"/>
      <c r="P271" s="86"/>
      <c r="Q271" s="86"/>
      <c r="R271" s="86"/>
      <c r="S271" s="86"/>
      <c r="T271" s="86"/>
    </row>
    <row r="272">
      <c r="O272" s="86"/>
      <c r="P272" s="86"/>
      <c r="Q272" s="86"/>
      <c r="R272" s="86"/>
      <c r="S272" s="86"/>
      <c r="T272" s="86"/>
    </row>
    <row r="273">
      <c r="O273" s="86"/>
      <c r="P273" s="86"/>
      <c r="Q273" s="86"/>
      <c r="R273" s="86"/>
      <c r="S273" s="86"/>
      <c r="T273" s="86"/>
    </row>
    <row r="274">
      <c r="O274" s="86"/>
      <c r="P274" s="86"/>
      <c r="Q274" s="86"/>
      <c r="R274" s="86"/>
      <c r="S274" s="86"/>
      <c r="T274" s="86"/>
    </row>
    <row r="275">
      <c r="O275" s="86"/>
      <c r="P275" s="86"/>
      <c r="Q275" s="86"/>
      <c r="R275" s="86"/>
      <c r="S275" s="86"/>
      <c r="T275" s="86"/>
    </row>
    <row r="276">
      <c r="O276" s="86"/>
      <c r="P276" s="86"/>
      <c r="Q276" s="86"/>
      <c r="R276" s="86"/>
      <c r="S276" s="86"/>
      <c r="T276" s="86"/>
    </row>
    <row r="277">
      <c r="O277" s="86"/>
      <c r="P277" s="86"/>
      <c r="Q277" s="86"/>
      <c r="R277" s="86"/>
      <c r="S277" s="86"/>
      <c r="T277" s="86"/>
    </row>
    <row r="278">
      <c r="O278" s="86"/>
      <c r="P278" s="86"/>
      <c r="Q278" s="86"/>
      <c r="R278" s="86"/>
      <c r="S278" s="86"/>
      <c r="T278" s="86"/>
    </row>
    <row r="279">
      <c r="O279" s="86"/>
      <c r="P279" s="86"/>
      <c r="Q279" s="86"/>
      <c r="R279" s="86"/>
      <c r="S279" s="86"/>
      <c r="T279" s="86"/>
    </row>
    <row r="280">
      <c r="O280" s="86"/>
      <c r="P280" s="86"/>
      <c r="Q280" s="86"/>
      <c r="R280" s="86"/>
      <c r="S280" s="86"/>
      <c r="T280" s="86"/>
    </row>
    <row r="281">
      <c r="O281" s="86"/>
      <c r="P281" s="86"/>
      <c r="Q281" s="86"/>
      <c r="R281" s="86"/>
      <c r="S281" s="86"/>
      <c r="T281" s="86"/>
    </row>
    <row r="282">
      <c r="O282" s="86"/>
      <c r="P282" s="86"/>
      <c r="Q282" s="86"/>
      <c r="R282" s="86"/>
      <c r="S282" s="86"/>
      <c r="T282" s="86"/>
    </row>
    <row r="283">
      <c r="O283" s="86"/>
      <c r="P283" s="86"/>
      <c r="Q283" s="86"/>
      <c r="R283" s="86"/>
      <c r="S283" s="86"/>
      <c r="T283" s="86"/>
    </row>
    <row r="284">
      <c r="O284" s="86"/>
      <c r="P284" s="86"/>
      <c r="Q284" s="86"/>
      <c r="R284" s="86"/>
      <c r="S284" s="86"/>
      <c r="T284" s="86"/>
    </row>
    <row r="285">
      <c r="O285" s="86"/>
      <c r="P285" s="86"/>
      <c r="Q285" s="86"/>
      <c r="R285" s="86"/>
      <c r="S285" s="86"/>
      <c r="T285" s="86"/>
    </row>
    <row r="286">
      <c r="O286" s="86"/>
      <c r="P286" s="86"/>
      <c r="Q286" s="86"/>
      <c r="R286" s="86"/>
      <c r="S286" s="86"/>
      <c r="T286" s="86"/>
    </row>
    <row r="287">
      <c r="O287" s="86"/>
      <c r="P287" s="86"/>
      <c r="Q287" s="86"/>
      <c r="R287" s="86"/>
      <c r="S287" s="86"/>
      <c r="T287" s="86"/>
    </row>
    <row r="288">
      <c r="O288" s="86"/>
      <c r="P288" s="86"/>
      <c r="Q288" s="86"/>
      <c r="R288" s="86"/>
      <c r="S288" s="86"/>
      <c r="T288" s="86"/>
    </row>
    <row r="289">
      <c r="O289" s="86"/>
      <c r="P289" s="86"/>
      <c r="Q289" s="86"/>
      <c r="R289" s="86"/>
      <c r="S289" s="86"/>
      <c r="T289" s="86"/>
    </row>
    <row r="290">
      <c r="O290" s="86"/>
      <c r="P290" s="86"/>
      <c r="Q290" s="86"/>
      <c r="R290" s="86"/>
      <c r="S290" s="86"/>
      <c r="T290" s="86"/>
    </row>
    <row r="291">
      <c r="O291" s="86"/>
      <c r="P291" s="86"/>
      <c r="Q291" s="86"/>
      <c r="R291" s="86"/>
      <c r="S291" s="86"/>
      <c r="T291" s="86"/>
    </row>
    <row r="292">
      <c r="O292" s="86"/>
      <c r="P292" s="86"/>
      <c r="Q292" s="86"/>
      <c r="R292" s="86"/>
      <c r="S292" s="86"/>
      <c r="T292" s="86"/>
    </row>
    <row r="293">
      <c r="O293" s="86"/>
      <c r="P293" s="86"/>
      <c r="Q293" s="86"/>
      <c r="R293" s="86"/>
      <c r="S293" s="86"/>
      <c r="T293" s="86"/>
    </row>
    <row r="294">
      <c r="O294" s="86"/>
      <c r="P294" s="86"/>
      <c r="Q294" s="86"/>
      <c r="R294" s="86"/>
      <c r="S294" s="86"/>
      <c r="T294" s="86"/>
    </row>
    <row r="295">
      <c r="O295" s="86"/>
      <c r="P295" s="86"/>
      <c r="Q295" s="86"/>
      <c r="R295" s="86"/>
      <c r="S295" s="86"/>
      <c r="T295" s="86"/>
    </row>
    <row r="296">
      <c r="O296" s="86"/>
      <c r="P296" s="86"/>
      <c r="Q296" s="86"/>
      <c r="R296" s="86"/>
      <c r="S296" s="86"/>
      <c r="T296" s="86"/>
    </row>
    <row r="297">
      <c r="O297" s="86"/>
      <c r="P297" s="86"/>
      <c r="Q297" s="86"/>
      <c r="R297" s="86"/>
      <c r="S297" s="86"/>
      <c r="T297" s="86"/>
    </row>
    <row r="298">
      <c r="O298" s="86"/>
      <c r="P298" s="86"/>
      <c r="Q298" s="86"/>
      <c r="R298" s="86"/>
      <c r="S298" s="86"/>
      <c r="T298" s="86"/>
    </row>
    <row r="299">
      <c r="O299" s="86"/>
      <c r="P299" s="86"/>
      <c r="Q299" s="86"/>
      <c r="R299" s="86"/>
      <c r="S299" s="86"/>
      <c r="T299" s="86"/>
    </row>
    <row r="300">
      <c r="O300" s="86"/>
      <c r="P300" s="86"/>
      <c r="Q300" s="86"/>
      <c r="R300" s="86"/>
      <c r="S300" s="86"/>
      <c r="T300" s="86"/>
    </row>
    <row r="301">
      <c r="O301" s="86"/>
      <c r="P301" s="86"/>
      <c r="Q301" s="86"/>
      <c r="R301" s="86"/>
      <c r="S301" s="86"/>
      <c r="T301" s="86"/>
    </row>
    <row r="302">
      <c r="O302" s="86"/>
      <c r="P302" s="86"/>
      <c r="Q302" s="86"/>
      <c r="R302" s="86"/>
      <c r="S302" s="86"/>
      <c r="T302" s="86"/>
    </row>
    <row r="303">
      <c r="O303" s="86"/>
      <c r="P303" s="86"/>
      <c r="Q303" s="86"/>
      <c r="R303" s="86"/>
      <c r="S303" s="86"/>
      <c r="T303" s="86"/>
    </row>
    <row r="304">
      <c r="O304" s="86"/>
      <c r="P304" s="86"/>
      <c r="Q304" s="86"/>
      <c r="R304" s="86"/>
      <c r="S304" s="86"/>
      <c r="T304" s="86"/>
    </row>
    <row r="305">
      <c r="O305" s="86"/>
      <c r="P305" s="86"/>
      <c r="Q305" s="86"/>
      <c r="R305" s="86"/>
      <c r="S305" s="86"/>
      <c r="T305" s="86"/>
    </row>
    <row r="306">
      <c r="O306" s="86"/>
      <c r="P306" s="86"/>
      <c r="Q306" s="86"/>
      <c r="R306" s="86"/>
      <c r="S306" s="86"/>
      <c r="T306" s="86"/>
    </row>
    <row r="307">
      <c r="O307" s="86"/>
      <c r="P307" s="86"/>
      <c r="Q307" s="86"/>
      <c r="R307" s="86"/>
      <c r="S307" s="86"/>
      <c r="T307" s="86"/>
    </row>
    <row r="308">
      <c r="O308" s="86"/>
      <c r="P308" s="86"/>
      <c r="Q308" s="86"/>
      <c r="R308" s="86"/>
      <c r="S308" s="86"/>
      <c r="T308" s="86"/>
    </row>
    <row r="309">
      <c r="O309" s="86"/>
      <c r="P309" s="86"/>
      <c r="Q309" s="86"/>
      <c r="R309" s="86"/>
      <c r="S309" s="86"/>
      <c r="T309" s="86"/>
    </row>
    <row r="310">
      <c r="O310" s="86"/>
      <c r="P310" s="86"/>
      <c r="Q310" s="86"/>
      <c r="R310" s="86"/>
      <c r="S310" s="86"/>
      <c r="T310" s="86"/>
    </row>
    <row r="311">
      <c r="O311" s="86"/>
      <c r="P311" s="86"/>
      <c r="Q311" s="86"/>
      <c r="R311" s="86"/>
      <c r="S311" s="86"/>
      <c r="T311" s="86"/>
    </row>
    <row r="312">
      <c r="O312" s="86"/>
      <c r="P312" s="86"/>
      <c r="Q312" s="86"/>
      <c r="R312" s="86"/>
      <c r="S312" s="86"/>
      <c r="T312" s="86"/>
    </row>
    <row r="313">
      <c r="O313" s="86"/>
      <c r="P313" s="86"/>
      <c r="Q313" s="86"/>
      <c r="R313" s="86"/>
      <c r="S313" s="86"/>
      <c r="T313" s="86"/>
    </row>
    <row r="314">
      <c r="O314" s="86"/>
      <c r="P314" s="86"/>
      <c r="Q314" s="86"/>
      <c r="R314" s="86"/>
      <c r="S314" s="86"/>
      <c r="T314" s="86"/>
    </row>
    <row r="315">
      <c r="O315" s="86"/>
      <c r="P315" s="86"/>
      <c r="Q315" s="86"/>
      <c r="R315" s="86"/>
      <c r="S315" s="86"/>
      <c r="T315" s="86"/>
    </row>
    <row r="316">
      <c r="O316" s="86"/>
      <c r="P316" s="86"/>
      <c r="Q316" s="86"/>
      <c r="R316" s="86"/>
      <c r="S316" s="86"/>
      <c r="T316" s="86"/>
    </row>
    <row r="317">
      <c r="O317" s="86"/>
      <c r="P317" s="86"/>
      <c r="Q317" s="86"/>
      <c r="R317" s="86"/>
      <c r="S317" s="86"/>
      <c r="T317" s="86"/>
    </row>
    <row r="318">
      <c r="O318" s="86"/>
      <c r="P318" s="86"/>
      <c r="Q318" s="86"/>
      <c r="R318" s="86"/>
      <c r="S318" s="86"/>
      <c r="T318" s="86"/>
    </row>
    <row r="319">
      <c r="O319" s="86"/>
      <c r="P319" s="86"/>
      <c r="Q319" s="86"/>
      <c r="R319" s="86"/>
      <c r="S319" s="86"/>
      <c r="T319" s="86"/>
    </row>
    <row r="320">
      <c r="O320" s="86"/>
      <c r="P320" s="86"/>
      <c r="Q320" s="86"/>
      <c r="R320" s="86"/>
      <c r="S320" s="86"/>
      <c r="T320" s="86"/>
    </row>
    <row r="321">
      <c r="O321" s="86"/>
      <c r="P321" s="86"/>
      <c r="Q321" s="86"/>
      <c r="R321" s="86"/>
      <c r="S321" s="86"/>
      <c r="T321" s="86"/>
    </row>
    <row r="322">
      <c r="O322" s="86"/>
      <c r="P322" s="86"/>
      <c r="Q322" s="86"/>
      <c r="R322" s="86"/>
      <c r="S322" s="86"/>
      <c r="T322" s="86"/>
    </row>
    <row r="323">
      <c r="O323" s="86"/>
      <c r="P323" s="86"/>
      <c r="Q323" s="86"/>
      <c r="R323" s="86"/>
      <c r="S323" s="86"/>
      <c r="T323" s="86"/>
    </row>
    <row r="324">
      <c r="O324" s="86"/>
      <c r="P324" s="86"/>
      <c r="Q324" s="86"/>
      <c r="R324" s="86"/>
      <c r="S324" s="86"/>
      <c r="T324" s="86"/>
    </row>
    <row r="325">
      <c r="O325" s="86"/>
      <c r="P325" s="86"/>
      <c r="Q325" s="86"/>
      <c r="R325" s="86"/>
      <c r="S325" s="86"/>
      <c r="T325" s="86"/>
    </row>
    <row r="326">
      <c r="O326" s="86"/>
      <c r="P326" s="86"/>
      <c r="Q326" s="86"/>
      <c r="R326" s="86"/>
      <c r="S326" s="86"/>
      <c r="T326" s="86"/>
    </row>
    <row r="327">
      <c r="O327" s="86"/>
      <c r="P327" s="86"/>
      <c r="Q327" s="86"/>
      <c r="R327" s="86"/>
      <c r="S327" s="86"/>
      <c r="T327" s="86"/>
    </row>
    <row r="328">
      <c r="O328" s="86"/>
      <c r="P328" s="86"/>
      <c r="Q328" s="86"/>
      <c r="R328" s="86"/>
      <c r="S328" s="86"/>
      <c r="T328" s="86"/>
    </row>
    <row r="329">
      <c r="O329" s="86"/>
      <c r="P329" s="86"/>
      <c r="Q329" s="86"/>
      <c r="R329" s="86"/>
      <c r="S329" s="86"/>
      <c r="T329" s="86"/>
    </row>
    <row r="330">
      <c r="O330" s="86"/>
      <c r="P330" s="86"/>
      <c r="Q330" s="86"/>
      <c r="R330" s="86"/>
      <c r="S330" s="86"/>
      <c r="T330" s="86"/>
    </row>
    <row r="331">
      <c r="O331" s="86"/>
      <c r="P331" s="86"/>
      <c r="Q331" s="86"/>
      <c r="R331" s="86"/>
      <c r="S331" s="86"/>
      <c r="T331" s="86"/>
    </row>
    <row r="332">
      <c r="O332" s="86"/>
      <c r="P332" s="86"/>
      <c r="Q332" s="86"/>
      <c r="R332" s="86"/>
      <c r="S332" s="86"/>
      <c r="T332" s="86"/>
    </row>
    <row r="333">
      <c r="O333" s="86"/>
      <c r="P333" s="86"/>
      <c r="Q333" s="86"/>
      <c r="R333" s="86"/>
      <c r="S333" s="86"/>
      <c r="T333" s="86"/>
    </row>
    <row r="334">
      <c r="O334" s="86"/>
      <c r="P334" s="86"/>
      <c r="Q334" s="86"/>
      <c r="R334" s="86"/>
      <c r="S334" s="86"/>
      <c r="T334" s="86"/>
    </row>
    <row r="335">
      <c r="O335" s="86"/>
      <c r="P335" s="86"/>
      <c r="Q335" s="86"/>
      <c r="R335" s="86"/>
      <c r="S335" s="86"/>
      <c r="T335" s="86"/>
    </row>
    <row r="336">
      <c r="O336" s="86"/>
      <c r="P336" s="86"/>
      <c r="Q336" s="86"/>
      <c r="R336" s="86"/>
      <c r="S336" s="86"/>
      <c r="T336" s="86"/>
    </row>
    <row r="337">
      <c r="O337" s="86"/>
      <c r="P337" s="86"/>
      <c r="Q337" s="86"/>
      <c r="R337" s="86"/>
      <c r="S337" s="86"/>
      <c r="T337" s="86"/>
    </row>
    <row r="338">
      <c r="O338" s="86"/>
      <c r="P338" s="86"/>
      <c r="Q338" s="86"/>
      <c r="R338" s="86"/>
      <c r="S338" s="86"/>
      <c r="T338" s="86"/>
    </row>
    <row r="339">
      <c r="O339" s="86"/>
      <c r="P339" s="86"/>
      <c r="Q339" s="86"/>
      <c r="R339" s="86"/>
      <c r="S339" s="86"/>
      <c r="T339" s="86"/>
    </row>
    <row r="340">
      <c r="O340" s="86"/>
      <c r="P340" s="86"/>
      <c r="Q340" s="86"/>
      <c r="R340" s="86"/>
      <c r="S340" s="86"/>
      <c r="T340" s="86"/>
    </row>
    <row r="341">
      <c r="O341" s="86"/>
      <c r="P341" s="86"/>
      <c r="Q341" s="86"/>
      <c r="R341" s="86"/>
      <c r="S341" s="86"/>
      <c r="T341" s="86"/>
    </row>
    <row r="342">
      <c r="O342" s="86"/>
      <c r="P342" s="86"/>
      <c r="Q342" s="86"/>
      <c r="R342" s="86"/>
      <c r="S342" s="86"/>
      <c r="T342" s="86"/>
    </row>
    <row r="343">
      <c r="O343" s="86"/>
      <c r="P343" s="86"/>
      <c r="Q343" s="86"/>
      <c r="R343" s="86"/>
      <c r="S343" s="86"/>
      <c r="T343" s="86"/>
    </row>
    <row r="344">
      <c r="O344" s="86"/>
      <c r="P344" s="86"/>
      <c r="Q344" s="86"/>
      <c r="R344" s="86"/>
      <c r="S344" s="86"/>
      <c r="T344" s="86"/>
    </row>
    <row r="345">
      <c r="O345" s="86"/>
      <c r="P345" s="86"/>
      <c r="Q345" s="86"/>
      <c r="R345" s="86"/>
      <c r="S345" s="86"/>
      <c r="T345" s="86"/>
    </row>
    <row r="346">
      <c r="O346" s="86"/>
      <c r="P346" s="86"/>
      <c r="Q346" s="86"/>
      <c r="R346" s="86"/>
      <c r="S346" s="86"/>
      <c r="T346" s="86"/>
    </row>
    <row r="347">
      <c r="O347" s="86"/>
      <c r="P347" s="86"/>
      <c r="Q347" s="86"/>
      <c r="R347" s="86"/>
      <c r="S347" s="86"/>
      <c r="T347" s="86"/>
    </row>
    <row r="348">
      <c r="O348" s="86"/>
      <c r="P348" s="86"/>
      <c r="Q348" s="86"/>
      <c r="R348" s="86"/>
      <c r="S348" s="86"/>
      <c r="T348" s="86"/>
    </row>
    <row r="349">
      <c r="O349" s="86"/>
      <c r="P349" s="86"/>
      <c r="Q349" s="86"/>
      <c r="R349" s="86"/>
      <c r="S349" s="86"/>
      <c r="T349" s="86"/>
    </row>
    <row r="350">
      <c r="O350" s="86"/>
      <c r="P350" s="86"/>
      <c r="Q350" s="86"/>
      <c r="R350" s="86"/>
      <c r="S350" s="86"/>
      <c r="T350" s="86"/>
    </row>
    <row r="351">
      <c r="O351" s="86"/>
      <c r="P351" s="86"/>
      <c r="Q351" s="86"/>
      <c r="R351" s="86"/>
      <c r="S351" s="86"/>
      <c r="T351" s="86"/>
    </row>
    <row r="352">
      <c r="O352" s="86"/>
      <c r="P352" s="86"/>
      <c r="Q352" s="86"/>
      <c r="R352" s="86"/>
      <c r="S352" s="86"/>
      <c r="T352" s="86"/>
    </row>
    <row r="353">
      <c r="O353" s="86"/>
      <c r="P353" s="86"/>
      <c r="Q353" s="86"/>
      <c r="R353" s="86"/>
      <c r="S353" s="86"/>
      <c r="T353" s="86"/>
    </row>
    <row r="354">
      <c r="O354" s="86"/>
      <c r="P354" s="86"/>
      <c r="Q354" s="86"/>
      <c r="R354" s="86"/>
      <c r="S354" s="86"/>
      <c r="T354" s="86"/>
    </row>
    <row r="355">
      <c r="O355" s="86"/>
      <c r="P355" s="86"/>
      <c r="Q355" s="86"/>
      <c r="R355" s="86"/>
      <c r="S355" s="86"/>
      <c r="T355" s="86"/>
    </row>
    <row r="356">
      <c r="O356" s="86"/>
      <c r="P356" s="86"/>
      <c r="Q356" s="86"/>
      <c r="R356" s="86"/>
      <c r="S356" s="86"/>
      <c r="T356" s="86"/>
    </row>
    <row r="357">
      <c r="O357" s="86"/>
      <c r="P357" s="86"/>
      <c r="Q357" s="86"/>
      <c r="R357" s="86"/>
      <c r="S357" s="86"/>
      <c r="T357" s="86"/>
    </row>
    <row r="358">
      <c r="O358" s="86"/>
      <c r="P358" s="86"/>
      <c r="Q358" s="86"/>
      <c r="R358" s="86"/>
      <c r="S358" s="86"/>
      <c r="T358" s="86"/>
    </row>
    <row r="359">
      <c r="O359" s="86"/>
      <c r="P359" s="86"/>
      <c r="Q359" s="86"/>
      <c r="R359" s="86"/>
      <c r="S359" s="86"/>
      <c r="T359" s="86"/>
    </row>
    <row r="360">
      <c r="O360" s="86"/>
      <c r="P360" s="86"/>
      <c r="Q360" s="86"/>
      <c r="R360" s="86"/>
      <c r="S360" s="86"/>
      <c r="T360" s="86"/>
    </row>
    <row r="361">
      <c r="O361" s="86"/>
      <c r="P361" s="86"/>
      <c r="Q361" s="86"/>
      <c r="R361" s="86"/>
      <c r="S361" s="86"/>
      <c r="T361" s="86"/>
    </row>
    <row r="362">
      <c r="O362" s="86"/>
      <c r="P362" s="86"/>
      <c r="Q362" s="86"/>
      <c r="R362" s="86"/>
      <c r="S362" s="86"/>
      <c r="T362" s="86"/>
    </row>
    <row r="363">
      <c r="O363" s="86"/>
      <c r="P363" s="86"/>
      <c r="Q363" s="86"/>
      <c r="R363" s="86"/>
      <c r="S363" s="86"/>
      <c r="T363" s="86"/>
    </row>
    <row r="364">
      <c r="O364" s="86"/>
      <c r="P364" s="86"/>
      <c r="Q364" s="86"/>
      <c r="R364" s="86"/>
      <c r="S364" s="86"/>
      <c r="T364" s="86"/>
    </row>
    <row r="365">
      <c r="O365" s="86"/>
      <c r="P365" s="86"/>
      <c r="Q365" s="86"/>
      <c r="R365" s="86"/>
      <c r="S365" s="86"/>
      <c r="T365" s="86"/>
    </row>
    <row r="366">
      <c r="O366" s="86"/>
      <c r="P366" s="86"/>
      <c r="Q366" s="86"/>
      <c r="R366" s="86"/>
      <c r="S366" s="86"/>
      <c r="T366" s="86"/>
    </row>
    <row r="367">
      <c r="O367" s="86"/>
      <c r="P367" s="86"/>
      <c r="Q367" s="86"/>
      <c r="R367" s="86"/>
      <c r="S367" s="86"/>
      <c r="T367" s="86"/>
    </row>
    <row r="368">
      <c r="O368" s="86"/>
      <c r="P368" s="86"/>
      <c r="Q368" s="86"/>
      <c r="R368" s="86"/>
      <c r="S368" s="86"/>
      <c r="T368" s="86"/>
    </row>
    <row r="369">
      <c r="O369" s="86"/>
      <c r="P369" s="86"/>
      <c r="Q369" s="86"/>
      <c r="R369" s="86"/>
      <c r="S369" s="86"/>
      <c r="T369" s="86"/>
    </row>
    <row r="370">
      <c r="O370" s="86"/>
      <c r="P370" s="86"/>
      <c r="Q370" s="86"/>
      <c r="R370" s="86"/>
      <c r="S370" s="86"/>
      <c r="T370" s="86"/>
    </row>
    <row r="371">
      <c r="O371" s="86"/>
      <c r="P371" s="86"/>
      <c r="Q371" s="86"/>
      <c r="R371" s="86"/>
      <c r="S371" s="86"/>
      <c r="T371" s="86"/>
    </row>
    <row r="372">
      <c r="O372" s="86"/>
      <c r="P372" s="86"/>
      <c r="Q372" s="86"/>
      <c r="R372" s="86"/>
      <c r="S372" s="86"/>
      <c r="T372" s="86"/>
    </row>
    <row r="373">
      <c r="O373" s="86"/>
      <c r="P373" s="86"/>
      <c r="Q373" s="86"/>
      <c r="R373" s="86"/>
      <c r="S373" s="86"/>
      <c r="T373" s="86"/>
    </row>
    <row r="374">
      <c r="O374" s="86"/>
      <c r="P374" s="86"/>
      <c r="Q374" s="86"/>
      <c r="R374" s="86"/>
      <c r="S374" s="86"/>
      <c r="T374" s="86"/>
    </row>
    <row r="375">
      <c r="O375" s="86"/>
      <c r="P375" s="86"/>
      <c r="Q375" s="86"/>
      <c r="R375" s="86"/>
      <c r="S375" s="86"/>
      <c r="T375" s="86"/>
    </row>
    <row r="376">
      <c r="O376" s="86"/>
      <c r="P376" s="86"/>
      <c r="Q376" s="86"/>
      <c r="R376" s="86"/>
      <c r="S376" s="86"/>
      <c r="T376" s="86"/>
    </row>
    <row r="377">
      <c r="O377" s="86"/>
      <c r="P377" s="86"/>
      <c r="Q377" s="86"/>
      <c r="R377" s="86"/>
      <c r="S377" s="86"/>
      <c r="T377" s="86"/>
    </row>
    <row r="378">
      <c r="O378" s="86"/>
      <c r="P378" s="86"/>
      <c r="Q378" s="86"/>
      <c r="R378" s="86"/>
      <c r="S378" s="86"/>
      <c r="T378" s="86"/>
    </row>
    <row r="379">
      <c r="O379" s="86"/>
      <c r="P379" s="86"/>
      <c r="Q379" s="86"/>
      <c r="R379" s="86"/>
      <c r="S379" s="86"/>
      <c r="T379" s="86"/>
    </row>
    <row r="380">
      <c r="O380" s="86"/>
      <c r="P380" s="86"/>
      <c r="Q380" s="86"/>
      <c r="R380" s="86"/>
      <c r="S380" s="86"/>
      <c r="T380" s="86"/>
    </row>
    <row r="381">
      <c r="O381" s="86"/>
      <c r="P381" s="86"/>
      <c r="Q381" s="86"/>
      <c r="R381" s="86"/>
      <c r="S381" s="86"/>
      <c r="T381" s="86"/>
    </row>
    <row r="382">
      <c r="O382" s="86"/>
      <c r="P382" s="86"/>
      <c r="Q382" s="86"/>
      <c r="R382" s="86"/>
      <c r="S382" s="86"/>
      <c r="T382" s="86"/>
    </row>
    <row r="383">
      <c r="O383" s="86"/>
      <c r="P383" s="86"/>
      <c r="Q383" s="86"/>
      <c r="R383" s="86"/>
      <c r="S383" s="86"/>
      <c r="T383" s="86"/>
    </row>
    <row r="384">
      <c r="O384" s="86"/>
      <c r="P384" s="86"/>
      <c r="Q384" s="86"/>
      <c r="R384" s="86"/>
      <c r="S384" s="86"/>
      <c r="T384" s="86"/>
    </row>
    <row r="385">
      <c r="O385" s="86"/>
      <c r="P385" s="86"/>
      <c r="Q385" s="86"/>
      <c r="R385" s="86"/>
      <c r="S385" s="86"/>
      <c r="T385" s="86"/>
    </row>
    <row r="386">
      <c r="O386" s="86"/>
      <c r="P386" s="86"/>
      <c r="Q386" s="86"/>
      <c r="R386" s="86"/>
      <c r="S386" s="86"/>
      <c r="T386" s="86"/>
    </row>
    <row r="387">
      <c r="O387" s="86"/>
      <c r="P387" s="86"/>
      <c r="Q387" s="86"/>
      <c r="R387" s="86"/>
      <c r="S387" s="86"/>
      <c r="T387" s="86"/>
    </row>
    <row r="388">
      <c r="O388" s="86"/>
      <c r="P388" s="86"/>
      <c r="Q388" s="86"/>
      <c r="R388" s="86"/>
      <c r="S388" s="86"/>
      <c r="T388" s="86"/>
    </row>
    <row r="389">
      <c r="O389" s="86"/>
      <c r="P389" s="86"/>
      <c r="Q389" s="86"/>
      <c r="R389" s="86"/>
      <c r="S389" s="86"/>
      <c r="T389" s="86"/>
    </row>
    <row r="390">
      <c r="O390" s="86"/>
      <c r="P390" s="86"/>
      <c r="Q390" s="86"/>
      <c r="R390" s="86"/>
      <c r="S390" s="86"/>
      <c r="T390" s="86"/>
    </row>
    <row r="391">
      <c r="O391" s="86"/>
      <c r="P391" s="86"/>
      <c r="Q391" s="86"/>
      <c r="R391" s="86"/>
      <c r="S391" s="86"/>
      <c r="T391" s="86"/>
    </row>
    <row r="392">
      <c r="O392" s="86"/>
      <c r="P392" s="86"/>
      <c r="Q392" s="86"/>
      <c r="R392" s="86"/>
      <c r="S392" s="86"/>
      <c r="T392" s="86"/>
    </row>
    <row r="393">
      <c r="O393" s="86"/>
      <c r="P393" s="86"/>
      <c r="Q393" s="86"/>
      <c r="R393" s="86"/>
      <c r="S393" s="86"/>
      <c r="T393" s="86"/>
    </row>
    <row r="394">
      <c r="O394" s="86"/>
      <c r="P394" s="86"/>
      <c r="Q394" s="86"/>
      <c r="R394" s="86"/>
      <c r="S394" s="86"/>
      <c r="T394" s="86"/>
    </row>
    <row r="395">
      <c r="O395" s="86"/>
      <c r="P395" s="86"/>
      <c r="Q395" s="86"/>
      <c r="R395" s="86"/>
      <c r="S395" s="86"/>
      <c r="T395" s="86"/>
    </row>
    <row r="396">
      <c r="O396" s="86"/>
      <c r="P396" s="86"/>
      <c r="Q396" s="86"/>
      <c r="R396" s="86"/>
      <c r="S396" s="86"/>
      <c r="T396" s="86"/>
    </row>
    <row r="397">
      <c r="O397" s="86"/>
      <c r="P397" s="86"/>
      <c r="Q397" s="86"/>
      <c r="R397" s="86"/>
      <c r="S397" s="86"/>
      <c r="T397" s="86"/>
    </row>
    <row r="398">
      <c r="O398" s="86"/>
      <c r="P398" s="86"/>
      <c r="Q398" s="86"/>
      <c r="R398" s="86"/>
      <c r="S398" s="86"/>
      <c r="T398" s="86"/>
    </row>
    <row r="399">
      <c r="O399" s="86"/>
      <c r="P399" s="86"/>
      <c r="Q399" s="86"/>
      <c r="R399" s="86"/>
      <c r="S399" s="86"/>
      <c r="T399" s="86"/>
    </row>
    <row r="400">
      <c r="O400" s="86"/>
      <c r="P400" s="86"/>
      <c r="Q400" s="86"/>
      <c r="R400" s="86"/>
      <c r="S400" s="86"/>
      <c r="T400" s="86"/>
    </row>
    <row r="401">
      <c r="O401" s="86"/>
      <c r="P401" s="86"/>
      <c r="Q401" s="86"/>
      <c r="R401" s="86"/>
      <c r="S401" s="86"/>
      <c r="T401" s="86"/>
    </row>
    <row r="402">
      <c r="O402" s="86"/>
      <c r="P402" s="86"/>
      <c r="Q402" s="86"/>
      <c r="R402" s="86"/>
      <c r="S402" s="86"/>
      <c r="T402" s="86"/>
    </row>
    <row r="403">
      <c r="O403" s="86"/>
      <c r="P403" s="86"/>
      <c r="Q403" s="86"/>
      <c r="R403" s="86"/>
      <c r="S403" s="86"/>
      <c r="T403" s="86"/>
    </row>
    <row r="404">
      <c r="O404" s="86"/>
      <c r="P404" s="86"/>
      <c r="Q404" s="86"/>
      <c r="R404" s="86"/>
      <c r="S404" s="86"/>
      <c r="T404" s="86"/>
    </row>
    <row r="405">
      <c r="O405" s="86"/>
      <c r="P405" s="86"/>
      <c r="Q405" s="86"/>
      <c r="R405" s="86"/>
      <c r="S405" s="86"/>
      <c r="T405" s="86"/>
    </row>
    <row r="406">
      <c r="O406" s="86"/>
      <c r="P406" s="86"/>
      <c r="Q406" s="86"/>
      <c r="R406" s="86"/>
      <c r="S406" s="86"/>
      <c r="T406" s="86"/>
    </row>
    <row r="407">
      <c r="O407" s="86"/>
      <c r="P407" s="86"/>
      <c r="Q407" s="86"/>
      <c r="R407" s="86"/>
      <c r="S407" s="86"/>
      <c r="T407" s="86"/>
    </row>
    <row r="408">
      <c r="O408" s="86"/>
      <c r="P408" s="86"/>
      <c r="Q408" s="86"/>
      <c r="R408" s="86"/>
      <c r="S408" s="86"/>
      <c r="T408" s="86"/>
    </row>
    <row r="409">
      <c r="O409" s="86"/>
      <c r="P409" s="86"/>
      <c r="Q409" s="86"/>
      <c r="R409" s="86"/>
      <c r="S409" s="86"/>
      <c r="T409" s="86"/>
    </row>
    <row r="410">
      <c r="O410" s="86"/>
      <c r="P410" s="86"/>
      <c r="Q410" s="86"/>
      <c r="R410" s="86"/>
      <c r="S410" s="86"/>
      <c r="T410" s="86"/>
    </row>
    <row r="411">
      <c r="O411" s="86"/>
      <c r="P411" s="86"/>
      <c r="Q411" s="86"/>
      <c r="R411" s="86"/>
      <c r="S411" s="86"/>
      <c r="T411" s="86"/>
    </row>
    <row r="412">
      <c r="O412" s="86"/>
      <c r="P412" s="86"/>
      <c r="Q412" s="86"/>
      <c r="R412" s="86"/>
      <c r="S412" s="86"/>
      <c r="T412" s="86"/>
    </row>
    <row r="413">
      <c r="O413" s="86"/>
      <c r="P413" s="86"/>
      <c r="Q413" s="86"/>
      <c r="R413" s="86"/>
      <c r="S413" s="86"/>
      <c r="T413" s="86"/>
    </row>
    <row r="414">
      <c r="O414" s="86"/>
      <c r="P414" s="86"/>
      <c r="Q414" s="86"/>
      <c r="R414" s="86"/>
      <c r="S414" s="86"/>
      <c r="T414" s="86"/>
    </row>
    <row r="415">
      <c r="O415" s="86"/>
      <c r="P415" s="86"/>
      <c r="Q415" s="86"/>
      <c r="R415" s="86"/>
      <c r="S415" s="86"/>
      <c r="T415" s="86"/>
    </row>
    <row r="416">
      <c r="O416" s="86"/>
      <c r="P416" s="86"/>
      <c r="Q416" s="86"/>
      <c r="R416" s="86"/>
      <c r="S416" s="86"/>
      <c r="T416" s="86"/>
    </row>
    <row r="417">
      <c r="O417" s="86"/>
      <c r="P417" s="86"/>
      <c r="Q417" s="86"/>
      <c r="R417" s="86"/>
      <c r="S417" s="86"/>
      <c r="T417" s="86"/>
    </row>
    <row r="418">
      <c r="O418" s="86"/>
      <c r="P418" s="86"/>
      <c r="Q418" s="86"/>
      <c r="R418" s="86"/>
      <c r="S418" s="86"/>
      <c r="T418" s="86"/>
    </row>
    <row r="419">
      <c r="O419" s="86"/>
      <c r="P419" s="86"/>
      <c r="Q419" s="86"/>
      <c r="R419" s="86"/>
      <c r="S419" s="86"/>
      <c r="T419" s="86"/>
    </row>
    <row r="420">
      <c r="O420" s="86"/>
      <c r="P420" s="86"/>
      <c r="Q420" s="86"/>
      <c r="R420" s="86"/>
      <c r="S420" s="86"/>
      <c r="T420" s="86"/>
    </row>
    <row r="421">
      <c r="O421" s="86"/>
      <c r="P421" s="86"/>
      <c r="Q421" s="86"/>
      <c r="R421" s="86"/>
      <c r="S421" s="86"/>
      <c r="T421" s="86"/>
    </row>
    <row r="422">
      <c r="O422" s="86"/>
      <c r="P422" s="86"/>
      <c r="Q422" s="86"/>
      <c r="R422" s="86"/>
      <c r="S422" s="86"/>
      <c r="T422" s="86"/>
    </row>
    <row r="423">
      <c r="O423" s="86"/>
      <c r="P423" s="86"/>
      <c r="Q423" s="86"/>
      <c r="R423" s="86"/>
      <c r="S423" s="86"/>
      <c r="T423" s="86"/>
    </row>
    <row r="424">
      <c r="O424" s="86"/>
      <c r="P424" s="86"/>
      <c r="Q424" s="86"/>
      <c r="R424" s="86"/>
      <c r="S424" s="86"/>
      <c r="T424" s="86"/>
    </row>
    <row r="425">
      <c r="O425" s="86"/>
      <c r="P425" s="86"/>
      <c r="Q425" s="86"/>
      <c r="R425" s="86"/>
      <c r="S425" s="86"/>
      <c r="T425" s="86"/>
    </row>
    <row r="426">
      <c r="O426" s="86"/>
      <c r="P426" s="86"/>
      <c r="Q426" s="86"/>
      <c r="R426" s="86"/>
      <c r="S426" s="86"/>
      <c r="T426" s="86"/>
    </row>
    <row r="427">
      <c r="O427" s="86"/>
      <c r="P427" s="86"/>
      <c r="Q427" s="86"/>
      <c r="R427" s="86"/>
      <c r="S427" s="86"/>
      <c r="T427" s="86"/>
    </row>
    <row r="428">
      <c r="O428" s="86"/>
      <c r="P428" s="86"/>
      <c r="Q428" s="86"/>
      <c r="R428" s="86"/>
      <c r="S428" s="86"/>
      <c r="T428" s="86"/>
    </row>
    <row r="429">
      <c r="O429" s="86"/>
      <c r="P429" s="86"/>
      <c r="Q429" s="86"/>
      <c r="R429" s="86"/>
      <c r="S429" s="86"/>
      <c r="T429" s="86"/>
    </row>
    <row r="430">
      <c r="O430" s="86"/>
      <c r="P430" s="86"/>
      <c r="Q430" s="86"/>
      <c r="R430" s="86"/>
      <c r="S430" s="86"/>
      <c r="T430" s="86"/>
    </row>
    <row r="431">
      <c r="O431" s="86"/>
      <c r="P431" s="86"/>
      <c r="Q431" s="86"/>
      <c r="R431" s="86"/>
      <c r="S431" s="86"/>
      <c r="T431" s="86"/>
    </row>
    <row r="432">
      <c r="O432" s="86"/>
      <c r="P432" s="86"/>
      <c r="Q432" s="86"/>
      <c r="R432" s="86"/>
      <c r="S432" s="86"/>
      <c r="T432" s="86"/>
    </row>
    <row r="433">
      <c r="O433" s="86"/>
      <c r="P433" s="86"/>
      <c r="Q433" s="86"/>
      <c r="R433" s="86"/>
      <c r="S433" s="86"/>
      <c r="T433" s="86"/>
    </row>
    <row r="434">
      <c r="O434" s="86"/>
      <c r="P434" s="86"/>
      <c r="Q434" s="86"/>
      <c r="R434" s="86"/>
      <c r="S434" s="86"/>
      <c r="T434" s="86"/>
    </row>
    <row r="435">
      <c r="O435" s="86"/>
      <c r="P435" s="86"/>
      <c r="Q435" s="86"/>
      <c r="R435" s="86"/>
      <c r="S435" s="86"/>
      <c r="T435" s="86"/>
    </row>
    <row r="436">
      <c r="O436" s="86"/>
      <c r="P436" s="86"/>
      <c r="Q436" s="86"/>
      <c r="R436" s="86"/>
      <c r="S436" s="86"/>
      <c r="T436" s="86"/>
    </row>
    <row r="437">
      <c r="O437" s="86"/>
      <c r="P437" s="86"/>
      <c r="Q437" s="86"/>
      <c r="R437" s="86"/>
      <c r="S437" s="86"/>
      <c r="T437" s="86"/>
    </row>
    <row r="438">
      <c r="O438" s="86"/>
      <c r="P438" s="86"/>
      <c r="Q438" s="86"/>
      <c r="R438" s="86"/>
      <c r="S438" s="86"/>
      <c r="T438" s="86"/>
    </row>
    <row r="439">
      <c r="O439" s="86"/>
      <c r="P439" s="86"/>
      <c r="Q439" s="86"/>
      <c r="R439" s="86"/>
      <c r="S439" s="86"/>
      <c r="T439" s="86"/>
    </row>
    <row r="440">
      <c r="O440" s="86"/>
      <c r="P440" s="86"/>
      <c r="Q440" s="86"/>
      <c r="R440" s="86"/>
      <c r="S440" s="86"/>
      <c r="T440" s="86"/>
    </row>
    <row r="441">
      <c r="O441" s="86"/>
      <c r="P441" s="86"/>
      <c r="Q441" s="86"/>
      <c r="R441" s="86"/>
      <c r="S441" s="86"/>
      <c r="T441" s="86"/>
    </row>
    <row r="442">
      <c r="O442" s="86"/>
      <c r="P442" s="86"/>
      <c r="Q442" s="86"/>
      <c r="R442" s="86"/>
      <c r="S442" s="86"/>
      <c r="T442" s="86"/>
    </row>
    <row r="443">
      <c r="O443" s="86"/>
      <c r="P443" s="86"/>
      <c r="Q443" s="86"/>
      <c r="R443" s="86"/>
      <c r="S443" s="86"/>
      <c r="T443" s="86"/>
    </row>
    <row r="444">
      <c r="O444" s="86"/>
      <c r="P444" s="86"/>
      <c r="Q444" s="86"/>
      <c r="R444" s="86"/>
      <c r="S444" s="86"/>
      <c r="T444" s="86"/>
    </row>
    <row r="445">
      <c r="O445" s="86"/>
      <c r="P445" s="86"/>
      <c r="Q445" s="86"/>
      <c r="R445" s="86"/>
      <c r="S445" s="86"/>
      <c r="T445" s="86"/>
    </row>
    <row r="446">
      <c r="O446" s="86"/>
      <c r="P446" s="86"/>
      <c r="Q446" s="86"/>
      <c r="R446" s="86"/>
      <c r="S446" s="86"/>
      <c r="T446" s="86"/>
    </row>
    <row r="447">
      <c r="O447" s="86"/>
      <c r="P447" s="86"/>
      <c r="Q447" s="86"/>
      <c r="R447" s="86"/>
      <c r="S447" s="86"/>
      <c r="T447" s="86"/>
    </row>
    <row r="448">
      <c r="O448" s="86"/>
      <c r="P448" s="86"/>
      <c r="Q448" s="86"/>
      <c r="R448" s="86"/>
      <c r="S448" s="86"/>
      <c r="T448" s="86"/>
    </row>
    <row r="449">
      <c r="O449" s="86"/>
      <c r="P449" s="86"/>
      <c r="Q449" s="86"/>
      <c r="R449" s="86"/>
      <c r="S449" s="86"/>
      <c r="T449" s="86"/>
    </row>
    <row r="450">
      <c r="O450" s="86"/>
      <c r="P450" s="86"/>
      <c r="Q450" s="86"/>
      <c r="R450" s="86"/>
      <c r="S450" s="86"/>
      <c r="T450" s="86"/>
    </row>
    <row r="451">
      <c r="O451" s="86"/>
      <c r="P451" s="86"/>
      <c r="Q451" s="86"/>
      <c r="R451" s="86"/>
      <c r="S451" s="86"/>
      <c r="T451" s="86"/>
    </row>
    <row r="452">
      <c r="O452" s="86"/>
      <c r="P452" s="86"/>
      <c r="Q452" s="86"/>
      <c r="R452" s="86"/>
      <c r="S452" s="86"/>
      <c r="T452" s="86"/>
    </row>
    <row r="453">
      <c r="O453" s="86"/>
      <c r="P453" s="86"/>
      <c r="Q453" s="86"/>
      <c r="R453" s="86"/>
      <c r="S453" s="86"/>
      <c r="T453" s="86"/>
    </row>
    <row r="454">
      <c r="O454" s="86"/>
      <c r="P454" s="86"/>
      <c r="Q454" s="86"/>
      <c r="R454" s="86"/>
      <c r="S454" s="86"/>
      <c r="T454" s="86"/>
    </row>
    <row r="455">
      <c r="O455" s="86"/>
      <c r="P455" s="86"/>
      <c r="Q455" s="86"/>
      <c r="R455" s="86"/>
      <c r="S455" s="86"/>
      <c r="T455" s="86"/>
    </row>
    <row r="456">
      <c r="O456" s="86"/>
      <c r="P456" s="86"/>
      <c r="Q456" s="86"/>
      <c r="R456" s="86"/>
      <c r="S456" s="86"/>
      <c r="T456" s="86"/>
    </row>
    <row r="457">
      <c r="O457" s="86"/>
      <c r="P457" s="86"/>
      <c r="Q457" s="86"/>
      <c r="R457" s="86"/>
      <c r="S457" s="86"/>
      <c r="T457" s="86"/>
    </row>
    <row r="458">
      <c r="O458" s="86"/>
      <c r="P458" s="86"/>
      <c r="Q458" s="86"/>
      <c r="R458" s="86"/>
      <c r="S458" s="86"/>
      <c r="T458" s="86"/>
    </row>
    <row r="459">
      <c r="O459" s="86"/>
      <c r="P459" s="86"/>
      <c r="Q459" s="86"/>
      <c r="R459" s="86"/>
      <c r="S459" s="86"/>
      <c r="T459" s="86"/>
    </row>
    <row r="460">
      <c r="O460" s="86"/>
      <c r="P460" s="86"/>
      <c r="Q460" s="86"/>
      <c r="R460" s="86"/>
      <c r="S460" s="86"/>
      <c r="T460" s="86"/>
    </row>
    <row r="461">
      <c r="O461" s="86"/>
      <c r="P461" s="86"/>
      <c r="Q461" s="86"/>
      <c r="R461" s="86"/>
      <c r="S461" s="86"/>
      <c r="T461" s="86"/>
    </row>
    <row r="462">
      <c r="O462" s="86"/>
      <c r="P462" s="86"/>
      <c r="Q462" s="86"/>
      <c r="R462" s="86"/>
      <c r="S462" s="86"/>
      <c r="T462" s="86"/>
    </row>
    <row r="463">
      <c r="O463" s="86"/>
      <c r="P463" s="86"/>
      <c r="Q463" s="86"/>
      <c r="R463" s="86"/>
      <c r="S463" s="86"/>
      <c r="T463" s="86"/>
    </row>
    <row r="464">
      <c r="O464" s="86"/>
      <c r="P464" s="86"/>
      <c r="Q464" s="86"/>
      <c r="R464" s="86"/>
      <c r="S464" s="86"/>
      <c r="T464" s="86"/>
    </row>
    <row r="465">
      <c r="O465" s="86"/>
      <c r="P465" s="86"/>
      <c r="Q465" s="86"/>
      <c r="R465" s="86"/>
      <c r="S465" s="86"/>
      <c r="T465" s="86"/>
    </row>
    <row r="466">
      <c r="O466" s="86"/>
      <c r="P466" s="86"/>
      <c r="Q466" s="86"/>
      <c r="R466" s="86"/>
      <c r="S466" s="86"/>
      <c r="T466" s="86"/>
    </row>
    <row r="467">
      <c r="O467" s="86"/>
      <c r="P467" s="86"/>
      <c r="Q467" s="86"/>
      <c r="R467" s="86"/>
      <c r="S467" s="86"/>
      <c r="T467" s="86"/>
    </row>
    <row r="468">
      <c r="O468" s="86"/>
      <c r="P468" s="86"/>
      <c r="Q468" s="86"/>
      <c r="R468" s="86"/>
      <c r="S468" s="86"/>
      <c r="T468" s="86"/>
    </row>
    <row r="469">
      <c r="O469" s="86"/>
      <c r="P469" s="86"/>
      <c r="Q469" s="86"/>
      <c r="R469" s="86"/>
      <c r="S469" s="86"/>
      <c r="T469" s="86"/>
    </row>
    <row r="470">
      <c r="O470" s="86"/>
      <c r="P470" s="86"/>
      <c r="Q470" s="86"/>
      <c r="R470" s="86"/>
      <c r="S470" s="86"/>
      <c r="T470" s="86"/>
    </row>
    <row r="471">
      <c r="O471" s="86"/>
      <c r="P471" s="86"/>
      <c r="Q471" s="86"/>
      <c r="R471" s="86"/>
      <c r="S471" s="86"/>
      <c r="T471" s="86"/>
    </row>
    <row r="472">
      <c r="O472" s="86"/>
      <c r="P472" s="86"/>
      <c r="Q472" s="86"/>
      <c r="R472" s="86"/>
      <c r="S472" s="86"/>
      <c r="T472" s="86"/>
    </row>
    <row r="473">
      <c r="O473" s="86"/>
      <c r="P473" s="86"/>
      <c r="Q473" s="86"/>
      <c r="R473" s="86"/>
      <c r="S473" s="86"/>
      <c r="T473" s="86"/>
    </row>
    <row r="474">
      <c r="O474" s="86"/>
      <c r="P474" s="86"/>
      <c r="Q474" s="86"/>
      <c r="R474" s="86"/>
      <c r="S474" s="86"/>
      <c r="T474" s="86"/>
    </row>
    <row r="475">
      <c r="O475" s="86"/>
      <c r="P475" s="86"/>
      <c r="Q475" s="86"/>
      <c r="R475" s="86"/>
      <c r="S475" s="86"/>
      <c r="T475" s="86"/>
    </row>
    <row r="476">
      <c r="O476" s="86"/>
      <c r="P476" s="86"/>
      <c r="Q476" s="86"/>
      <c r="R476" s="86"/>
      <c r="S476" s="86"/>
      <c r="T476" s="86"/>
    </row>
    <row r="477">
      <c r="O477" s="86"/>
      <c r="P477" s="86"/>
      <c r="Q477" s="86"/>
      <c r="R477" s="86"/>
      <c r="S477" s="86"/>
      <c r="T477" s="86"/>
    </row>
    <row r="478">
      <c r="O478" s="86"/>
      <c r="P478" s="86"/>
      <c r="Q478" s="86"/>
      <c r="R478" s="86"/>
      <c r="S478" s="86"/>
      <c r="T478" s="86"/>
    </row>
    <row r="479">
      <c r="O479" s="86"/>
      <c r="P479" s="86"/>
      <c r="Q479" s="86"/>
      <c r="R479" s="86"/>
      <c r="S479" s="86"/>
      <c r="T479" s="86"/>
    </row>
    <row r="480">
      <c r="O480" s="86"/>
      <c r="P480" s="86"/>
      <c r="Q480" s="86"/>
      <c r="R480" s="86"/>
      <c r="S480" s="86"/>
      <c r="T480" s="86"/>
    </row>
    <row r="481">
      <c r="O481" s="86"/>
      <c r="P481" s="86"/>
      <c r="Q481" s="86"/>
      <c r="R481" s="86"/>
      <c r="S481" s="86"/>
      <c r="T481" s="86"/>
    </row>
    <row r="482">
      <c r="O482" s="86"/>
      <c r="P482" s="86"/>
      <c r="Q482" s="86"/>
      <c r="R482" s="86"/>
      <c r="S482" s="86"/>
      <c r="T482" s="86"/>
    </row>
    <row r="483">
      <c r="O483" s="86"/>
      <c r="P483" s="86"/>
      <c r="Q483" s="86"/>
      <c r="R483" s="86"/>
      <c r="S483" s="86"/>
      <c r="T483" s="86"/>
    </row>
    <row r="484">
      <c r="O484" s="86"/>
      <c r="P484" s="86"/>
      <c r="Q484" s="86"/>
      <c r="R484" s="86"/>
      <c r="S484" s="86"/>
      <c r="T484" s="86"/>
    </row>
    <row r="485">
      <c r="O485" s="86"/>
      <c r="P485" s="86"/>
      <c r="Q485" s="86"/>
      <c r="R485" s="86"/>
      <c r="S485" s="86"/>
      <c r="T485" s="86"/>
    </row>
    <row r="486">
      <c r="O486" s="86"/>
      <c r="P486" s="86"/>
      <c r="Q486" s="86"/>
      <c r="R486" s="86"/>
      <c r="S486" s="86"/>
      <c r="T486" s="86"/>
    </row>
    <row r="487">
      <c r="O487" s="86"/>
      <c r="P487" s="86"/>
      <c r="Q487" s="86"/>
      <c r="R487" s="86"/>
      <c r="S487" s="86"/>
      <c r="T487" s="86"/>
    </row>
    <row r="488">
      <c r="O488" s="86"/>
      <c r="P488" s="86"/>
      <c r="Q488" s="86"/>
      <c r="R488" s="86"/>
      <c r="S488" s="86"/>
      <c r="T488" s="86"/>
    </row>
    <row r="489">
      <c r="O489" s="86"/>
      <c r="P489" s="86"/>
      <c r="Q489" s="86"/>
      <c r="R489" s="86"/>
      <c r="S489" s="86"/>
      <c r="T489" s="86"/>
    </row>
    <row r="490">
      <c r="O490" s="86"/>
      <c r="P490" s="86"/>
      <c r="Q490" s="86"/>
      <c r="R490" s="86"/>
      <c r="S490" s="86"/>
      <c r="T490" s="86"/>
    </row>
    <row r="491">
      <c r="O491" s="86"/>
      <c r="P491" s="86"/>
      <c r="Q491" s="86"/>
      <c r="R491" s="86"/>
      <c r="S491" s="86"/>
      <c r="T491" s="86"/>
    </row>
    <row r="492">
      <c r="O492" s="86"/>
      <c r="P492" s="86"/>
      <c r="Q492" s="86"/>
      <c r="R492" s="86"/>
      <c r="S492" s="86"/>
      <c r="T492" s="86"/>
    </row>
    <row r="493">
      <c r="O493" s="86"/>
      <c r="P493" s="86"/>
      <c r="Q493" s="86"/>
      <c r="R493" s="86"/>
      <c r="S493" s="86"/>
      <c r="T493" s="86"/>
    </row>
    <row r="494">
      <c r="O494" s="86"/>
      <c r="P494" s="86"/>
      <c r="Q494" s="86"/>
      <c r="R494" s="86"/>
      <c r="S494" s="86"/>
      <c r="T494" s="86"/>
    </row>
    <row r="495">
      <c r="O495" s="86"/>
      <c r="P495" s="86"/>
      <c r="Q495" s="86"/>
      <c r="R495" s="86"/>
      <c r="S495" s="86"/>
      <c r="T495" s="86"/>
    </row>
    <row r="496">
      <c r="O496" s="86"/>
      <c r="P496" s="86"/>
      <c r="Q496" s="86"/>
      <c r="R496" s="86"/>
      <c r="S496" s="86"/>
      <c r="T496" s="86"/>
    </row>
    <row r="497">
      <c r="O497" s="86"/>
      <c r="P497" s="86"/>
      <c r="Q497" s="86"/>
      <c r="R497" s="86"/>
      <c r="S497" s="86"/>
      <c r="T497" s="86"/>
    </row>
    <row r="498">
      <c r="O498" s="86"/>
      <c r="P498" s="86"/>
      <c r="Q498" s="86"/>
      <c r="R498" s="86"/>
      <c r="S498" s="86"/>
      <c r="T498" s="86"/>
    </row>
    <row r="499">
      <c r="O499" s="86"/>
      <c r="P499" s="86"/>
      <c r="Q499" s="86"/>
      <c r="R499" s="86"/>
      <c r="S499" s="86"/>
      <c r="T499" s="86"/>
    </row>
    <row r="500">
      <c r="O500" s="86"/>
      <c r="P500" s="86"/>
      <c r="Q500" s="86"/>
      <c r="R500" s="86"/>
      <c r="S500" s="86"/>
      <c r="T500" s="86"/>
    </row>
    <row r="501">
      <c r="O501" s="86"/>
      <c r="P501" s="86"/>
      <c r="Q501" s="86"/>
      <c r="R501" s="86"/>
      <c r="S501" s="86"/>
      <c r="T501" s="86"/>
    </row>
    <row r="502">
      <c r="O502" s="86"/>
      <c r="P502" s="86"/>
      <c r="Q502" s="86"/>
      <c r="R502" s="86"/>
      <c r="S502" s="86"/>
      <c r="T502" s="86"/>
    </row>
    <row r="503">
      <c r="O503" s="86"/>
      <c r="P503" s="86"/>
      <c r="Q503" s="86"/>
      <c r="R503" s="86"/>
      <c r="S503" s="86"/>
      <c r="T503" s="86"/>
    </row>
    <row r="504">
      <c r="O504" s="86"/>
      <c r="P504" s="86"/>
      <c r="Q504" s="86"/>
      <c r="R504" s="86"/>
      <c r="S504" s="86"/>
      <c r="T504" s="86"/>
    </row>
    <row r="505">
      <c r="O505" s="86"/>
      <c r="P505" s="86"/>
      <c r="Q505" s="86"/>
      <c r="R505" s="86"/>
      <c r="S505" s="86"/>
      <c r="T505" s="86"/>
    </row>
    <row r="506">
      <c r="O506" s="86"/>
      <c r="P506" s="86"/>
      <c r="Q506" s="86"/>
      <c r="R506" s="86"/>
      <c r="S506" s="86"/>
      <c r="T506" s="86"/>
    </row>
    <row r="507">
      <c r="O507" s="86"/>
      <c r="P507" s="86"/>
      <c r="Q507" s="86"/>
      <c r="R507" s="86"/>
      <c r="S507" s="86"/>
      <c r="T507" s="86"/>
    </row>
    <row r="508">
      <c r="O508" s="86"/>
      <c r="P508" s="86"/>
      <c r="Q508" s="86"/>
      <c r="R508" s="86"/>
      <c r="S508" s="86"/>
      <c r="T508" s="86"/>
    </row>
    <row r="509">
      <c r="O509" s="86"/>
      <c r="P509" s="86"/>
      <c r="Q509" s="86"/>
      <c r="R509" s="86"/>
      <c r="S509" s="86"/>
      <c r="T509" s="86"/>
    </row>
    <row r="510">
      <c r="O510" s="86"/>
      <c r="P510" s="86"/>
      <c r="Q510" s="86"/>
      <c r="R510" s="86"/>
      <c r="S510" s="86"/>
      <c r="T510" s="86"/>
    </row>
    <row r="511">
      <c r="O511" s="86"/>
      <c r="P511" s="86"/>
      <c r="Q511" s="86"/>
      <c r="R511" s="86"/>
      <c r="S511" s="86"/>
      <c r="T511" s="86"/>
    </row>
    <row r="512">
      <c r="O512" s="86"/>
      <c r="P512" s="86"/>
      <c r="Q512" s="86"/>
      <c r="R512" s="86"/>
      <c r="S512" s="86"/>
      <c r="T512" s="86"/>
    </row>
    <row r="513">
      <c r="O513" s="86"/>
      <c r="P513" s="86"/>
      <c r="Q513" s="86"/>
      <c r="R513" s="86"/>
      <c r="S513" s="86"/>
      <c r="T513" s="86"/>
    </row>
    <row r="514">
      <c r="O514" s="86"/>
      <c r="P514" s="86"/>
      <c r="Q514" s="86"/>
      <c r="R514" s="86"/>
      <c r="S514" s="86"/>
      <c r="T514" s="86"/>
    </row>
    <row r="515">
      <c r="O515" s="86"/>
      <c r="P515" s="86"/>
      <c r="Q515" s="86"/>
      <c r="R515" s="86"/>
      <c r="S515" s="86"/>
      <c r="T515" s="86"/>
    </row>
    <row r="516">
      <c r="O516" s="86"/>
      <c r="P516" s="86"/>
      <c r="Q516" s="86"/>
      <c r="R516" s="86"/>
      <c r="S516" s="86"/>
      <c r="T516" s="86"/>
    </row>
    <row r="517">
      <c r="O517" s="86"/>
      <c r="P517" s="86"/>
      <c r="Q517" s="86"/>
      <c r="R517" s="86"/>
      <c r="S517" s="86"/>
      <c r="T517" s="86"/>
    </row>
    <row r="518">
      <c r="O518" s="86"/>
      <c r="P518" s="86"/>
      <c r="Q518" s="86"/>
      <c r="R518" s="86"/>
      <c r="S518" s="86"/>
      <c r="T518" s="86"/>
    </row>
    <row r="519">
      <c r="O519" s="86"/>
      <c r="P519" s="86"/>
      <c r="Q519" s="86"/>
      <c r="R519" s="86"/>
      <c r="S519" s="86"/>
      <c r="T519" s="86"/>
    </row>
    <row r="520">
      <c r="O520" s="86"/>
      <c r="P520" s="86"/>
      <c r="Q520" s="86"/>
      <c r="R520" s="86"/>
      <c r="S520" s="86"/>
      <c r="T520" s="86"/>
    </row>
    <row r="521">
      <c r="O521" s="86"/>
      <c r="P521" s="86"/>
      <c r="Q521" s="86"/>
      <c r="R521" s="86"/>
      <c r="S521" s="86"/>
      <c r="T521" s="86"/>
    </row>
    <row r="522">
      <c r="O522" s="86"/>
      <c r="P522" s="86"/>
      <c r="Q522" s="86"/>
      <c r="R522" s="86"/>
      <c r="S522" s="86"/>
      <c r="T522" s="86"/>
    </row>
    <row r="523">
      <c r="O523" s="86"/>
      <c r="P523" s="86"/>
      <c r="Q523" s="86"/>
      <c r="R523" s="86"/>
      <c r="S523" s="86"/>
      <c r="T523" s="86"/>
    </row>
    <row r="524">
      <c r="O524" s="86"/>
      <c r="P524" s="86"/>
      <c r="Q524" s="86"/>
      <c r="R524" s="86"/>
      <c r="S524" s="86"/>
      <c r="T524" s="86"/>
    </row>
    <row r="525">
      <c r="O525" s="86"/>
      <c r="P525" s="86"/>
      <c r="Q525" s="86"/>
      <c r="R525" s="86"/>
      <c r="S525" s="86"/>
      <c r="T525" s="86"/>
    </row>
    <row r="526">
      <c r="O526" s="86"/>
      <c r="P526" s="86"/>
      <c r="Q526" s="86"/>
      <c r="R526" s="86"/>
      <c r="S526" s="86"/>
      <c r="T526" s="86"/>
    </row>
    <row r="527">
      <c r="O527" s="86"/>
      <c r="P527" s="86"/>
      <c r="Q527" s="86"/>
      <c r="R527" s="86"/>
      <c r="S527" s="86"/>
      <c r="T527" s="86"/>
    </row>
    <row r="528">
      <c r="O528" s="86"/>
      <c r="P528" s="86"/>
      <c r="Q528" s="86"/>
      <c r="R528" s="86"/>
      <c r="S528" s="86"/>
      <c r="T528" s="86"/>
    </row>
    <row r="529">
      <c r="O529" s="86"/>
      <c r="P529" s="86"/>
      <c r="Q529" s="86"/>
      <c r="R529" s="86"/>
      <c r="S529" s="86"/>
      <c r="T529" s="86"/>
    </row>
    <row r="530">
      <c r="O530" s="86"/>
      <c r="P530" s="86"/>
      <c r="Q530" s="86"/>
      <c r="R530" s="86"/>
      <c r="S530" s="86"/>
      <c r="T530" s="86"/>
    </row>
    <row r="531">
      <c r="O531" s="86"/>
      <c r="P531" s="86"/>
      <c r="Q531" s="86"/>
      <c r="R531" s="86"/>
      <c r="S531" s="86"/>
      <c r="T531" s="86"/>
    </row>
    <row r="532">
      <c r="O532" s="86"/>
      <c r="P532" s="86"/>
      <c r="Q532" s="86"/>
      <c r="R532" s="86"/>
      <c r="S532" s="86"/>
      <c r="T532" s="86"/>
    </row>
    <row r="533">
      <c r="O533" s="86"/>
      <c r="P533" s="86"/>
      <c r="Q533" s="86"/>
      <c r="R533" s="86"/>
      <c r="S533" s="86"/>
      <c r="T533" s="86"/>
    </row>
    <row r="534">
      <c r="O534" s="86"/>
      <c r="P534" s="86"/>
      <c r="Q534" s="86"/>
      <c r="R534" s="86"/>
      <c r="S534" s="86"/>
      <c r="T534" s="86"/>
    </row>
    <row r="535">
      <c r="O535" s="86"/>
      <c r="P535" s="86"/>
      <c r="Q535" s="86"/>
      <c r="R535" s="86"/>
      <c r="S535" s="86"/>
      <c r="T535" s="86"/>
    </row>
    <row r="536">
      <c r="O536" s="86"/>
      <c r="P536" s="86"/>
      <c r="Q536" s="86"/>
      <c r="R536" s="86"/>
      <c r="S536" s="86"/>
      <c r="T536" s="86"/>
    </row>
    <row r="537">
      <c r="O537" s="86"/>
      <c r="P537" s="86"/>
      <c r="Q537" s="86"/>
      <c r="R537" s="86"/>
      <c r="S537" s="86"/>
      <c r="T537" s="86"/>
    </row>
    <row r="538">
      <c r="O538" s="86"/>
      <c r="P538" s="86"/>
      <c r="Q538" s="86"/>
      <c r="R538" s="86"/>
      <c r="S538" s="86"/>
      <c r="T538" s="86"/>
    </row>
    <row r="539">
      <c r="O539" s="86"/>
      <c r="P539" s="86"/>
      <c r="Q539" s="86"/>
      <c r="R539" s="86"/>
      <c r="S539" s="86"/>
      <c r="T539" s="86"/>
    </row>
    <row r="540">
      <c r="O540" s="86"/>
      <c r="P540" s="86"/>
      <c r="Q540" s="86"/>
      <c r="R540" s="86"/>
      <c r="S540" s="86"/>
      <c r="T540" s="86"/>
    </row>
    <row r="541">
      <c r="O541" s="86"/>
      <c r="P541" s="86"/>
      <c r="Q541" s="86"/>
      <c r="R541" s="86"/>
      <c r="S541" s="86"/>
      <c r="T541" s="86"/>
    </row>
    <row r="542">
      <c r="O542" s="86"/>
      <c r="P542" s="86"/>
      <c r="Q542" s="86"/>
      <c r="R542" s="86"/>
      <c r="S542" s="86"/>
      <c r="T542" s="86"/>
    </row>
    <row r="543">
      <c r="O543" s="86"/>
      <c r="P543" s="86"/>
      <c r="Q543" s="86"/>
      <c r="R543" s="86"/>
      <c r="S543" s="86"/>
      <c r="T543" s="86"/>
    </row>
    <row r="544">
      <c r="O544" s="86"/>
      <c r="P544" s="86"/>
      <c r="Q544" s="86"/>
      <c r="R544" s="86"/>
      <c r="S544" s="86"/>
      <c r="T544" s="86"/>
    </row>
    <row r="545">
      <c r="O545" s="86"/>
      <c r="P545" s="86"/>
      <c r="Q545" s="86"/>
      <c r="R545" s="86"/>
      <c r="S545" s="86"/>
      <c r="T545" s="86"/>
    </row>
    <row r="546">
      <c r="O546" s="86"/>
      <c r="P546" s="86"/>
      <c r="Q546" s="86"/>
      <c r="R546" s="86"/>
      <c r="S546" s="86"/>
      <c r="T546" s="86"/>
    </row>
    <row r="547">
      <c r="O547" s="86"/>
      <c r="P547" s="86"/>
      <c r="Q547" s="86"/>
      <c r="R547" s="86"/>
      <c r="S547" s="86"/>
      <c r="T547" s="86"/>
    </row>
    <row r="548">
      <c r="O548" s="86"/>
      <c r="P548" s="86"/>
      <c r="Q548" s="86"/>
      <c r="R548" s="86"/>
      <c r="S548" s="86"/>
      <c r="T548" s="86"/>
    </row>
    <row r="549">
      <c r="O549" s="86"/>
      <c r="P549" s="86"/>
      <c r="Q549" s="86"/>
      <c r="R549" s="86"/>
      <c r="S549" s="86"/>
      <c r="T549" s="86"/>
    </row>
    <row r="550">
      <c r="O550" s="86"/>
      <c r="P550" s="86"/>
      <c r="Q550" s="86"/>
      <c r="R550" s="86"/>
      <c r="S550" s="86"/>
      <c r="T550" s="86"/>
    </row>
    <row r="551">
      <c r="O551" s="86"/>
      <c r="P551" s="86"/>
      <c r="Q551" s="86"/>
      <c r="R551" s="86"/>
      <c r="S551" s="86"/>
      <c r="T551" s="86"/>
    </row>
    <row r="552">
      <c r="O552" s="86"/>
      <c r="P552" s="86"/>
      <c r="Q552" s="86"/>
      <c r="R552" s="86"/>
      <c r="S552" s="86"/>
      <c r="T552" s="86"/>
    </row>
    <row r="553">
      <c r="O553" s="86"/>
      <c r="P553" s="86"/>
      <c r="Q553" s="86"/>
      <c r="R553" s="86"/>
      <c r="S553" s="86"/>
      <c r="T553" s="86"/>
    </row>
    <row r="554">
      <c r="O554" s="86"/>
      <c r="P554" s="86"/>
      <c r="Q554" s="86"/>
      <c r="R554" s="86"/>
      <c r="S554" s="86"/>
      <c r="T554" s="86"/>
    </row>
    <row r="555">
      <c r="O555" s="86"/>
      <c r="P555" s="86"/>
      <c r="Q555" s="86"/>
      <c r="R555" s="86"/>
      <c r="S555" s="86"/>
      <c r="T555" s="86"/>
    </row>
    <row r="556">
      <c r="O556" s="86"/>
      <c r="P556" s="86"/>
      <c r="Q556" s="86"/>
      <c r="R556" s="86"/>
      <c r="S556" s="86"/>
      <c r="T556" s="86"/>
    </row>
    <row r="557">
      <c r="O557" s="86"/>
      <c r="P557" s="86"/>
      <c r="Q557" s="86"/>
      <c r="R557" s="86"/>
      <c r="S557" s="86"/>
      <c r="T557" s="86"/>
    </row>
    <row r="558">
      <c r="O558" s="86"/>
      <c r="P558" s="86"/>
      <c r="Q558" s="86"/>
      <c r="R558" s="86"/>
      <c r="S558" s="86"/>
      <c r="T558" s="86"/>
    </row>
    <row r="559">
      <c r="O559" s="86"/>
      <c r="P559" s="86"/>
      <c r="Q559" s="86"/>
      <c r="R559" s="86"/>
      <c r="S559" s="86"/>
      <c r="T559" s="86"/>
    </row>
    <row r="560">
      <c r="O560" s="86"/>
      <c r="P560" s="86"/>
      <c r="Q560" s="86"/>
      <c r="R560" s="86"/>
      <c r="S560" s="86"/>
      <c r="T560" s="86"/>
    </row>
    <row r="561">
      <c r="O561" s="86"/>
      <c r="P561" s="86"/>
      <c r="Q561" s="86"/>
      <c r="R561" s="86"/>
      <c r="S561" s="86"/>
      <c r="T561" s="86"/>
    </row>
    <row r="562">
      <c r="O562" s="86"/>
      <c r="P562" s="86"/>
      <c r="Q562" s="86"/>
      <c r="R562" s="86"/>
      <c r="S562" s="86"/>
      <c r="T562" s="86"/>
    </row>
    <row r="563">
      <c r="O563" s="86"/>
      <c r="P563" s="86"/>
      <c r="Q563" s="86"/>
      <c r="R563" s="86"/>
      <c r="S563" s="86"/>
      <c r="T563" s="86"/>
    </row>
    <row r="564">
      <c r="O564" s="86"/>
      <c r="P564" s="86"/>
      <c r="Q564" s="86"/>
      <c r="R564" s="86"/>
      <c r="S564" s="86"/>
      <c r="T564" s="86"/>
    </row>
    <row r="565">
      <c r="O565" s="86"/>
      <c r="P565" s="86"/>
      <c r="Q565" s="86"/>
      <c r="R565" s="86"/>
      <c r="S565" s="86"/>
      <c r="T565" s="86"/>
    </row>
    <row r="566">
      <c r="O566" s="86"/>
      <c r="P566" s="86"/>
      <c r="Q566" s="86"/>
      <c r="R566" s="86"/>
      <c r="S566" s="86"/>
      <c r="T566" s="86"/>
    </row>
    <row r="567">
      <c r="O567" s="86"/>
      <c r="P567" s="86"/>
      <c r="Q567" s="86"/>
      <c r="R567" s="86"/>
      <c r="S567" s="86"/>
      <c r="T567" s="86"/>
    </row>
    <row r="568">
      <c r="O568" s="86"/>
      <c r="P568" s="86"/>
      <c r="Q568" s="86"/>
      <c r="R568" s="86"/>
      <c r="S568" s="86"/>
      <c r="T568" s="86"/>
    </row>
    <row r="569">
      <c r="O569" s="86"/>
      <c r="P569" s="86"/>
      <c r="Q569" s="86"/>
      <c r="R569" s="86"/>
      <c r="S569" s="86"/>
      <c r="T569" s="86"/>
    </row>
    <row r="570">
      <c r="O570" s="86"/>
      <c r="P570" s="86"/>
      <c r="Q570" s="86"/>
      <c r="R570" s="86"/>
      <c r="S570" s="86"/>
      <c r="T570" s="86"/>
    </row>
    <row r="571">
      <c r="O571" s="86"/>
      <c r="P571" s="86"/>
      <c r="Q571" s="86"/>
      <c r="R571" s="86"/>
      <c r="S571" s="86"/>
      <c r="T571" s="86"/>
    </row>
    <row r="572">
      <c r="O572" s="86"/>
      <c r="P572" s="86"/>
      <c r="Q572" s="86"/>
      <c r="R572" s="86"/>
      <c r="S572" s="86"/>
      <c r="T572" s="86"/>
    </row>
    <row r="573">
      <c r="O573" s="86"/>
      <c r="P573" s="86"/>
      <c r="Q573" s="86"/>
      <c r="R573" s="86"/>
      <c r="S573" s="86"/>
      <c r="T573" s="86"/>
    </row>
    <row r="574">
      <c r="O574" s="86"/>
      <c r="P574" s="86"/>
      <c r="Q574" s="86"/>
      <c r="R574" s="86"/>
      <c r="S574" s="86"/>
      <c r="T574" s="86"/>
    </row>
    <row r="575">
      <c r="O575" s="86"/>
      <c r="P575" s="86"/>
      <c r="Q575" s="86"/>
      <c r="R575" s="86"/>
      <c r="S575" s="86"/>
      <c r="T575" s="86"/>
    </row>
    <row r="576">
      <c r="O576" s="86"/>
      <c r="P576" s="86"/>
      <c r="Q576" s="86"/>
      <c r="R576" s="86"/>
      <c r="S576" s="86"/>
      <c r="T576" s="86"/>
    </row>
    <row r="577">
      <c r="O577" s="86"/>
      <c r="P577" s="86"/>
      <c r="Q577" s="86"/>
      <c r="R577" s="86"/>
      <c r="S577" s="86"/>
      <c r="T577" s="86"/>
    </row>
    <row r="578">
      <c r="O578" s="86"/>
      <c r="P578" s="86"/>
      <c r="Q578" s="86"/>
      <c r="R578" s="86"/>
      <c r="S578" s="86"/>
      <c r="T578" s="86"/>
    </row>
    <row r="579">
      <c r="O579" s="86"/>
      <c r="P579" s="86"/>
      <c r="Q579" s="86"/>
      <c r="R579" s="86"/>
      <c r="S579" s="86"/>
      <c r="T579" s="86"/>
    </row>
    <row r="580">
      <c r="O580" s="86"/>
      <c r="P580" s="86"/>
      <c r="Q580" s="86"/>
      <c r="R580" s="86"/>
      <c r="S580" s="86"/>
      <c r="T580" s="86"/>
    </row>
    <row r="581">
      <c r="O581" s="86"/>
      <c r="P581" s="86"/>
      <c r="Q581" s="86"/>
      <c r="R581" s="86"/>
      <c r="S581" s="86"/>
      <c r="T581" s="86"/>
    </row>
    <row r="582">
      <c r="O582" s="86"/>
      <c r="P582" s="86"/>
      <c r="Q582" s="86"/>
      <c r="R582" s="86"/>
      <c r="S582" s="86"/>
      <c r="T582" s="86"/>
    </row>
    <row r="583">
      <c r="O583" s="86"/>
      <c r="P583" s="86"/>
      <c r="Q583" s="86"/>
      <c r="R583" s="86"/>
      <c r="S583" s="86"/>
      <c r="T583" s="86"/>
    </row>
    <row r="584">
      <c r="O584" s="86"/>
      <c r="P584" s="86"/>
      <c r="Q584" s="86"/>
      <c r="R584" s="86"/>
      <c r="S584" s="86"/>
      <c r="T584" s="86"/>
    </row>
    <row r="585">
      <c r="O585" s="86"/>
      <c r="P585" s="86"/>
      <c r="Q585" s="86"/>
      <c r="R585" s="86"/>
      <c r="S585" s="86"/>
      <c r="T585" s="86"/>
    </row>
    <row r="586">
      <c r="O586" s="86"/>
      <c r="P586" s="86"/>
      <c r="Q586" s="86"/>
      <c r="R586" s="86"/>
      <c r="S586" s="86"/>
      <c r="T586" s="86"/>
    </row>
    <row r="587">
      <c r="O587" s="86"/>
      <c r="P587" s="86"/>
      <c r="Q587" s="86"/>
      <c r="R587" s="86"/>
      <c r="S587" s="86"/>
      <c r="T587" s="86"/>
    </row>
    <row r="588">
      <c r="O588" s="86"/>
      <c r="P588" s="86"/>
      <c r="Q588" s="86"/>
      <c r="R588" s="86"/>
      <c r="S588" s="86"/>
      <c r="T588" s="86"/>
    </row>
    <row r="589">
      <c r="O589" s="86"/>
      <c r="P589" s="86"/>
      <c r="Q589" s="86"/>
      <c r="R589" s="86"/>
      <c r="S589" s="86"/>
      <c r="T589" s="86"/>
    </row>
    <row r="590">
      <c r="O590" s="86"/>
      <c r="P590" s="86"/>
      <c r="Q590" s="86"/>
      <c r="R590" s="86"/>
      <c r="S590" s="86"/>
      <c r="T590" s="86"/>
    </row>
    <row r="591">
      <c r="O591" s="86"/>
      <c r="P591" s="86"/>
      <c r="Q591" s="86"/>
      <c r="R591" s="86"/>
      <c r="S591" s="86"/>
      <c r="T591" s="86"/>
    </row>
    <row r="592">
      <c r="O592" s="86"/>
      <c r="P592" s="86"/>
      <c r="Q592" s="86"/>
      <c r="R592" s="86"/>
      <c r="S592" s="86"/>
      <c r="T592" s="86"/>
    </row>
    <row r="593">
      <c r="O593" s="86"/>
      <c r="P593" s="86"/>
      <c r="Q593" s="86"/>
      <c r="R593" s="86"/>
      <c r="S593" s="86"/>
      <c r="T593" s="86"/>
    </row>
    <row r="594">
      <c r="O594" s="86"/>
      <c r="P594" s="86"/>
      <c r="Q594" s="86"/>
      <c r="R594" s="86"/>
      <c r="S594" s="86"/>
      <c r="T594" s="86"/>
    </row>
    <row r="595">
      <c r="O595" s="86"/>
      <c r="P595" s="86"/>
      <c r="Q595" s="86"/>
      <c r="R595" s="86"/>
      <c r="S595" s="86"/>
      <c r="T595" s="86"/>
    </row>
    <row r="596">
      <c r="O596" s="86"/>
      <c r="P596" s="86"/>
      <c r="Q596" s="86"/>
      <c r="R596" s="86"/>
      <c r="S596" s="86"/>
      <c r="T596" s="86"/>
    </row>
    <row r="597">
      <c r="O597" s="86"/>
      <c r="P597" s="86"/>
      <c r="Q597" s="86"/>
      <c r="R597" s="86"/>
      <c r="S597" s="86"/>
      <c r="T597" s="86"/>
    </row>
    <row r="598">
      <c r="O598" s="86"/>
      <c r="P598" s="86"/>
      <c r="Q598" s="86"/>
      <c r="R598" s="86"/>
      <c r="S598" s="86"/>
      <c r="T598" s="86"/>
    </row>
    <row r="599">
      <c r="O599" s="86"/>
      <c r="P599" s="86"/>
      <c r="Q599" s="86"/>
      <c r="R599" s="86"/>
      <c r="S599" s="86"/>
      <c r="T599" s="86"/>
    </row>
    <row r="600">
      <c r="O600" s="86"/>
      <c r="P600" s="86"/>
      <c r="Q600" s="86"/>
      <c r="R600" s="86"/>
      <c r="S600" s="86"/>
      <c r="T600" s="86"/>
    </row>
    <row r="601">
      <c r="O601" s="86"/>
      <c r="P601" s="86"/>
      <c r="Q601" s="86"/>
      <c r="R601" s="86"/>
      <c r="S601" s="86"/>
      <c r="T601" s="86"/>
    </row>
    <row r="602">
      <c r="O602" s="86"/>
      <c r="P602" s="86"/>
      <c r="Q602" s="86"/>
      <c r="R602" s="86"/>
      <c r="S602" s="86"/>
      <c r="T602" s="86"/>
    </row>
    <row r="603">
      <c r="O603" s="86"/>
      <c r="P603" s="86"/>
      <c r="Q603" s="86"/>
      <c r="R603" s="86"/>
      <c r="S603" s="86"/>
      <c r="T603" s="86"/>
    </row>
    <row r="604">
      <c r="O604" s="86"/>
      <c r="P604" s="86"/>
      <c r="Q604" s="86"/>
      <c r="R604" s="86"/>
      <c r="S604" s="86"/>
      <c r="T604" s="86"/>
    </row>
    <row r="605">
      <c r="O605" s="86"/>
      <c r="P605" s="86"/>
      <c r="Q605" s="86"/>
      <c r="R605" s="86"/>
      <c r="S605" s="86"/>
      <c r="T605" s="86"/>
    </row>
    <row r="606">
      <c r="O606" s="86"/>
      <c r="P606" s="86"/>
      <c r="Q606" s="86"/>
      <c r="R606" s="86"/>
      <c r="S606" s="86"/>
      <c r="T606" s="86"/>
    </row>
    <row r="607">
      <c r="O607" s="86"/>
      <c r="P607" s="86"/>
      <c r="Q607" s="86"/>
      <c r="R607" s="86"/>
      <c r="S607" s="86"/>
      <c r="T607" s="86"/>
    </row>
    <row r="608">
      <c r="O608" s="86"/>
      <c r="P608" s="86"/>
      <c r="Q608" s="86"/>
      <c r="R608" s="86"/>
      <c r="S608" s="86"/>
      <c r="T608" s="86"/>
    </row>
    <row r="609">
      <c r="O609" s="86"/>
      <c r="P609" s="86"/>
      <c r="Q609" s="86"/>
      <c r="R609" s="86"/>
      <c r="S609" s="86"/>
      <c r="T609" s="86"/>
    </row>
    <row r="610">
      <c r="O610" s="86"/>
      <c r="P610" s="86"/>
      <c r="Q610" s="86"/>
      <c r="R610" s="86"/>
      <c r="S610" s="86"/>
      <c r="T610" s="86"/>
    </row>
    <row r="611">
      <c r="O611" s="86"/>
      <c r="P611" s="86"/>
      <c r="Q611" s="86"/>
      <c r="R611" s="86"/>
      <c r="S611" s="86"/>
      <c r="T611" s="86"/>
    </row>
    <row r="612">
      <c r="O612" s="86"/>
      <c r="P612" s="86"/>
      <c r="Q612" s="86"/>
      <c r="R612" s="86"/>
      <c r="S612" s="86"/>
      <c r="T612" s="86"/>
    </row>
    <row r="613">
      <c r="O613" s="86"/>
      <c r="P613" s="86"/>
      <c r="Q613" s="86"/>
      <c r="R613" s="86"/>
      <c r="S613" s="86"/>
      <c r="T613" s="86"/>
    </row>
    <row r="614">
      <c r="O614" s="86"/>
      <c r="P614" s="86"/>
      <c r="Q614" s="86"/>
      <c r="R614" s="86"/>
      <c r="S614" s="86"/>
      <c r="T614" s="86"/>
    </row>
    <row r="615">
      <c r="O615" s="86"/>
      <c r="P615" s="86"/>
      <c r="Q615" s="86"/>
      <c r="R615" s="86"/>
      <c r="S615" s="86"/>
      <c r="T615" s="86"/>
    </row>
    <row r="616">
      <c r="O616" s="86"/>
      <c r="P616" s="86"/>
      <c r="Q616" s="86"/>
      <c r="R616" s="86"/>
      <c r="S616" s="86"/>
      <c r="T616" s="86"/>
    </row>
    <row r="617">
      <c r="O617" s="86"/>
      <c r="P617" s="86"/>
      <c r="Q617" s="86"/>
      <c r="R617" s="86"/>
      <c r="S617" s="86"/>
      <c r="T617" s="86"/>
    </row>
    <row r="618">
      <c r="O618" s="86"/>
      <c r="P618" s="86"/>
      <c r="Q618" s="86"/>
      <c r="R618" s="86"/>
      <c r="S618" s="86"/>
      <c r="T618" s="86"/>
    </row>
    <row r="619">
      <c r="O619" s="86"/>
      <c r="P619" s="86"/>
      <c r="Q619" s="86"/>
      <c r="R619" s="86"/>
      <c r="S619" s="86"/>
      <c r="T619" s="86"/>
    </row>
    <row r="620">
      <c r="O620" s="86"/>
      <c r="P620" s="86"/>
      <c r="Q620" s="86"/>
      <c r="R620" s="86"/>
      <c r="S620" s="86"/>
      <c r="T620" s="86"/>
    </row>
    <row r="621">
      <c r="O621" s="86"/>
      <c r="P621" s="86"/>
      <c r="Q621" s="86"/>
      <c r="R621" s="86"/>
      <c r="S621" s="86"/>
      <c r="T621" s="86"/>
    </row>
    <row r="622">
      <c r="O622" s="86"/>
      <c r="P622" s="86"/>
      <c r="Q622" s="86"/>
      <c r="R622" s="86"/>
      <c r="S622" s="86"/>
      <c r="T622" s="86"/>
    </row>
    <row r="623">
      <c r="O623" s="86"/>
      <c r="P623" s="86"/>
      <c r="Q623" s="86"/>
      <c r="R623" s="86"/>
      <c r="S623" s="86"/>
      <c r="T623" s="86"/>
    </row>
    <row r="624">
      <c r="O624" s="86"/>
      <c r="P624" s="86"/>
      <c r="Q624" s="86"/>
      <c r="R624" s="86"/>
      <c r="S624" s="86"/>
      <c r="T624" s="86"/>
    </row>
    <row r="625">
      <c r="O625" s="86"/>
      <c r="P625" s="86"/>
      <c r="Q625" s="86"/>
      <c r="R625" s="86"/>
      <c r="S625" s="86"/>
      <c r="T625" s="86"/>
    </row>
    <row r="626">
      <c r="O626" s="86"/>
      <c r="P626" s="86"/>
      <c r="Q626" s="86"/>
      <c r="R626" s="86"/>
      <c r="S626" s="86"/>
      <c r="T626" s="86"/>
    </row>
    <row r="627">
      <c r="O627" s="86"/>
      <c r="P627" s="86"/>
      <c r="Q627" s="86"/>
      <c r="R627" s="86"/>
      <c r="S627" s="86"/>
      <c r="T627" s="86"/>
    </row>
    <row r="628">
      <c r="O628" s="86"/>
      <c r="P628" s="86"/>
      <c r="Q628" s="86"/>
      <c r="R628" s="86"/>
      <c r="S628" s="86"/>
      <c r="T628" s="86"/>
    </row>
    <row r="629">
      <c r="O629" s="86"/>
      <c r="P629" s="86"/>
      <c r="Q629" s="86"/>
      <c r="R629" s="86"/>
      <c r="S629" s="86"/>
      <c r="T629" s="86"/>
    </row>
    <row r="630">
      <c r="O630" s="86"/>
      <c r="P630" s="86"/>
      <c r="Q630" s="86"/>
      <c r="R630" s="86"/>
      <c r="S630" s="86"/>
      <c r="T630" s="86"/>
    </row>
    <row r="631">
      <c r="O631" s="86"/>
      <c r="P631" s="86"/>
      <c r="Q631" s="86"/>
      <c r="R631" s="86"/>
      <c r="S631" s="86"/>
      <c r="T631" s="86"/>
    </row>
    <row r="632">
      <c r="O632" s="86"/>
      <c r="P632" s="86"/>
      <c r="Q632" s="86"/>
      <c r="R632" s="86"/>
      <c r="S632" s="86"/>
      <c r="T632" s="86"/>
    </row>
    <row r="633">
      <c r="O633" s="86"/>
      <c r="P633" s="86"/>
      <c r="Q633" s="86"/>
      <c r="R633" s="86"/>
      <c r="S633" s="86"/>
      <c r="T633" s="86"/>
    </row>
    <row r="634">
      <c r="O634" s="86"/>
      <c r="P634" s="86"/>
      <c r="Q634" s="86"/>
      <c r="R634" s="86"/>
      <c r="S634" s="86"/>
      <c r="T634" s="86"/>
    </row>
    <row r="635">
      <c r="O635" s="86"/>
      <c r="P635" s="86"/>
      <c r="Q635" s="86"/>
      <c r="R635" s="86"/>
      <c r="S635" s="86"/>
      <c r="T635" s="86"/>
    </row>
    <row r="636">
      <c r="O636" s="86"/>
      <c r="P636" s="86"/>
      <c r="Q636" s="86"/>
      <c r="R636" s="86"/>
      <c r="S636" s="86"/>
      <c r="T636" s="86"/>
    </row>
    <row r="637">
      <c r="O637" s="86"/>
      <c r="P637" s="86"/>
      <c r="Q637" s="86"/>
      <c r="R637" s="86"/>
      <c r="S637" s="86"/>
      <c r="T637" s="86"/>
    </row>
    <row r="638">
      <c r="O638" s="86"/>
      <c r="P638" s="86"/>
      <c r="Q638" s="86"/>
      <c r="R638" s="86"/>
      <c r="S638" s="86"/>
      <c r="T638" s="86"/>
    </row>
    <row r="639">
      <c r="O639" s="86"/>
      <c r="P639" s="86"/>
      <c r="Q639" s="86"/>
      <c r="R639" s="86"/>
      <c r="S639" s="86"/>
      <c r="T639" s="86"/>
    </row>
    <row r="640">
      <c r="O640" s="86"/>
      <c r="P640" s="86"/>
      <c r="Q640" s="86"/>
      <c r="R640" s="86"/>
      <c r="S640" s="86"/>
      <c r="T640" s="86"/>
    </row>
    <row r="641">
      <c r="O641" s="86"/>
      <c r="P641" s="86"/>
      <c r="Q641" s="86"/>
      <c r="R641" s="86"/>
      <c r="S641" s="86"/>
      <c r="T641" s="86"/>
    </row>
    <row r="642">
      <c r="O642" s="86"/>
      <c r="P642" s="86"/>
      <c r="Q642" s="86"/>
      <c r="R642" s="86"/>
      <c r="S642" s="86"/>
      <c r="T642" s="86"/>
    </row>
    <row r="643">
      <c r="O643" s="86"/>
      <c r="P643" s="86"/>
      <c r="Q643" s="86"/>
      <c r="R643" s="86"/>
      <c r="S643" s="86"/>
      <c r="T643" s="86"/>
    </row>
    <row r="644">
      <c r="O644" s="86"/>
      <c r="P644" s="86"/>
      <c r="Q644" s="86"/>
      <c r="R644" s="86"/>
      <c r="S644" s="86"/>
      <c r="T644" s="86"/>
    </row>
    <row r="645">
      <c r="O645" s="86"/>
      <c r="P645" s="86"/>
      <c r="Q645" s="86"/>
      <c r="R645" s="86"/>
      <c r="S645" s="86"/>
      <c r="T645" s="86"/>
    </row>
    <row r="646">
      <c r="O646" s="86"/>
      <c r="P646" s="86"/>
      <c r="Q646" s="86"/>
      <c r="R646" s="86"/>
      <c r="S646" s="86"/>
      <c r="T646" s="86"/>
    </row>
    <row r="647">
      <c r="O647" s="86"/>
      <c r="P647" s="86"/>
      <c r="Q647" s="86"/>
      <c r="R647" s="86"/>
      <c r="S647" s="86"/>
      <c r="T647" s="86"/>
    </row>
    <row r="648">
      <c r="O648" s="86"/>
      <c r="P648" s="86"/>
      <c r="Q648" s="86"/>
      <c r="R648" s="86"/>
      <c r="S648" s="86"/>
      <c r="T648" s="86"/>
    </row>
    <row r="649">
      <c r="O649" s="86"/>
      <c r="P649" s="86"/>
      <c r="Q649" s="86"/>
      <c r="R649" s="86"/>
      <c r="S649" s="86"/>
      <c r="T649" s="86"/>
    </row>
    <row r="650">
      <c r="O650" s="86"/>
      <c r="P650" s="86"/>
      <c r="Q650" s="86"/>
      <c r="R650" s="86"/>
      <c r="S650" s="86"/>
      <c r="T650" s="86"/>
    </row>
    <row r="651">
      <c r="O651" s="86"/>
      <c r="P651" s="86"/>
      <c r="Q651" s="86"/>
      <c r="R651" s="86"/>
      <c r="S651" s="86"/>
      <c r="T651" s="86"/>
    </row>
    <row r="652">
      <c r="O652" s="86"/>
      <c r="P652" s="86"/>
      <c r="Q652" s="86"/>
      <c r="R652" s="86"/>
      <c r="S652" s="86"/>
      <c r="T652" s="86"/>
    </row>
    <row r="653">
      <c r="O653" s="86"/>
      <c r="P653" s="86"/>
      <c r="Q653" s="86"/>
      <c r="R653" s="86"/>
      <c r="S653" s="86"/>
      <c r="T653" s="86"/>
    </row>
    <row r="654">
      <c r="O654" s="86"/>
      <c r="P654" s="86"/>
      <c r="Q654" s="86"/>
      <c r="R654" s="86"/>
      <c r="S654" s="86"/>
      <c r="T654" s="86"/>
    </row>
    <row r="655">
      <c r="O655" s="86"/>
      <c r="P655" s="86"/>
      <c r="Q655" s="86"/>
      <c r="R655" s="86"/>
      <c r="S655" s="86"/>
      <c r="T655" s="86"/>
    </row>
    <row r="656">
      <c r="O656" s="86"/>
      <c r="P656" s="86"/>
      <c r="Q656" s="86"/>
      <c r="R656" s="86"/>
      <c r="S656" s="86"/>
      <c r="T656" s="86"/>
    </row>
    <row r="657">
      <c r="O657" s="86"/>
      <c r="P657" s="86"/>
      <c r="Q657" s="86"/>
      <c r="R657" s="86"/>
      <c r="S657" s="86"/>
      <c r="T657" s="86"/>
    </row>
    <row r="658">
      <c r="O658" s="86"/>
      <c r="P658" s="86"/>
      <c r="Q658" s="86"/>
      <c r="R658" s="86"/>
      <c r="S658" s="86"/>
      <c r="T658" s="86"/>
    </row>
    <row r="659">
      <c r="O659" s="86"/>
      <c r="P659" s="86"/>
      <c r="Q659" s="86"/>
      <c r="R659" s="86"/>
      <c r="S659" s="86"/>
      <c r="T659" s="86"/>
    </row>
    <row r="660">
      <c r="O660" s="86"/>
      <c r="P660" s="86"/>
      <c r="Q660" s="86"/>
      <c r="R660" s="86"/>
      <c r="S660" s="86"/>
      <c r="T660" s="86"/>
    </row>
    <row r="661">
      <c r="O661" s="86"/>
      <c r="P661" s="86"/>
      <c r="Q661" s="86"/>
      <c r="R661" s="86"/>
      <c r="S661" s="86"/>
      <c r="T661" s="86"/>
    </row>
    <row r="662">
      <c r="O662" s="86"/>
      <c r="P662" s="86"/>
      <c r="Q662" s="86"/>
      <c r="R662" s="86"/>
      <c r="S662" s="86"/>
      <c r="T662" s="86"/>
    </row>
    <row r="663">
      <c r="O663" s="86"/>
      <c r="P663" s="86"/>
      <c r="Q663" s="86"/>
      <c r="R663" s="86"/>
      <c r="S663" s="86"/>
      <c r="T663" s="86"/>
    </row>
    <row r="664">
      <c r="O664" s="86"/>
      <c r="P664" s="86"/>
      <c r="Q664" s="86"/>
      <c r="R664" s="86"/>
      <c r="S664" s="86"/>
      <c r="T664" s="86"/>
    </row>
    <row r="665">
      <c r="O665" s="86"/>
      <c r="P665" s="86"/>
      <c r="Q665" s="86"/>
      <c r="R665" s="86"/>
      <c r="S665" s="86"/>
      <c r="T665" s="86"/>
    </row>
    <row r="666">
      <c r="O666" s="86"/>
      <c r="P666" s="86"/>
      <c r="Q666" s="86"/>
      <c r="R666" s="86"/>
      <c r="S666" s="86"/>
      <c r="T666" s="86"/>
    </row>
    <row r="667">
      <c r="O667" s="86"/>
      <c r="P667" s="86"/>
      <c r="Q667" s="86"/>
      <c r="R667" s="86"/>
      <c r="S667" s="86"/>
      <c r="T667" s="86"/>
    </row>
    <row r="668">
      <c r="O668" s="86"/>
      <c r="P668" s="86"/>
      <c r="Q668" s="86"/>
      <c r="R668" s="86"/>
      <c r="S668" s="86"/>
      <c r="T668" s="86"/>
    </row>
    <row r="669">
      <c r="O669" s="86"/>
      <c r="P669" s="86"/>
      <c r="Q669" s="86"/>
      <c r="R669" s="86"/>
      <c r="S669" s="86"/>
      <c r="T669" s="86"/>
    </row>
    <row r="670">
      <c r="O670" s="86"/>
      <c r="P670" s="86"/>
      <c r="Q670" s="86"/>
      <c r="R670" s="86"/>
      <c r="S670" s="86"/>
      <c r="T670" s="86"/>
    </row>
    <row r="671">
      <c r="O671" s="86"/>
      <c r="P671" s="86"/>
      <c r="Q671" s="86"/>
      <c r="R671" s="86"/>
      <c r="S671" s="86"/>
      <c r="T671" s="86"/>
    </row>
    <row r="672">
      <c r="O672" s="86"/>
      <c r="P672" s="86"/>
      <c r="Q672" s="86"/>
      <c r="R672" s="86"/>
      <c r="S672" s="86"/>
      <c r="T672" s="86"/>
    </row>
    <row r="673">
      <c r="O673" s="86"/>
      <c r="P673" s="86"/>
      <c r="Q673" s="86"/>
      <c r="R673" s="86"/>
      <c r="S673" s="86"/>
      <c r="T673" s="86"/>
    </row>
    <row r="674">
      <c r="O674" s="86"/>
      <c r="P674" s="86"/>
      <c r="Q674" s="86"/>
      <c r="R674" s="86"/>
      <c r="S674" s="86"/>
      <c r="T674" s="86"/>
    </row>
    <row r="675">
      <c r="O675" s="86"/>
      <c r="P675" s="86"/>
      <c r="Q675" s="86"/>
      <c r="R675" s="86"/>
      <c r="S675" s="86"/>
      <c r="T675" s="86"/>
    </row>
    <row r="676">
      <c r="O676" s="86"/>
      <c r="P676" s="86"/>
      <c r="Q676" s="86"/>
      <c r="R676" s="86"/>
      <c r="S676" s="86"/>
      <c r="T676" s="86"/>
    </row>
    <row r="677">
      <c r="O677" s="86"/>
      <c r="P677" s="86"/>
      <c r="Q677" s="86"/>
      <c r="R677" s="86"/>
      <c r="S677" s="86"/>
      <c r="T677" s="86"/>
    </row>
    <row r="678">
      <c r="O678" s="86"/>
      <c r="P678" s="86"/>
      <c r="Q678" s="86"/>
      <c r="R678" s="86"/>
      <c r="S678" s="86"/>
      <c r="T678" s="86"/>
    </row>
    <row r="679">
      <c r="O679" s="86"/>
      <c r="P679" s="86"/>
      <c r="Q679" s="86"/>
      <c r="R679" s="86"/>
      <c r="S679" s="86"/>
      <c r="T679" s="86"/>
    </row>
    <row r="680">
      <c r="O680" s="86"/>
      <c r="P680" s="86"/>
      <c r="Q680" s="86"/>
      <c r="R680" s="86"/>
      <c r="S680" s="86"/>
      <c r="T680" s="86"/>
    </row>
    <row r="681">
      <c r="O681" s="86"/>
      <c r="P681" s="86"/>
      <c r="Q681" s="86"/>
      <c r="R681" s="86"/>
      <c r="S681" s="86"/>
      <c r="T681" s="86"/>
    </row>
    <row r="682">
      <c r="O682" s="86"/>
      <c r="P682" s="86"/>
      <c r="Q682" s="86"/>
      <c r="R682" s="86"/>
      <c r="S682" s="86"/>
      <c r="T682" s="86"/>
    </row>
    <row r="683">
      <c r="O683" s="86"/>
      <c r="P683" s="86"/>
      <c r="Q683" s="86"/>
      <c r="R683" s="86"/>
      <c r="S683" s="86"/>
      <c r="T683" s="86"/>
    </row>
    <row r="684">
      <c r="O684" s="86"/>
      <c r="P684" s="86"/>
      <c r="Q684" s="86"/>
      <c r="R684" s="86"/>
      <c r="S684" s="86"/>
      <c r="T684" s="86"/>
    </row>
    <row r="685">
      <c r="O685" s="86"/>
      <c r="P685" s="86"/>
      <c r="Q685" s="86"/>
      <c r="R685" s="86"/>
      <c r="S685" s="86"/>
      <c r="T685" s="86"/>
    </row>
    <row r="686">
      <c r="O686" s="86"/>
      <c r="P686" s="86"/>
      <c r="Q686" s="86"/>
      <c r="R686" s="86"/>
      <c r="S686" s="86"/>
      <c r="T686" s="86"/>
    </row>
    <row r="687">
      <c r="O687" s="86"/>
      <c r="P687" s="86"/>
      <c r="Q687" s="86"/>
      <c r="R687" s="86"/>
      <c r="S687" s="86"/>
      <c r="T687" s="86"/>
    </row>
    <row r="688">
      <c r="O688" s="86"/>
      <c r="P688" s="86"/>
      <c r="Q688" s="86"/>
      <c r="R688" s="86"/>
      <c r="S688" s="86"/>
      <c r="T688" s="86"/>
    </row>
    <row r="689">
      <c r="O689" s="86"/>
      <c r="P689" s="86"/>
      <c r="Q689" s="86"/>
      <c r="R689" s="86"/>
      <c r="S689" s="86"/>
      <c r="T689" s="86"/>
    </row>
    <row r="690">
      <c r="O690" s="86"/>
      <c r="P690" s="86"/>
      <c r="Q690" s="86"/>
      <c r="R690" s="86"/>
      <c r="S690" s="86"/>
      <c r="T690" s="86"/>
    </row>
    <row r="691">
      <c r="O691" s="86"/>
      <c r="P691" s="86"/>
      <c r="Q691" s="86"/>
      <c r="R691" s="86"/>
      <c r="S691" s="86"/>
      <c r="T691" s="86"/>
    </row>
    <row r="692">
      <c r="O692" s="86"/>
      <c r="P692" s="86"/>
      <c r="Q692" s="86"/>
      <c r="R692" s="86"/>
      <c r="S692" s="86"/>
      <c r="T692" s="86"/>
    </row>
    <row r="693">
      <c r="O693" s="86"/>
      <c r="P693" s="86"/>
      <c r="Q693" s="86"/>
      <c r="R693" s="86"/>
      <c r="S693" s="86"/>
      <c r="T693" s="86"/>
    </row>
    <row r="694">
      <c r="O694" s="86"/>
      <c r="P694" s="86"/>
      <c r="Q694" s="86"/>
      <c r="R694" s="86"/>
      <c r="S694" s="86"/>
      <c r="T694" s="86"/>
    </row>
    <row r="695">
      <c r="O695" s="86"/>
      <c r="P695" s="86"/>
      <c r="Q695" s="86"/>
      <c r="R695" s="86"/>
      <c r="S695" s="86"/>
      <c r="T695" s="86"/>
    </row>
    <row r="696">
      <c r="O696" s="86"/>
      <c r="P696" s="86"/>
      <c r="Q696" s="86"/>
      <c r="R696" s="86"/>
      <c r="S696" s="86"/>
      <c r="T696" s="86"/>
    </row>
    <row r="697">
      <c r="O697" s="86"/>
      <c r="P697" s="86"/>
      <c r="Q697" s="86"/>
      <c r="R697" s="86"/>
      <c r="S697" s="86"/>
      <c r="T697" s="86"/>
    </row>
    <row r="698">
      <c r="O698" s="86"/>
      <c r="P698" s="86"/>
      <c r="Q698" s="86"/>
      <c r="R698" s="86"/>
      <c r="S698" s="86"/>
      <c r="T698" s="86"/>
    </row>
    <row r="699">
      <c r="O699" s="86"/>
      <c r="P699" s="86"/>
      <c r="Q699" s="86"/>
      <c r="R699" s="86"/>
      <c r="S699" s="86"/>
      <c r="T699" s="86"/>
    </row>
    <row r="700">
      <c r="O700" s="86"/>
      <c r="P700" s="86"/>
      <c r="Q700" s="86"/>
      <c r="R700" s="86"/>
      <c r="S700" s="86"/>
      <c r="T700" s="86"/>
    </row>
    <row r="701">
      <c r="O701" s="86"/>
      <c r="P701" s="86"/>
      <c r="Q701" s="86"/>
      <c r="R701" s="86"/>
      <c r="S701" s="86"/>
      <c r="T701" s="86"/>
    </row>
    <row r="702">
      <c r="O702" s="86"/>
      <c r="P702" s="86"/>
      <c r="Q702" s="86"/>
      <c r="R702" s="86"/>
      <c r="S702" s="86"/>
      <c r="T702" s="86"/>
    </row>
    <row r="703">
      <c r="O703" s="86"/>
      <c r="P703" s="86"/>
      <c r="Q703" s="86"/>
      <c r="R703" s="86"/>
      <c r="S703" s="86"/>
      <c r="T703" s="86"/>
    </row>
    <row r="704">
      <c r="O704" s="86"/>
      <c r="P704" s="86"/>
      <c r="Q704" s="86"/>
      <c r="R704" s="86"/>
      <c r="S704" s="86"/>
      <c r="T704" s="86"/>
    </row>
    <row r="705">
      <c r="O705" s="86"/>
      <c r="P705" s="86"/>
      <c r="Q705" s="86"/>
      <c r="R705" s="86"/>
      <c r="S705" s="86"/>
      <c r="T705" s="86"/>
    </row>
    <row r="706">
      <c r="O706" s="86"/>
      <c r="P706" s="86"/>
      <c r="Q706" s="86"/>
      <c r="R706" s="86"/>
      <c r="S706" s="86"/>
      <c r="T706" s="86"/>
    </row>
    <row r="707">
      <c r="O707" s="86"/>
      <c r="P707" s="86"/>
      <c r="Q707" s="86"/>
      <c r="R707" s="86"/>
      <c r="S707" s="86"/>
      <c r="T707" s="86"/>
    </row>
    <row r="708">
      <c r="O708" s="86"/>
      <c r="P708" s="86"/>
      <c r="Q708" s="86"/>
      <c r="R708" s="86"/>
      <c r="S708" s="86"/>
      <c r="T708" s="86"/>
    </row>
    <row r="709">
      <c r="O709" s="86"/>
      <c r="P709" s="86"/>
      <c r="Q709" s="86"/>
      <c r="R709" s="86"/>
      <c r="S709" s="86"/>
      <c r="T709" s="86"/>
    </row>
    <row r="710">
      <c r="O710" s="86"/>
      <c r="P710" s="86"/>
      <c r="Q710" s="86"/>
      <c r="R710" s="86"/>
      <c r="S710" s="86"/>
      <c r="T710" s="86"/>
    </row>
    <row r="711">
      <c r="O711" s="86"/>
      <c r="P711" s="86"/>
      <c r="Q711" s="86"/>
      <c r="R711" s="86"/>
      <c r="S711" s="86"/>
      <c r="T711" s="86"/>
    </row>
    <row r="712">
      <c r="O712" s="86"/>
      <c r="P712" s="86"/>
      <c r="Q712" s="86"/>
      <c r="R712" s="86"/>
      <c r="S712" s="86"/>
      <c r="T712" s="86"/>
    </row>
    <row r="713">
      <c r="O713" s="86"/>
      <c r="P713" s="86"/>
      <c r="Q713" s="86"/>
      <c r="R713" s="86"/>
      <c r="S713" s="86"/>
      <c r="T713" s="86"/>
    </row>
    <row r="714">
      <c r="O714" s="86"/>
      <c r="P714" s="86"/>
      <c r="Q714" s="86"/>
      <c r="R714" s="86"/>
      <c r="S714" s="86"/>
      <c r="T714" s="86"/>
    </row>
    <row r="715">
      <c r="O715" s="86"/>
      <c r="P715" s="86"/>
      <c r="Q715" s="86"/>
      <c r="R715" s="86"/>
      <c r="S715" s="86"/>
      <c r="T715" s="86"/>
    </row>
    <row r="716">
      <c r="O716" s="86"/>
      <c r="P716" s="86"/>
      <c r="Q716" s="86"/>
      <c r="R716" s="86"/>
      <c r="S716" s="86"/>
      <c r="T716" s="86"/>
    </row>
    <row r="717">
      <c r="O717" s="86"/>
      <c r="P717" s="86"/>
      <c r="Q717" s="86"/>
      <c r="R717" s="86"/>
      <c r="S717" s="86"/>
      <c r="T717" s="86"/>
    </row>
    <row r="718">
      <c r="O718" s="86"/>
      <c r="P718" s="86"/>
      <c r="Q718" s="86"/>
      <c r="R718" s="86"/>
      <c r="S718" s="86"/>
      <c r="T718" s="86"/>
    </row>
    <row r="719">
      <c r="O719" s="86"/>
      <c r="P719" s="86"/>
      <c r="Q719" s="86"/>
      <c r="R719" s="86"/>
      <c r="S719" s="86"/>
      <c r="T719" s="86"/>
    </row>
    <row r="720">
      <c r="O720" s="86"/>
      <c r="P720" s="86"/>
      <c r="Q720" s="86"/>
      <c r="R720" s="86"/>
      <c r="S720" s="86"/>
      <c r="T720" s="86"/>
    </row>
    <row r="721">
      <c r="O721" s="86"/>
      <c r="P721" s="86"/>
      <c r="Q721" s="86"/>
      <c r="R721" s="86"/>
      <c r="S721" s="86"/>
      <c r="T721" s="86"/>
    </row>
    <row r="722">
      <c r="O722" s="86"/>
      <c r="P722" s="86"/>
      <c r="Q722" s="86"/>
      <c r="R722" s="86"/>
      <c r="S722" s="86"/>
      <c r="T722" s="86"/>
    </row>
    <row r="723">
      <c r="O723" s="86"/>
      <c r="P723" s="86"/>
      <c r="Q723" s="86"/>
      <c r="R723" s="86"/>
      <c r="S723" s="86"/>
      <c r="T723" s="86"/>
    </row>
    <row r="724">
      <c r="O724" s="86"/>
      <c r="P724" s="86"/>
      <c r="Q724" s="86"/>
      <c r="R724" s="86"/>
      <c r="S724" s="86"/>
      <c r="T724" s="86"/>
    </row>
    <row r="725">
      <c r="O725" s="86"/>
      <c r="P725" s="86"/>
      <c r="Q725" s="86"/>
      <c r="R725" s="86"/>
      <c r="S725" s="86"/>
      <c r="T725" s="86"/>
    </row>
    <row r="726">
      <c r="O726" s="86"/>
      <c r="P726" s="86"/>
      <c r="Q726" s="86"/>
      <c r="R726" s="86"/>
      <c r="S726" s="86"/>
      <c r="T726" s="86"/>
    </row>
    <row r="727">
      <c r="O727" s="86"/>
      <c r="P727" s="86"/>
      <c r="Q727" s="86"/>
      <c r="R727" s="86"/>
      <c r="S727" s="86"/>
      <c r="T727" s="86"/>
    </row>
    <row r="728">
      <c r="O728" s="86"/>
      <c r="P728" s="86"/>
      <c r="Q728" s="86"/>
      <c r="R728" s="86"/>
      <c r="S728" s="86"/>
      <c r="T728" s="86"/>
    </row>
    <row r="729">
      <c r="O729" s="86"/>
      <c r="P729" s="86"/>
      <c r="Q729" s="86"/>
      <c r="R729" s="86"/>
      <c r="S729" s="86"/>
      <c r="T729" s="86"/>
    </row>
    <row r="730">
      <c r="O730" s="86"/>
      <c r="P730" s="86"/>
      <c r="Q730" s="86"/>
      <c r="R730" s="86"/>
      <c r="S730" s="86"/>
      <c r="T730" s="86"/>
    </row>
    <row r="731">
      <c r="O731" s="86"/>
      <c r="P731" s="86"/>
      <c r="Q731" s="86"/>
      <c r="R731" s="86"/>
      <c r="S731" s="86"/>
      <c r="T731" s="86"/>
    </row>
    <row r="732">
      <c r="O732" s="86"/>
      <c r="P732" s="86"/>
      <c r="Q732" s="86"/>
      <c r="R732" s="86"/>
      <c r="S732" s="86"/>
      <c r="T732" s="86"/>
    </row>
    <row r="733">
      <c r="O733" s="86"/>
      <c r="P733" s="86"/>
      <c r="Q733" s="86"/>
      <c r="R733" s="86"/>
      <c r="S733" s="86"/>
      <c r="T733" s="86"/>
    </row>
    <row r="734">
      <c r="O734" s="86"/>
      <c r="P734" s="86"/>
      <c r="Q734" s="86"/>
      <c r="R734" s="86"/>
      <c r="S734" s="86"/>
      <c r="T734" s="86"/>
    </row>
    <row r="735">
      <c r="O735" s="86"/>
      <c r="P735" s="86"/>
      <c r="Q735" s="86"/>
      <c r="R735" s="86"/>
      <c r="S735" s="86"/>
      <c r="T735" s="86"/>
    </row>
    <row r="736">
      <c r="O736" s="86"/>
      <c r="P736" s="86"/>
      <c r="Q736" s="86"/>
      <c r="R736" s="86"/>
      <c r="S736" s="86"/>
      <c r="T736" s="86"/>
    </row>
    <row r="737">
      <c r="O737" s="86"/>
      <c r="P737" s="86"/>
      <c r="Q737" s="86"/>
      <c r="R737" s="86"/>
      <c r="S737" s="86"/>
      <c r="T737" s="86"/>
    </row>
    <row r="738">
      <c r="O738" s="86"/>
      <c r="P738" s="86"/>
      <c r="Q738" s="86"/>
      <c r="R738" s="86"/>
      <c r="S738" s="86"/>
      <c r="T738" s="86"/>
    </row>
    <row r="739">
      <c r="O739" s="86"/>
      <c r="P739" s="86"/>
      <c r="Q739" s="86"/>
      <c r="R739" s="86"/>
      <c r="S739" s="86"/>
      <c r="T739" s="86"/>
    </row>
    <row r="740">
      <c r="O740" s="86"/>
      <c r="P740" s="86"/>
      <c r="Q740" s="86"/>
      <c r="R740" s="86"/>
      <c r="S740" s="86"/>
      <c r="T740" s="86"/>
    </row>
    <row r="741">
      <c r="O741" s="86"/>
      <c r="P741" s="86"/>
      <c r="Q741" s="86"/>
      <c r="R741" s="86"/>
      <c r="S741" s="86"/>
      <c r="T741" s="86"/>
    </row>
    <row r="742">
      <c r="O742" s="86"/>
      <c r="P742" s="86"/>
      <c r="Q742" s="86"/>
      <c r="R742" s="86"/>
      <c r="S742" s="86"/>
      <c r="T742" s="86"/>
    </row>
    <row r="743">
      <c r="O743" s="86"/>
      <c r="P743" s="86"/>
      <c r="Q743" s="86"/>
      <c r="R743" s="86"/>
      <c r="S743" s="86"/>
      <c r="T743" s="86"/>
    </row>
    <row r="744">
      <c r="O744" s="86"/>
      <c r="P744" s="86"/>
      <c r="Q744" s="86"/>
      <c r="R744" s="86"/>
      <c r="S744" s="86"/>
      <c r="T744" s="86"/>
    </row>
    <row r="745">
      <c r="O745" s="86"/>
      <c r="P745" s="86"/>
      <c r="Q745" s="86"/>
      <c r="R745" s="86"/>
      <c r="S745" s="86"/>
      <c r="T745" s="86"/>
    </row>
    <row r="746">
      <c r="O746" s="86"/>
      <c r="P746" s="86"/>
      <c r="Q746" s="86"/>
      <c r="R746" s="86"/>
      <c r="S746" s="86"/>
      <c r="T746" s="86"/>
    </row>
    <row r="747">
      <c r="O747" s="86"/>
      <c r="P747" s="86"/>
      <c r="Q747" s="86"/>
      <c r="R747" s="86"/>
      <c r="S747" s="86"/>
      <c r="T747" s="86"/>
    </row>
    <row r="748">
      <c r="O748" s="86"/>
      <c r="P748" s="86"/>
      <c r="Q748" s="86"/>
      <c r="R748" s="86"/>
      <c r="S748" s="86"/>
      <c r="T748" s="86"/>
    </row>
    <row r="749">
      <c r="O749" s="86"/>
      <c r="P749" s="86"/>
      <c r="Q749" s="86"/>
      <c r="R749" s="86"/>
      <c r="S749" s="86"/>
      <c r="T749" s="86"/>
    </row>
    <row r="750">
      <c r="O750" s="86"/>
      <c r="P750" s="86"/>
      <c r="Q750" s="86"/>
      <c r="R750" s="86"/>
      <c r="S750" s="86"/>
      <c r="T750" s="86"/>
    </row>
    <row r="751">
      <c r="O751" s="86"/>
      <c r="P751" s="86"/>
      <c r="Q751" s="86"/>
      <c r="R751" s="86"/>
      <c r="S751" s="86"/>
      <c r="T751" s="86"/>
    </row>
    <row r="752">
      <c r="O752" s="86"/>
      <c r="P752" s="86"/>
      <c r="Q752" s="86"/>
      <c r="R752" s="86"/>
      <c r="S752" s="86"/>
      <c r="T752" s="86"/>
    </row>
    <row r="753">
      <c r="O753" s="86"/>
      <c r="P753" s="86"/>
      <c r="Q753" s="86"/>
      <c r="R753" s="86"/>
      <c r="S753" s="86"/>
      <c r="T753" s="86"/>
    </row>
    <row r="754">
      <c r="O754" s="86"/>
      <c r="P754" s="86"/>
      <c r="Q754" s="86"/>
      <c r="R754" s="86"/>
      <c r="S754" s="86"/>
      <c r="T754" s="86"/>
    </row>
    <row r="755">
      <c r="O755" s="86"/>
      <c r="P755" s="86"/>
      <c r="Q755" s="86"/>
      <c r="R755" s="86"/>
      <c r="S755" s="86"/>
      <c r="T755" s="86"/>
    </row>
    <row r="756">
      <c r="O756" s="86"/>
      <c r="P756" s="86"/>
      <c r="Q756" s="86"/>
      <c r="R756" s="86"/>
      <c r="S756" s="86"/>
      <c r="T756" s="86"/>
    </row>
    <row r="757">
      <c r="O757" s="86"/>
      <c r="P757" s="86"/>
      <c r="Q757" s="86"/>
      <c r="R757" s="86"/>
      <c r="S757" s="86"/>
      <c r="T757" s="86"/>
    </row>
    <row r="758">
      <c r="O758" s="86"/>
      <c r="P758" s="86"/>
      <c r="Q758" s="86"/>
      <c r="R758" s="86"/>
      <c r="S758" s="86"/>
      <c r="T758" s="86"/>
    </row>
    <row r="759">
      <c r="O759" s="86"/>
      <c r="P759" s="86"/>
      <c r="Q759" s="86"/>
      <c r="R759" s="86"/>
      <c r="S759" s="86"/>
      <c r="T759" s="86"/>
    </row>
    <row r="760">
      <c r="O760" s="86"/>
      <c r="P760" s="86"/>
      <c r="Q760" s="86"/>
      <c r="R760" s="86"/>
      <c r="S760" s="86"/>
      <c r="T760" s="86"/>
    </row>
    <row r="761">
      <c r="O761" s="86"/>
      <c r="P761" s="86"/>
      <c r="Q761" s="86"/>
      <c r="R761" s="86"/>
      <c r="S761" s="86"/>
      <c r="T761" s="86"/>
    </row>
    <row r="762">
      <c r="O762" s="86"/>
      <c r="P762" s="86"/>
      <c r="Q762" s="86"/>
      <c r="R762" s="86"/>
      <c r="S762" s="86"/>
      <c r="T762" s="86"/>
    </row>
    <row r="763">
      <c r="O763" s="86"/>
      <c r="P763" s="86"/>
      <c r="Q763" s="86"/>
      <c r="R763" s="86"/>
      <c r="S763" s="86"/>
      <c r="T763" s="86"/>
    </row>
    <row r="764">
      <c r="O764" s="86"/>
      <c r="P764" s="86"/>
      <c r="Q764" s="86"/>
      <c r="R764" s="86"/>
      <c r="S764" s="86"/>
      <c r="T764" s="86"/>
    </row>
    <row r="765">
      <c r="O765" s="86"/>
      <c r="P765" s="86"/>
      <c r="Q765" s="86"/>
      <c r="R765" s="86"/>
      <c r="S765" s="86"/>
      <c r="T765" s="86"/>
    </row>
    <row r="766">
      <c r="O766" s="86"/>
      <c r="P766" s="86"/>
      <c r="Q766" s="86"/>
      <c r="R766" s="86"/>
      <c r="S766" s="86"/>
      <c r="T766" s="86"/>
    </row>
    <row r="767">
      <c r="O767" s="86"/>
      <c r="P767" s="86"/>
      <c r="Q767" s="86"/>
      <c r="R767" s="86"/>
      <c r="S767" s="86"/>
      <c r="T767" s="86"/>
    </row>
    <row r="768">
      <c r="O768" s="86"/>
      <c r="P768" s="86"/>
      <c r="Q768" s="86"/>
      <c r="R768" s="86"/>
      <c r="S768" s="86"/>
      <c r="T768" s="86"/>
    </row>
    <row r="769">
      <c r="O769" s="86"/>
      <c r="P769" s="86"/>
      <c r="Q769" s="86"/>
      <c r="R769" s="86"/>
      <c r="S769" s="86"/>
      <c r="T769" s="86"/>
    </row>
    <row r="770">
      <c r="O770" s="86"/>
      <c r="P770" s="86"/>
      <c r="Q770" s="86"/>
      <c r="R770" s="86"/>
      <c r="S770" s="86"/>
      <c r="T770" s="86"/>
    </row>
    <row r="771">
      <c r="O771" s="86"/>
      <c r="P771" s="86"/>
      <c r="Q771" s="86"/>
      <c r="R771" s="86"/>
      <c r="S771" s="86"/>
      <c r="T771" s="86"/>
    </row>
    <row r="772">
      <c r="O772" s="86"/>
      <c r="P772" s="86"/>
      <c r="Q772" s="86"/>
      <c r="R772" s="86"/>
      <c r="S772" s="86"/>
      <c r="T772" s="86"/>
    </row>
    <row r="773">
      <c r="O773" s="86"/>
      <c r="P773" s="86"/>
      <c r="Q773" s="86"/>
      <c r="R773" s="86"/>
      <c r="S773" s="86"/>
      <c r="T773" s="86"/>
    </row>
    <row r="774">
      <c r="O774" s="86"/>
      <c r="P774" s="86"/>
      <c r="Q774" s="86"/>
      <c r="R774" s="86"/>
      <c r="S774" s="86"/>
      <c r="T774" s="86"/>
    </row>
    <row r="775">
      <c r="O775" s="86"/>
      <c r="P775" s="86"/>
      <c r="Q775" s="86"/>
      <c r="R775" s="86"/>
      <c r="S775" s="86"/>
      <c r="T775" s="86"/>
    </row>
    <row r="776">
      <c r="O776" s="86"/>
      <c r="P776" s="86"/>
      <c r="Q776" s="86"/>
      <c r="R776" s="86"/>
      <c r="S776" s="86"/>
      <c r="T776" s="86"/>
    </row>
    <row r="777">
      <c r="O777" s="86"/>
      <c r="P777" s="86"/>
      <c r="Q777" s="86"/>
      <c r="R777" s="86"/>
      <c r="S777" s="86"/>
      <c r="T777" s="86"/>
    </row>
    <row r="778">
      <c r="O778" s="86"/>
      <c r="P778" s="86"/>
      <c r="Q778" s="86"/>
      <c r="R778" s="86"/>
      <c r="S778" s="86"/>
      <c r="T778" s="86"/>
    </row>
    <row r="779">
      <c r="O779" s="86"/>
      <c r="P779" s="86"/>
      <c r="Q779" s="86"/>
      <c r="R779" s="86"/>
      <c r="S779" s="86"/>
      <c r="T779" s="86"/>
    </row>
    <row r="780">
      <c r="O780" s="86"/>
      <c r="P780" s="86"/>
      <c r="Q780" s="86"/>
      <c r="R780" s="86"/>
      <c r="S780" s="86"/>
      <c r="T780" s="86"/>
    </row>
    <row r="781">
      <c r="O781" s="86"/>
      <c r="P781" s="86"/>
      <c r="Q781" s="86"/>
      <c r="R781" s="86"/>
      <c r="S781" s="86"/>
      <c r="T781" s="86"/>
    </row>
    <row r="782">
      <c r="O782" s="86"/>
      <c r="P782" s="86"/>
      <c r="Q782" s="86"/>
      <c r="R782" s="86"/>
      <c r="S782" s="86"/>
      <c r="T782" s="86"/>
    </row>
    <row r="783">
      <c r="O783" s="86"/>
      <c r="P783" s="86"/>
      <c r="Q783" s="86"/>
      <c r="R783" s="86"/>
      <c r="S783" s="86"/>
      <c r="T783" s="86"/>
    </row>
    <row r="784">
      <c r="O784" s="86"/>
      <c r="P784" s="86"/>
      <c r="Q784" s="86"/>
      <c r="R784" s="86"/>
      <c r="S784" s="86"/>
      <c r="T784" s="86"/>
    </row>
    <row r="785">
      <c r="O785" s="86"/>
      <c r="P785" s="86"/>
      <c r="Q785" s="86"/>
      <c r="R785" s="86"/>
      <c r="S785" s="86"/>
      <c r="T785" s="86"/>
    </row>
    <row r="786">
      <c r="O786" s="86"/>
      <c r="P786" s="86"/>
      <c r="Q786" s="86"/>
      <c r="R786" s="86"/>
      <c r="S786" s="86"/>
      <c r="T786" s="86"/>
    </row>
    <row r="787">
      <c r="O787" s="86"/>
      <c r="P787" s="86"/>
      <c r="Q787" s="86"/>
      <c r="R787" s="86"/>
      <c r="S787" s="86"/>
      <c r="T787" s="86"/>
    </row>
    <row r="788">
      <c r="O788" s="86"/>
      <c r="P788" s="86"/>
      <c r="Q788" s="86"/>
      <c r="R788" s="86"/>
      <c r="S788" s="86"/>
      <c r="T788" s="86"/>
    </row>
    <row r="789">
      <c r="O789" s="86"/>
      <c r="P789" s="86"/>
      <c r="Q789" s="86"/>
      <c r="R789" s="86"/>
      <c r="S789" s="86"/>
      <c r="T789" s="86"/>
    </row>
    <row r="790">
      <c r="O790" s="86"/>
      <c r="P790" s="86"/>
      <c r="Q790" s="86"/>
      <c r="R790" s="86"/>
      <c r="S790" s="86"/>
      <c r="T790" s="86"/>
    </row>
    <row r="791">
      <c r="O791" s="86"/>
      <c r="P791" s="86"/>
      <c r="Q791" s="86"/>
      <c r="R791" s="86"/>
      <c r="S791" s="86"/>
      <c r="T791" s="86"/>
    </row>
    <row r="792">
      <c r="O792" s="86"/>
      <c r="P792" s="86"/>
      <c r="Q792" s="86"/>
      <c r="R792" s="86"/>
      <c r="S792" s="86"/>
      <c r="T792" s="86"/>
    </row>
    <row r="793">
      <c r="O793" s="86"/>
      <c r="P793" s="86"/>
      <c r="Q793" s="86"/>
      <c r="R793" s="86"/>
      <c r="S793" s="86"/>
      <c r="T793" s="86"/>
    </row>
    <row r="794">
      <c r="O794" s="86"/>
      <c r="P794" s="86"/>
      <c r="Q794" s="86"/>
      <c r="R794" s="86"/>
      <c r="S794" s="86"/>
      <c r="T794" s="86"/>
    </row>
    <row r="795">
      <c r="O795" s="86"/>
      <c r="P795" s="86"/>
      <c r="Q795" s="86"/>
      <c r="R795" s="86"/>
      <c r="S795" s="86"/>
      <c r="T795" s="86"/>
    </row>
    <row r="796">
      <c r="O796" s="86"/>
      <c r="P796" s="86"/>
      <c r="Q796" s="86"/>
      <c r="R796" s="86"/>
      <c r="S796" s="86"/>
      <c r="T796" s="86"/>
    </row>
    <row r="797">
      <c r="O797" s="86"/>
      <c r="P797" s="86"/>
      <c r="Q797" s="86"/>
      <c r="R797" s="86"/>
      <c r="S797" s="86"/>
      <c r="T797" s="86"/>
    </row>
    <row r="798">
      <c r="O798" s="86"/>
      <c r="P798" s="86"/>
      <c r="Q798" s="86"/>
      <c r="R798" s="86"/>
      <c r="S798" s="86"/>
      <c r="T798" s="86"/>
    </row>
    <row r="799">
      <c r="O799" s="86"/>
      <c r="P799" s="86"/>
      <c r="Q799" s="86"/>
      <c r="R799" s="86"/>
      <c r="S799" s="86"/>
      <c r="T799" s="86"/>
    </row>
    <row r="800">
      <c r="O800" s="86"/>
      <c r="P800" s="86"/>
      <c r="Q800" s="86"/>
      <c r="R800" s="86"/>
      <c r="S800" s="86"/>
      <c r="T800" s="86"/>
    </row>
    <row r="801">
      <c r="O801" s="86"/>
      <c r="P801" s="86"/>
      <c r="Q801" s="86"/>
      <c r="R801" s="86"/>
      <c r="S801" s="86"/>
      <c r="T801" s="86"/>
    </row>
    <row r="802">
      <c r="O802" s="86"/>
      <c r="P802" s="86"/>
      <c r="Q802" s="86"/>
      <c r="R802" s="86"/>
      <c r="S802" s="86"/>
      <c r="T802" s="86"/>
    </row>
    <row r="803">
      <c r="O803" s="86"/>
      <c r="P803" s="86"/>
      <c r="Q803" s="86"/>
      <c r="R803" s="86"/>
      <c r="S803" s="86"/>
      <c r="T803" s="86"/>
    </row>
    <row r="804">
      <c r="O804" s="86"/>
      <c r="P804" s="86"/>
      <c r="Q804" s="86"/>
      <c r="R804" s="86"/>
      <c r="S804" s="86"/>
      <c r="T804" s="86"/>
    </row>
    <row r="805">
      <c r="O805" s="86"/>
      <c r="P805" s="86"/>
      <c r="Q805" s="86"/>
      <c r="R805" s="86"/>
      <c r="S805" s="86"/>
      <c r="T805" s="86"/>
    </row>
    <row r="806">
      <c r="O806" s="86"/>
      <c r="P806" s="86"/>
      <c r="Q806" s="86"/>
      <c r="R806" s="86"/>
      <c r="S806" s="86"/>
      <c r="T806" s="86"/>
    </row>
    <row r="807">
      <c r="O807" s="86"/>
      <c r="P807" s="86"/>
      <c r="Q807" s="86"/>
      <c r="R807" s="86"/>
      <c r="S807" s="86"/>
      <c r="T807" s="86"/>
    </row>
    <row r="808">
      <c r="O808" s="86"/>
      <c r="P808" s="86"/>
      <c r="Q808" s="86"/>
      <c r="R808" s="86"/>
      <c r="S808" s="86"/>
      <c r="T808" s="86"/>
    </row>
    <row r="809">
      <c r="O809" s="86"/>
      <c r="P809" s="86"/>
      <c r="Q809" s="86"/>
      <c r="R809" s="86"/>
      <c r="S809" s="86"/>
      <c r="T809" s="86"/>
    </row>
    <row r="810">
      <c r="O810" s="86"/>
      <c r="P810" s="86"/>
      <c r="Q810" s="86"/>
      <c r="R810" s="86"/>
      <c r="S810" s="86"/>
      <c r="T810" s="86"/>
    </row>
    <row r="811">
      <c r="O811" s="86"/>
      <c r="P811" s="86"/>
      <c r="Q811" s="86"/>
      <c r="R811" s="86"/>
      <c r="S811" s="86"/>
      <c r="T811" s="86"/>
    </row>
    <row r="812">
      <c r="O812" s="86"/>
      <c r="P812" s="86"/>
      <c r="Q812" s="86"/>
      <c r="R812" s="86"/>
      <c r="S812" s="86"/>
      <c r="T812" s="86"/>
    </row>
    <row r="813">
      <c r="O813" s="86"/>
      <c r="P813" s="86"/>
      <c r="Q813" s="86"/>
      <c r="R813" s="86"/>
      <c r="S813" s="86"/>
      <c r="T813" s="86"/>
    </row>
    <row r="814">
      <c r="O814" s="86"/>
      <c r="P814" s="86"/>
      <c r="Q814" s="86"/>
      <c r="R814" s="86"/>
      <c r="S814" s="86"/>
      <c r="T814" s="86"/>
    </row>
    <row r="815">
      <c r="O815" s="86"/>
      <c r="P815" s="86"/>
      <c r="Q815" s="86"/>
      <c r="R815" s="86"/>
      <c r="S815" s="86"/>
      <c r="T815" s="86"/>
    </row>
    <row r="816">
      <c r="O816" s="86"/>
      <c r="P816" s="86"/>
      <c r="Q816" s="86"/>
      <c r="R816" s="86"/>
      <c r="S816" s="86"/>
      <c r="T816" s="86"/>
    </row>
    <row r="817">
      <c r="O817" s="86"/>
      <c r="P817" s="86"/>
      <c r="Q817" s="86"/>
      <c r="R817" s="86"/>
      <c r="S817" s="86"/>
      <c r="T817" s="86"/>
    </row>
    <row r="818">
      <c r="O818" s="86"/>
      <c r="P818" s="86"/>
      <c r="Q818" s="86"/>
      <c r="R818" s="86"/>
      <c r="S818" s="86"/>
      <c r="T818" s="86"/>
    </row>
    <row r="819">
      <c r="O819" s="86"/>
      <c r="P819" s="86"/>
      <c r="Q819" s="86"/>
      <c r="R819" s="86"/>
      <c r="S819" s="86"/>
      <c r="T819" s="86"/>
    </row>
    <row r="820">
      <c r="O820" s="86"/>
      <c r="P820" s="86"/>
      <c r="Q820" s="86"/>
      <c r="R820" s="86"/>
      <c r="S820" s="86"/>
      <c r="T820" s="86"/>
    </row>
    <row r="821">
      <c r="O821" s="86"/>
      <c r="P821" s="86"/>
      <c r="Q821" s="86"/>
      <c r="R821" s="86"/>
      <c r="S821" s="86"/>
      <c r="T821" s="86"/>
    </row>
    <row r="822">
      <c r="O822" s="86"/>
      <c r="P822" s="86"/>
      <c r="Q822" s="86"/>
      <c r="R822" s="86"/>
      <c r="S822" s="86"/>
      <c r="T822" s="86"/>
    </row>
    <row r="823">
      <c r="O823" s="86"/>
      <c r="P823" s="86"/>
      <c r="Q823" s="86"/>
      <c r="R823" s="86"/>
      <c r="S823" s="86"/>
      <c r="T823" s="86"/>
    </row>
    <row r="824">
      <c r="O824" s="86"/>
      <c r="P824" s="86"/>
      <c r="Q824" s="86"/>
      <c r="R824" s="86"/>
      <c r="S824" s="86"/>
      <c r="T824" s="86"/>
    </row>
    <row r="825">
      <c r="O825" s="86"/>
      <c r="P825" s="86"/>
      <c r="Q825" s="86"/>
      <c r="R825" s="86"/>
      <c r="S825" s="86"/>
      <c r="T825" s="86"/>
    </row>
    <row r="826">
      <c r="O826" s="86"/>
      <c r="P826" s="86"/>
      <c r="Q826" s="86"/>
      <c r="R826" s="86"/>
      <c r="S826" s="86"/>
      <c r="T826" s="86"/>
    </row>
    <row r="827">
      <c r="O827" s="86"/>
      <c r="P827" s="86"/>
      <c r="Q827" s="86"/>
      <c r="R827" s="86"/>
      <c r="S827" s="86"/>
      <c r="T827" s="86"/>
    </row>
    <row r="828">
      <c r="O828" s="86"/>
      <c r="P828" s="86"/>
      <c r="Q828" s="86"/>
      <c r="R828" s="86"/>
      <c r="S828" s="86"/>
      <c r="T828" s="86"/>
    </row>
    <row r="829">
      <c r="O829" s="86"/>
      <c r="P829" s="86"/>
      <c r="Q829" s="86"/>
      <c r="R829" s="86"/>
      <c r="S829" s="86"/>
      <c r="T829" s="86"/>
    </row>
    <row r="830">
      <c r="O830" s="86"/>
      <c r="P830" s="86"/>
      <c r="Q830" s="86"/>
      <c r="R830" s="86"/>
      <c r="S830" s="86"/>
      <c r="T830" s="86"/>
    </row>
    <row r="831">
      <c r="O831" s="86"/>
      <c r="P831" s="86"/>
      <c r="Q831" s="86"/>
      <c r="R831" s="86"/>
      <c r="S831" s="86"/>
      <c r="T831" s="86"/>
    </row>
    <row r="832">
      <c r="O832" s="86"/>
      <c r="P832" s="86"/>
      <c r="Q832" s="86"/>
      <c r="R832" s="86"/>
      <c r="S832" s="86"/>
      <c r="T832" s="86"/>
    </row>
    <row r="833">
      <c r="O833" s="86"/>
      <c r="P833" s="86"/>
      <c r="Q833" s="86"/>
      <c r="R833" s="86"/>
      <c r="S833" s="86"/>
      <c r="T833" s="86"/>
    </row>
    <row r="834">
      <c r="O834" s="86"/>
      <c r="P834" s="86"/>
      <c r="Q834" s="86"/>
      <c r="R834" s="86"/>
      <c r="S834" s="86"/>
      <c r="T834" s="86"/>
    </row>
    <row r="835">
      <c r="O835" s="86"/>
      <c r="P835" s="86"/>
      <c r="Q835" s="86"/>
      <c r="R835" s="86"/>
      <c r="S835" s="86"/>
      <c r="T835" s="86"/>
    </row>
    <row r="836">
      <c r="O836" s="86"/>
      <c r="P836" s="86"/>
      <c r="Q836" s="86"/>
      <c r="R836" s="86"/>
      <c r="S836" s="86"/>
      <c r="T836" s="86"/>
    </row>
    <row r="837">
      <c r="O837" s="86"/>
      <c r="P837" s="86"/>
      <c r="Q837" s="86"/>
      <c r="R837" s="86"/>
      <c r="S837" s="86"/>
      <c r="T837" s="86"/>
    </row>
    <row r="838">
      <c r="O838" s="86"/>
      <c r="P838" s="86"/>
      <c r="Q838" s="86"/>
      <c r="R838" s="86"/>
      <c r="S838" s="86"/>
      <c r="T838" s="86"/>
    </row>
    <row r="839">
      <c r="O839" s="86"/>
      <c r="P839" s="86"/>
      <c r="Q839" s="86"/>
      <c r="R839" s="86"/>
      <c r="S839" s="86"/>
      <c r="T839" s="86"/>
    </row>
    <row r="840">
      <c r="O840" s="86"/>
      <c r="P840" s="86"/>
      <c r="Q840" s="86"/>
      <c r="R840" s="86"/>
      <c r="S840" s="86"/>
      <c r="T840" s="86"/>
    </row>
    <row r="841">
      <c r="O841" s="86"/>
      <c r="P841" s="86"/>
      <c r="Q841" s="86"/>
      <c r="R841" s="86"/>
      <c r="S841" s="86"/>
      <c r="T841" s="86"/>
    </row>
    <row r="842">
      <c r="O842" s="86"/>
      <c r="P842" s="86"/>
      <c r="Q842" s="86"/>
      <c r="R842" s="86"/>
      <c r="S842" s="86"/>
      <c r="T842" s="86"/>
    </row>
    <row r="843">
      <c r="O843" s="86"/>
      <c r="P843" s="86"/>
      <c r="Q843" s="86"/>
      <c r="R843" s="86"/>
      <c r="S843" s="86"/>
      <c r="T843" s="86"/>
    </row>
    <row r="844">
      <c r="O844" s="86"/>
      <c r="P844" s="86"/>
      <c r="Q844" s="86"/>
      <c r="R844" s="86"/>
      <c r="S844" s="86"/>
      <c r="T844" s="86"/>
    </row>
    <row r="845">
      <c r="O845" s="86"/>
      <c r="P845" s="86"/>
      <c r="Q845" s="86"/>
      <c r="R845" s="86"/>
      <c r="S845" s="86"/>
      <c r="T845" s="86"/>
    </row>
    <row r="846">
      <c r="O846" s="86"/>
      <c r="P846" s="86"/>
      <c r="Q846" s="86"/>
      <c r="R846" s="86"/>
      <c r="S846" s="86"/>
      <c r="T846" s="86"/>
    </row>
    <row r="847">
      <c r="O847" s="86"/>
      <c r="P847" s="86"/>
      <c r="Q847" s="86"/>
      <c r="R847" s="86"/>
      <c r="S847" s="86"/>
      <c r="T847" s="86"/>
    </row>
    <row r="848">
      <c r="O848" s="86"/>
      <c r="P848" s="86"/>
      <c r="Q848" s="86"/>
      <c r="R848" s="86"/>
      <c r="S848" s="86"/>
      <c r="T848" s="86"/>
    </row>
    <row r="849">
      <c r="O849" s="86"/>
      <c r="P849" s="86"/>
      <c r="Q849" s="86"/>
      <c r="R849" s="86"/>
      <c r="S849" s="86"/>
      <c r="T849" s="86"/>
    </row>
    <row r="850">
      <c r="O850" s="86"/>
      <c r="P850" s="86"/>
      <c r="Q850" s="86"/>
      <c r="R850" s="86"/>
      <c r="S850" s="86"/>
      <c r="T850" s="86"/>
    </row>
    <row r="851">
      <c r="O851" s="86"/>
      <c r="P851" s="86"/>
      <c r="Q851" s="86"/>
      <c r="R851" s="86"/>
      <c r="S851" s="86"/>
      <c r="T851" s="86"/>
    </row>
    <row r="852">
      <c r="O852" s="86"/>
      <c r="P852" s="86"/>
      <c r="Q852" s="86"/>
      <c r="R852" s="86"/>
      <c r="S852" s="86"/>
      <c r="T852" s="86"/>
    </row>
    <row r="853">
      <c r="O853" s="86"/>
      <c r="P853" s="86"/>
      <c r="Q853" s="86"/>
      <c r="R853" s="86"/>
      <c r="S853" s="86"/>
      <c r="T853" s="86"/>
    </row>
    <row r="854">
      <c r="O854" s="86"/>
      <c r="P854" s="86"/>
      <c r="Q854" s="86"/>
      <c r="R854" s="86"/>
      <c r="S854" s="86"/>
      <c r="T854" s="86"/>
    </row>
    <row r="855">
      <c r="O855" s="86"/>
      <c r="P855" s="86"/>
      <c r="Q855" s="86"/>
      <c r="R855" s="86"/>
      <c r="S855" s="86"/>
      <c r="T855" s="86"/>
    </row>
    <row r="856">
      <c r="O856" s="86"/>
      <c r="P856" s="86"/>
      <c r="Q856" s="86"/>
      <c r="R856" s="86"/>
      <c r="S856" s="86"/>
      <c r="T856" s="86"/>
    </row>
    <row r="857">
      <c r="O857" s="86"/>
      <c r="P857" s="86"/>
      <c r="Q857" s="86"/>
      <c r="R857" s="86"/>
      <c r="S857" s="86"/>
      <c r="T857" s="86"/>
    </row>
    <row r="858">
      <c r="O858" s="86"/>
      <c r="P858" s="86"/>
      <c r="Q858" s="86"/>
      <c r="R858" s="86"/>
      <c r="S858" s="86"/>
      <c r="T858" s="86"/>
    </row>
    <row r="859">
      <c r="O859" s="86"/>
      <c r="P859" s="86"/>
      <c r="Q859" s="86"/>
      <c r="R859" s="86"/>
      <c r="S859" s="86"/>
      <c r="T859" s="86"/>
    </row>
    <row r="860">
      <c r="O860" s="86"/>
      <c r="P860" s="86"/>
      <c r="Q860" s="86"/>
      <c r="R860" s="86"/>
      <c r="S860" s="86"/>
      <c r="T860" s="86"/>
    </row>
    <row r="861">
      <c r="O861" s="86"/>
      <c r="P861" s="86"/>
      <c r="Q861" s="86"/>
      <c r="R861" s="86"/>
      <c r="S861" s="86"/>
      <c r="T861" s="86"/>
    </row>
    <row r="862">
      <c r="O862" s="86"/>
      <c r="P862" s="86"/>
      <c r="Q862" s="86"/>
      <c r="R862" s="86"/>
      <c r="S862" s="86"/>
      <c r="T862" s="86"/>
    </row>
    <row r="863">
      <c r="O863" s="86"/>
      <c r="P863" s="86"/>
      <c r="Q863" s="86"/>
      <c r="R863" s="86"/>
      <c r="S863" s="86"/>
      <c r="T863" s="86"/>
    </row>
    <row r="864">
      <c r="O864" s="86"/>
      <c r="P864" s="86"/>
      <c r="Q864" s="86"/>
      <c r="R864" s="86"/>
      <c r="S864" s="86"/>
      <c r="T864" s="86"/>
    </row>
    <row r="865">
      <c r="O865" s="86"/>
      <c r="P865" s="86"/>
      <c r="Q865" s="86"/>
      <c r="R865" s="86"/>
      <c r="S865" s="86"/>
      <c r="T865" s="86"/>
    </row>
    <row r="866">
      <c r="O866" s="86"/>
      <c r="P866" s="86"/>
      <c r="Q866" s="86"/>
      <c r="R866" s="86"/>
      <c r="S866" s="86"/>
      <c r="T866" s="86"/>
    </row>
    <row r="867">
      <c r="O867" s="86"/>
      <c r="P867" s="86"/>
      <c r="Q867" s="86"/>
      <c r="R867" s="86"/>
      <c r="S867" s="86"/>
      <c r="T867" s="86"/>
    </row>
    <row r="868">
      <c r="O868" s="86"/>
      <c r="P868" s="86"/>
      <c r="Q868" s="86"/>
      <c r="R868" s="86"/>
      <c r="S868" s="86"/>
      <c r="T868" s="86"/>
    </row>
    <row r="869">
      <c r="O869" s="86"/>
      <c r="P869" s="86"/>
      <c r="Q869" s="86"/>
      <c r="R869" s="86"/>
      <c r="S869" s="86"/>
      <c r="T869" s="86"/>
    </row>
    <row r="870">
      <c r="O870" s="86"/>
      <c r="P870" s="86"/>
      <c r="Q870" s="86"/>
      <c r="R870" s="86"/>
      <c r="S870" s="86"/>
      <c r="T870" s="86"/>
    </row>
    <row r="871">
      <c r="O871" s="86"/>
      <c r="P871" s="86"/>
      <c r="Q871" s="86"/>
      <c r="R871" s="86"/>
      <c r="S871" s="86"/>
      <c r="T871" s="86"/>
    </row>
    <row r="872">
      <c r="O872" s="86"/>
      <c r="P872" s="86"/>
      <c r="Q872" s="86"/>
      <c r="R872" s="86"/>
      <c r="S872" s="86"/>
      <c r="T872" s="86"/>
    </row>
    <row r="873">
      <c r="O873" s="86"/>
      <c r="P873" s="86"/>
      <c r="Q873" s="86"/>
      <c r="R873" s="86"/>
      <c r="S873" s="86"/>
      <c r="T873" s="86"/>
    </row>
    <row r="874">
      <c r="O874" s="86"/>
      <c r="P874" s="86"/>
      <c r="Q874" s="86"/>
      <c r="R874" s="86"/>
      <c r="S874" s="86"/>
      <c r="T874" s="86"/>
    </row>
    <row r="875">
      <c r="O875" s="86"/>
      <c r="P875" s="86"/>
      <c r="Q875" s="86"/>
      <c r="R875" s="86"/>
      <c r="S875" s="86"/>
      <c r="T875" s="86"/>
    </row>
    <row r="876">
      <c r="O876" s="86"/>
      <c r="P876" s="86"/>
      <c r="Q876" s="86"/>
      <c r="R876" s="86"/>
      <c r="S876" s="86"/>
      <c r="T876" s="86"/>
    </row>
    <row r="877">
      <c r="O877" s="86"/>
      <c r="P877" s="86"/>
      <c r="Q877" s="86"/>
      <c r="R877" s="86"/>
      <c r="S877" s="86"/>
      <c r="T877" s="86"/>
    </row>
    <row r="878">
      <c r="O878" s="86"/>
      <c r="P878" s="86"/>
      <c r="Q878" s="86"/>
      <c r="R878" s="86"/>
      <c r="S878" s="86"/>
      <c r="T878" s="86"/>
    </row>
    <row r="879">
      <c r="O879" s="86"/>
      <c r="P879" s="86"/>
      <c r="Q879" s="86"/>
      <c r="R879" s="86"/>
      <c r="S879" s="86"/>
      <c r="T879" s="86"/>
    </row>
    <row r="880">
      <c r="O880" s="86"/>
      <c r="P880" s="86"/>
      <c r="Q880" s="86"/>
      <c r="R880" s="86"/>
      <c r="S880" s="86"/>
      <c r="T880" s="86"/>
    </row>
    <row r="881">
      <c r="O881" s="86"/>
      <c r="P881" s="86"/>
      <c r="Q881" s="86"/>
      <c r="R881" s="86"/>
      <c r="S881" s="86"/>
      <c r="T881" s="86"/>
    </row>
    <row r="882">
      <c r="O882" s="86"/>
      <c r="P882" s="86"/>
      <c r="Q882" s="86"/>
      <c r="R882" s="86"/>
      <c r="S882" s="86"/>
      <c r="T882" s="86"/>
    </row>
    <row r="883">
      <c r="O883" s="86"/>
      <c r="P883" s="86"/>
      <c r="Q883" s="86"/>
      <c r="R883" s="86"/>
      <c r="S883" s="86"/>
      <c r="T883" s="86"/>
    </row>
    <row r="884">
      <c r="O884" s="86"/>
      <c r="P884" s="86"/>
      <c r="Q884" s="86"/>
      <c r="R884" s="86"/>
      <c r="S884" s="86"/>
      <c r="T884" s="86"/>
    </row>
    <row r="885">
      <c r="O885" s="86"/>
      <c r="P885" s="86"/>
      <c r="Q885" s="86"/>
      <c r="R885" s="86"/>
      <c r="S885" s="86"/>
      <c r="T885" s="86"/>
    </row>
    <row r="886">
      <c r="O886" s="86"/>
      <c r="P886" s="86"/>
      <c r="Q886" s="86"/>
      <c r="R886" s="86"/>
      <c r="S886" s="86"/>
      <c r="T886" s="86"/>
    </row>
    <row r="887">
      <c r="O887" s="86"/>
      <c r="P887" s="86"/>
      <c r="Q887" s="86"/>
      <c r="R887" s="86"/>
      <c r="S887" s="86"/>
      <c r="T887" s="86"/>
    </row>
    <row r="888">
      <c r="O888" s="86"/>
      <c r="P888" s="86"/>
      <c r="Q888" s="86"/>
      <c r="R888" s="86"/>
      <c r="S888" s="86"/>
      <c r="T888" s="86"/>
    </row>
    <row r="889">
      <c r="O889" s="86"/>
      <c r="P889" s="86"/>
      <c r="Q889" s="86"/>
      <c r="R889" s="86"/>
      <c r="S889" s="86"/>
      <c r="T889" s="86"/>
    </row>
    <row r="890">
      <c r="O890" s="86"/>
      <c r="P890" s="86"/>
      <c r="Q890" s="86"/>
      <c r="R890" s="86"/>
      <c r="S890" s="86"/>
      <c r="T890" s="86"/>
    </row>
    <row r="891">
      <c r="O891" s="86"/>
      <c r="P891" s="86"/>
      <c r="Q891" s="86"/>
      <c r="R891" s="86"/>
      <c r="S891" s="86"/>
      <c r="T891" s="86"/>
    </row>
    <row r="892">
      <c r="O892" s="86"/>
      <c r="P892" s="86"/>
      <c r="Q892" s="86"/>
      <c r="R892" s="86"/>
      <c r="S892" s="86"/>
      <c r="T892" s="86"/>
    </row>
    <row r="893">
      <c r="O893" s="86"/>
      <c r="P893" s="86"/>
      <c r="Q893" s="86"/>
      <c r="R893" s="86"/>
      <c r="S893" s="86"/>
      <c r="T893" s="86"/>
    </row>
    <row r="894">
      <c r="O894" s="86"/>
      <c r="P894" s="86"/>
      <c r="Q894" s="86"/>
      <c r="R894" s="86"/>
      <c r="S894" s="86"/>
      <c r="T894" s="86"/>
    </row>
    <row r="895">
      <c r="O895" s="86"/>
      <c r="P895" s="86"/>
      <c r="Q895" s="86"/>
      <c r="R895" s="86"/>
      <c r="S895" s="86"/>
      <c r="T895" s="86"/>
    </row>
    <row r="896">
      <c r="O896" s="86"/>
      <c r="P896" s="86"/>
      <c r="Q896" s="86"/>
      <c r="R896" s="86"/>
      <c r="S896" s="86"/>
      <c r="T896" s="86"/>
    </row>
    <row r="897">
      <c r="O897" s="86"/>
      <c r="P897" s="86"/>
      <c r="Q897" s="86"/>
      <c r="R897" s="86"/>
      <c r="S897" s="86"/>
      <c r="T897" s="86"/>
    </row>
    <row r="898">
      <c r="O898" s="86"/>
      <c r="P898" s="86"/>
      <c r="Q898" s="86"/>
      <c r="R898" s="86"/>
      <c r="S898" s="86"/>
      <c r="T898" s="86"/>
    </row>
    <row r="899">
      <c r="O899" s="86"/>
      <c r="P899" s="86"/>
      <c r="Q899" s="86"/>
      <c r="R899" s="86"/>
      <c r="S899" s="86"/>
      <c r="T899" s="86"/>
    </row>
    <row r="900">
      <c r="O900" s="86"/>
      <c r="P900" s="86"/>
      <c r="Q900" s="86"/>
      <c r="R900" s="86"/>
      <c r="S900" s="86"/>
      <c r="T900" s="86"/>
    </row>
    <row r="901">
      <c r="O901" s="86"/>
      <c r="P901" s="86"/>
      <c r="Q901" s="86"/>
      <c r="R901" s="86"/>
      <c r="S901" s="86"/>
      <c r="T901" s="86"/>
    </row>
    <row r="902">
      <c r="O902" s="86"/>
      <c r="P902" s="86"/>
      <c r="Q902" s="86"/>
      <c r="R902" s="86"/>
      <c r="S902" s="86"/>
      <c r="T902" s="86"/>
    </row>
    <row r="903">
      <c r="O903" s="86"/>
      <c r="P903" s="86"/>
      <c r="Q903" s="86"/>
      <c r="R903" s="86"/>
      <c r="S903" s="86"/>
      <c r="T903" s="86"/>
    </row>
    <row r="904">
      <c r="O904" s="86"/>
      <c r="P904" s="86"/>
      <c r="Q904" s="86"/>
      <c r="R904" s="86"/>
      <c r="S904" s="86"/>
      <c r="T904" s="86"/>
    </row>
    <row r="905">
      <c r="O905" s="86"/>
      <c r="P905" s="86"/>
      <c r="Q905" s="86"/>
      <c r="R905" s="86"/>
      <c r="S905" s="86"/>
      <c r="T905" s="86"/>
    </row>
    <row r="906">
      <c r="O906" s="86"/>
      <c r="P906" s="86"/>
      <c r="Q906" s="86"/>
      <c r="R906" s="86"/>
      <c r="S906" s="86"/>
      <c r="T906" s="86"/>
    </row>
    <row r="907">
      <c r="O907" s="86"/>
      <c r="P907" s="86"/>
      <c r="Q907" s="86"/>
      <c r="R907" s="86"/>
      <c r="S907" s="86"/>
      <c r="T907" s="86"/>
    </row>
    <row r="908">
      <c r="O908" s="86"/>
      <c r="P908" s="86"/>
      <c r="Q908" s="86"/>
      <c r="R908" s="86"/>
      <c r="S908" s="86"/>
      <c r="T908" s="86"/>
    </row>
    <row r="909">
      <c r="O909" s="86"/>
      <c r="P909" s="86"/>
      <c r="Q909" s="86"/>
      <c r="R909" s="86"/>
      <c r="S909" s="86"/>
      <c r="T909" s="86"/>
    </row>
    <row r="910">
      <c r="O910" s="86"/>
      <c r="P910" s="86"/>
      <c r="Q910" s="86"/>
      <c r="R910" s="86"/>
      <c r="S910" s="86"/>
      <c r="T910" s="86"/>
    </row>
    <row r="911">
      <c r="O911" s="86"/>
      <c r="P911" s="86"/>
      <c r="Q911" s="86"/>
      <c r="R911" s="86"/>
      <c r="S911" s="86"/>
      <c r="T911" s="86"/>
    </row>
    <row r="912">
      <c r="O912" s="86"/>
      <c r="P912" s="86"/>
      <c r="Q912" s="86"/>
      <c r="R912" s="86"/>
      <c r="S912" s="86"/>
      <c r="T912" s="86"/>
    </row>
    <row r="913">
      <c r="O913" s="86"/>
      <c r="P913" s="86"/>
      <c r="Q913" s="86"/>
      <c r="R913" s="86"/>
      <c r="S913" s="86"/>
      <c r="T913" s="86"/>
    </row>
    <row r="914">
      <c r="O914" s="86"/>
      <c r="P914" s="86"/>
      <c r="Q914" s="86"/>
      <c r="R914" s="86"/>
      <c r="S914" s="86"/>
      <c r="T914" s="86"/>
    </row>
    <row r="915">
      <c r="O915" s="86"/>
      <c r="P915" s="86"/>
      <c r="Q915" s="86"/>
      <c r="R915" s="86"/>
      <c r="S915" s="86"/>
      <c r="T915" s="86"/>
    </row>
    <row r="916">
      <c r="O916" s="86"/>
      <c r="P916" s="86"/>
      <c r="Q916" s="86"/>
      <c r="R916" s="86"/>
      <c r="S916" s="86"/>
      <c r="T916" s="86"/>
    </row>
    <row r="917">
      <c r="O917" s="86"/>
      <c r="P917" s="86"/>
      <c r="Q917" s="86"/>
      <c r="R917" s="86"/>
      <c r="S917" s="86"/>
      <c r="T917" s="86"/>
    </row>
    <row r="918">
      <c r="O918" s="86"/>
      <c r="P918" s="86"/>
      <c r="Q918" s="86"/>
      <c r="R918" s="86"/>
      <c r="S918" s="86"/>
      <c r="T918" s="86"/>
    </row>
    <row r="919">
      <c r="O919" s="86"/>
      <c r="P919" s="86"/>
      <c r="Q919" s="86"/>
      <c r="R919" s="86"/>
      <c r="S919" s="86"/>
      <c r="T919" s="86"/>
    </row>
    <row r="920">
      <c r="O920" s="86"/>
      <c r="P920" s="86"/>
      <c r="Q920" s="86"/>
      <c r="R920" s="86"/>
      <c r="S920" s="86"/>
      <c r="T920" s="86"/>
    </row>
    <row r="921">
      <c r="O921" s="86"/>
      <c r="P921" s="86"/>
      <c r="Q921" s="86"/>
      <c r="R921" s="86"/>
      <c r="S921" s="86"/>
      <c r="T921" s="86"/>
    </row>
    <row r="922">
      <c r="O922" s="86"/>
      <c r="P922" s="86"/>
      <c r="Q922" s="86"/>
      <c r="R922" s="86"/>
      <c r="S922" s="86"/>
      <c r="T922" s="86"/>
    </row>
    <row r="923">
      <c r="O923" s="86"/>
      <c r="P923" s="86"/>
      <c r="Q923" s="86"/>
      <c r="R923" s="86"/>
      <c r="S923" s="86"/>
      <c r="T923" s="86"/>
    </row>
    <row r="924">
      <c r="O924" s="86"/>
      <c r="P924" s="86"/>
      <c r="Q924" s="86"/>
      <c r="R924" s="86"/>
      <c r="S924" s="86"/>
      <c r="T924" s="86"/>
    </row>
    <row r="925">
      <c r="O925" s="86"/>
      <c r="P925" s="86"/>
      <c r="Q925" s="86"/>
      <c r="R925" s="86"/>
      <c r="S925" s="86"/>
      <c r="T925" s="86"/>
    </row>
    <row r="926">
      <c r="O926" s="86"/>
      <c r="P926" s="86"/>
      <c r="Q926" s="86"/>
      <c r="R926" s="86"/>
      <c r="S926" s="86"/>
      <c r="T926" s="86"/>
    </row>
    <row r="927">
      <c r="O927" s="86"/>
      <c r="P927" s="86"/>
      <c r="Q927" s="86"/>
      <c r="R927" s="86"/>
      <c r="S927" s="86"/>
      <c r="T927" s="86"/>
    </row>
    <row r="928">
      <c r="O928" s="86"/>
      <c r="P928" s="86"/>
      <c r="Q928" s="86"/>
      <c r="R928" s="86"/>
      <c r="S928" s="86"/>
      <c r="T928" s="86"/>
    </row>
    <row r="929">
      <c r="O929" s="86"/>
      <c r="P929" s="86"/>
      <c r="Q929" s="86"/>
      <c r="R929" s="86"/>
      <c r="S929" s="86"/>
      <c r="T929" s="86"/>
    </row>
    <row r="930">
      <c r="O930" s="86"/>
      <c r="P930" s="86"/>
      <c r="Q930" s="86"/>
      <c r="R930" s="86"/>
      <c r="S930" s="86"/>
      <c r="T930" s="86"/>
    </row>
    <row r="931">
      <c r="O931" s="86"/>
      <c r="P931" s="86"/>
      <c r="Q931" s="86"/>
      <c r="R931" s="86"/>
      <c r="S931" s="86"/>
      <c r="T931" s="86"/>
    </row>
    <row r="932">
      <c r="O932" s="86"/>
      <c r="P932" s="86"/>
      <c r="Q932" s="86"/>
      <c r="R932" s="86"/>
      <c r="S932" s="86"/>
      <c r="T932" s="86"/>
    </row>
    <row r="933">
      <c r="O933" s="86"/>
      <c r="P933" s="86"/>
      <c r="Q933" s="86"/>
      <c r="R933" s="86"/>
      <c r="S933" s="86"/>
      <c r="T933" s="86"/>
    </row>
    <row r="934">
      <c r="O934" s="86"/>
      <c r="P934" s="86"/>
      <c r="Q934" s="86"/>
      <c r="R934" s="86"/>
      <c r="S934" s="86"/>
      <c r="T934" s="86"/>
    </row>
    <row r="935">
      <c r="O935" s="86"/>
      <c r="P935" s="86"/>
      <c r="Q935" s="86"/>
      <c r="R935" s="86"/>
      <c r="S935" s="86"/>
      <c r="T935" s="86"/>
    </row>
    <row r="936">
      <c r="O936" s="86"/>
      <c r="P936" s="86"/>
      <c r="Q936" s="86"/>
      <c r="R936" s="86"/>
      <c r="S936" s="86"/>
      <c r="T936" s="86"/>
    </row>
    <row r="937">
      <c r="O937" s="86"/>
      <c r="P937" s="86"/>
      <c r="Q937" s="86"/>
      <c r="R937" s="86"/>
      <c r="S937" s="86"/>
      <c r="T937" s="86"/>
    </row>
    <row r="938">
      <c r="O938" s="86"/>
      <c r="P938" s="86"/>
      <c r="Q938" s="86"/>
      <c r="R938" s="86"/>
      <c r="S938" s="86"/>
      <c r="T938" s="86"/>
    </row>
    <row r="939">
      <c r="O939" s="86"/>
      <c r="P939" s="86"/>
      <c r="Q939" s="86"/>
      <c r="R939" s="86"/>
      <c r="S939" s="86"/>
      <c r="T939" s="86"/>
    </row>
    <row r="940">
      <c r="O940" s="86"/>
      <c r="P940" s="86"/>
      <c r="Q940" s="86"/>
      <c r="R940" s="86"/>
      <c r="S940" s="86"/>
      <c r="T940" s="86"/>
    </row>
    <row r="941">
      <c r="O941" s="86"/>
      <c r="P941" s="86"/>
      <c r="Q941" s="86"/>
      <c r="R941" s="86"/>
      <c r="S941" s="86"/>
      <c r="T941" s="86"/>
    </row>
    <row r="942">
      <c r="O942" s="86"/>
      <c r="P942" s="86"/>
      <c r="Q942" s="86"/>
      <c r="R942" s="86"/>
      <c r="S942" s="86"/>
      <c r="T942" s="86"/>
    </row>
    <row r="943">
      <c r="O943" s="86"/>
      <c r="P943" s="86"/>
      <c r="Q943" s="86"/>
      <c r="R943" s="86"/>
      <c r="S943" s="86"/>
      <c r="T943" s="86"/>
    </row>
    <row r="944">
      <c r="O944" s="86"/>
      <c r="P944" s="86"/>
      <c r="Q944" s="86"/>
      <c r="R944" s="86"/>
      <c r="S944" s="86"/>
      <c r="T944" s="86"/>
    </row>
    <row r="945">
      <c r="O945" s="86"/>
      <c r="P945" s="86"/>
      <c r="Q945" s="86"/>
      <c r="R945" s="86"/>
      <c r="S945" s="86"/>
      <c r="T945" s="86"/>
    </row>
    <row r="946">
      <c r="O946" s="86"/>
      <c r="P946" s="86"/>
      <c r="Q946" s="86"/>
      <c r="R946" s="86"/>
      <c r="S946" s="86"/>
      <c r="T946" s="86"/>
    </row>
    <row r="947">
      <c r="O947" s="86"/>
      <c r="P947" s="86"/>
      <c r="Q947" s="86"/>
      <c r="R947" s="86"/>
      <c r="S947" s="86"/>
      <c r="T947" s="86"/>
    </row>
    <row r="948">
      <c r="O948" s="86"/>
      <c r="P948" s="86"/>
      <c r="Q948" s="86"/>
      <c r="R948" s="86"/>
      <c r="S948" s="86"/>
      <c r="T948" s="86"/>
    </row>
    <row r="949">
      <c r="O949" s="86"/>
      <c r="P949" s="86"/>
      <c r="Q949" s="86"/>
      <c r="R949" s="86"/>
      <c r="S949" s="86"/>
      <c r="T949" s="86"/>
    </row>
    <row r="950">
      <c r="O950" s="86"/>
      <c r="P950" s="86"/>
      <c r="Q950" s="86"/>
      <c r="R950" s="86"/>
      <c r="S950" s="86"/>
      <c r="T950" s="86"/>
    </row>
    <row r="951">
      <c r="O951" s="86"/>
      <c r="P951" s="86"/>
      <c r="Q951" s="86"/>
      <c r="R951" s="86"/>
      <c r="S951" s="86"/>
      <c r="T951" s="86"/>
    </row>
    <row r="952">
      <c r="O952" s="86"/>
      <c r="P952" s="86"/>
      <c r="Q952" s="86"/>
      <c r="R952" s="86"/>
      <c r="S952" s="86"/>
      <c r="T952" s="86"/>
    </row>
    <row r="953">
      <c r="O953" s="86"/>
      <c r="P953" s="86"/>
      <c r="Q953" s="86"/>
      <c r="R953" s="86"/>
      <c r="S953" s="86"/>
      <c r="T953" s="86"/>
    </row>
    <row r="954">
      <c r="O954" s="86"/>
      <c r="P954" s="86"/>
      <c r="Q954" s="86"/>
      <c r="R954" s="86"/>
      <c r="S954" s="86"/>
      <c r="T954" s="86"/>
    </row>
    <row r="955">
      <c r="O955" s="86"/>
      <c r="P955" s="86"/>
      <c r="Q955" s="86"/>
      <c r="R955" s="86"/>
      <c r="S955" s="86"/>
      <c r="T955" s="86"/>
    </row>
    <row r="956">
      <c r="O956" s="86"/>
      <c r="P956" s="86"/>
      <c r="Q956" s="86"/>
      <c r="R956" s="86"/>
      <c r="S956" s="86"/>
      <c r="T956" s="86"/>
    </row>
    <row r="957">
      <c r="O957" s="86"/>
      <c r="P957" s="86"/>
      <c r="Q957" s="86"/>
      <c r="R957" s="86"/>
      <c r="S957" s="86"/>
      <c r="T957" s="86"/>
    </row>
    <row r="958">
      <c r="O958" s="86"/>
      <c r="P958" s="86"/>
      <c r="Q958" s="86"/>
      <c r="R958" s="86"/>
      <c r="S958" s="86"/>
      <c r="T958" s="86"/>
    </row>
    <row r="959">
      <c r="O959" s="86"/>
      <c r="P959" s="86"/>
      <c r="Q959" s="86"/>
      <c r="R959" s="86"/>
      <c r="S959" s="86"/>
      <c r="T959" s="86"/>
    </row>
    <row r="960">
      <c r="O960" s="86"/>
      <c r="P960" s="86"/>
      <c r="Q960" s="86"/>
      <c r="R960" s="86"/>
      <c r="S960" s="86"/>
      <c r="T960" s="86"/>
    </row>
    <row r="961">
      <c r="O961" s="86"/>
      <c r="P961" s="86"/>
      <c r="Q961" s="86"/>
      <c r="R961" s="86"/>
      <c r="S961" s="86"/>
      <c r="T961" s="86"/>
    </row>
    <row r="962">
      <c r="O962" s="86"/>
      <c r="P962" s="86"/>
      <c r="Q962" s="86"/>
      <c r="R962" s="86"/>
      <c r="S962" s="86"/>
      <c r="T962" s="86"/>
    </row>
    <row r="963">
      <c r="O963" s="86"/>
      <c r="P963" s="86"/>
      <c r="Q963" s="86"/>
      <c r="R963" s="86"/>
      <c r="S963" s="86"/>
      <c r="T963" s="86"/>
    </row>
    <row r="964">
      <c r="O964" s="86"/>
      <c r="P964" s="86"/>
      <c r="Q964" s="86"/>
      <c r="R964" s="86"/>
      <c r="S964" s="86"/>
      <c r="T964" s="86"/>
    </row>
    <row r="965">
      <c r="O965" s="86"/>
      <c r="P965" s="86"/>
      <c r="Q965" s="86"/>
      <c r="R965" s="86"/>
      <c r="S965" s="86"/>
      <c r="T965" s="86"/>
    </row>
    <row r="966">
      <c r="O966" s="86"/>
      <c r="P966" s="86"/>
      <c r="Q966" s="86"/>
      <c r="R966" s="86"/>
      <c r="S966" s="86"/>
      <c r="T966" s="86"/>
    </row>
    <row r="967">
      <c r="O967" s="86"/>
      <c r="P967" s="86"/>
      <c r="Q967" s="86"/>
      <c r="R967" s="86"/>
      <c r="S967" s="86"/>
      <c r="T967" s="86"/>
    </row>
    <row r="968">
      <c r="O968" s="86"/>
      <c r="P968" s="86"/>
      <c r="Q968" s="86"/>
      <c r="R968" s="86"/>
      <c r="S968" s="86"/>
      <c r="T968" s="86"/>
    </row>
    <row r="969">
      <c r="O969" s="86"/>
      <c r="P969" s="86"/>
      <c r="Q969" s="86"/>
      <c r="R969" s="86"/>
      <c r="S969" s="86"/>
      <c r="T969" s="86"/>
    </row>
    <row r="970">
      <c r="O970" s="86"/>
      <c r="P970" s="86"/>
      <c r="Q970" s="86"/>
      <c r="R970" s="86"/>
      <c r="S970" s="86"/>
      <c r="T970" s="86"/>
    </row>
    <row r="971">
      <c r="O971" s="86"/>
      <c r="P971" s="86"/>
      <c r="Q971" s="86"/>
      <c r="R971" s="86"/>
      <c r="S971" s="86"/>
      <c r="T971" s="86"/>
    </row>
    <row r="972">
      <c r="O972" s="86"/>
      <c r="P972" s="86"/>
      <c r="Q972" s="86"/>
      <c r="R972" s="86"/>
      <c r="S972" s="86"/>
      <c r="T972" s="86"/>
    </row>
    <row r="973">
      <c r="O973" s="86"/>
      <c r="P973" s="86"/>
      <c r="Q973" s="86"/>
      <c r="R973" s="86"/>
      <c r="S973" s="86"/>
      <c r="T973" s="86"/>
    </row>
    <row r="974">
      <c r="O974" s="86"/>
      <c r="P974" s="86"/>
      <c r="Q974" s="86"/>
      <c r="R974" s="86"/>
      <c r="S974" s="86"/>
      <c r="T974" s="86"/>
    </row>
    <row r="975">
      <c r="O975" s="86"/>
      <c r="P975" s="86"/>
      <c r="Q975" s="86"/>
      <c r="R975" s="86"/>
      <c r="S975" s="86"/>
      <c r="T975" s="86"/>
    </row>
    <row r="976">
      <c r="O976" s="86"/>
      <c r="P976" s="86"/>
      <c r="Q976" s="86"/>
      <c r="R976" s="86"/>
      <c r="S976" s="86"/>
      <c r="T976" s="86"/>
    </row>
    <row r="977">
      <c r="O977" s="86"/>
      <c r="P977" s="86"/>
      <c r="Q977" s="86"/>
      <c r="R977" s="86"/>
      <c r="S977" s="86"/>
      <c r="T977" s="86"/>
    </row>
    <row r="978">
      <c r="O978" s="86"/>
      <c r="P978" s="86"/>
      <c r="Q978" s="86"/>
      <c r="R978" s="86"/>
      <c r="S978" s="86"/>
      <c r="T978" s="86"/>
    </row>
    <row r="979">
      <c r="O979" s="86"/>
      <c r="P979" s="86"/>
      <c r="Q979" s="86"/>
      <c r="R979" s="86"/>
      <c r="S979" s="86"/>
      <c r="T979" s="86"/>
    </row>
    <row r="980">
      <c r="O980" s="86"/>
      <c r="P980" s="86"/>
      <c r="Q980" s="86"/>
      <c r="R980" s="86"/>
      <c r="S980" s="86"/>
      <c r="T980" s="86"/>
    </row>
    <row r="981">
      <c r="O981" s="86"/>
      <c r="P981" s="86"/>
      <c r="Q981" s="86"/>
      <c r="R981" s="86"/>
      <c r="S981" s="86"/>
      <c r="T981" s="86"/>
    </row>
    <row r="982">
      <c r="O982" s="86"/>
      <c r="P982" s="86"/>
      <c r="Q982" s="86"/>
      <c r="R982" s="86"/>
      <c r="S982" s="86"/>
      <c r="T982" s="86"/>
    </row>
    <row r="983">
      <c r="O983" s="86"/>
      <c r="P983" s="86"/>
      <c r="Q983" s="86"/>
      <c r="R983" s="86"/>
      <c r="S983" s="86"/>
      <c r="T983" s="86"/>
    </row>
    <row r="984">
      <c r="O984" s="86"/>
      <c r="P984" s="86"/>
      <c r="Q984" s="86"/>
      <c r="R984" s="86"/>
      <c r="S984" s="86"/>
      <c r="T984" s="86"/>
    </row>
    <row r="985">
      <c r="O985" s="86"/>
      <c r="P985" s="86"/>
      <c r="Q985" s="86"/>
      <c r="R985" s="86"/>
      <c r="S985" s="86"/>
      <c r="T985" s="86"/>
    </row>
    <row r="986">
      <c r="O986" s="86"/>
      <c r="P986" s="86"/>
      <c r="Q986" s="86"/>
      <c r="R986" s="86"/>
      <c r="S986" s="86"/>
      <c r="T986" s="86"/>
    </row>
    <row r="987">
      <c r="O987" s="86"/>
      <c r="P987" s="86"/>
      <c r="Q987" s="86"/>
      <c r="R987" s="86"/>
      <c r="S987" s="86"/>
      <c r="T987" s="86"/>
    </row>
    <row r="988">
      <c r="O988" s="86"/>
      <c r="P988" s="86"/>
      <c r="Q988" s="86"/>
      <c r="R988" s="86"/>
      <c r="S988" s="86"/>
      <c r="T988" s="86"/>
    </row>
    <row r="989">
      <c r="O989" s="86"/>
      <c r="P989" s="86"/>
      <c r="Q989" s="86"/>
      <c r="R989" s="86"/>
      <c r="S989" s="86"/>
      <c r="T989" s="86"/>
    </row>
    <row r="990">
      <c r="O990" s="86"/>
      <c r="P990" s="86"/>
      <c r="Q990" s="86"/>
      <c r="R990" s="86"/>
      <c r="S990" s="86"/>
      <c r="T990" s="86"/>
    </row>
    <row r="991">
      <c r="O991" s="86"/>
      <c r="P991" s="86"/>
      <c r="Q991" s="86"/>
      <c r="R991" s="86"/>
      <c r="S991" s="86"/>
      <c r="T991" s="86"/>
    </row>
    <row r="992">
      <c r="O992" s="86"/>
      <c r="P992" s="86"/>
      <c r="Q992" s="86"/>
      <c r="R992" s="86"/>
      <c r="S992" s="86"/>
      <c r="T992" s="86"/>
    </row>
    <row r="993">
      <c r="O993" s="86"/>
      <c r="P993" s="86"/>
      <c r="Q993" s="86"/>
      <c r="R993" s="86"/>
      <c r="S993" s="86"/>
      <c r="T993" s="86"/>
    </row>
    <row r="994">
      <c r="O994" s="86"/>
      <c r="P994" s="86"/>
      <c r="Q994" s="86"/>
      <c r="R994" s="86"/>
      <c r="S994" s="86"/>
      <c r="T994" s="86"/>
    </row>
    <row r="995">
      <c r="O995" s="86"/>
      <c r="P995" s="86"/>
      <c r="Q995" s="86"/>
      <c r="R995" s="86"/>
      <c r="S995" s="86"/>
      <c r="T995" s="86"/>
    </row>
    <row r="996">
      <c r="O996" s="86"/>
      <c r="P996" s="86"/>
      <c r="Q996" s="86"/>
      <c r="R996" s="86"/>
      <c r="S996" s="86"/>
      <c r="T996" s="86"/>
    </row>
    <row r="997">
      <c r="O997" s="86"/>
      <c r="P997" s="86"/>
      <c r="Q997" s="86"/>
      <c r="R997" s="86"/>
      <c r="S997" s="86"/>
      <c r="T997" s="86"/>
    </row>
    <row r="998">
      <c r="O998" s="86"/>
      <c r="P998" s="86"/>
      <c r="Q998" s="86"/>
      <c r="R998" s="86"/>
      <c r="S998" s="86"/>
      <c r="T998" s="86"/>
    </row>
    <row r="999">
      <c r="O999" s="86"/>
      <c r="P999" s="86"/>
      <c r="Q999" s="86"/>
      <c r="R999" s="86"/>
      <c r="S999" s="86"/>
      <c r="T999" s="86"/>
    </row>
    <row r="1000">
      <c r="O1000" s="86"/>
      <c r="P1000" s="86"/>
      <c r="Q1000" s="86"/>
      <c r="R1000" s="86"/>
      <c r="S1000" s="86"/>
      <c r="T1000" s="86"/>
    </row>
    <row r="1001">
      <c r="O1001" s="86"/>
      <c r="P1001" s="86"/>
      <c r="Q1001" s="86"/>
      <c r="R1001" s="86"/>
      <c r="S1001" s="86"/>
      <c r="T1001" s="86"/>
    </row>
    <row r="1002">
      <c r="O1002" s="86"/>
      <c r="P1002" s="86"/>
      <c r="Q1002" s="86"/>
      <c r="R1002" s="86"/>
      <c r="S1002" s="86"/>
      <c r="T1002" s="86"/>
    </row>
    <row r="1003">
      <c r="O1003" s="86"/>
      <c r="P1003" s="86"/>
      <c r="Q1003" s="86"/>
      <c r="R1003" s="86"/>
      <c r="S1003" s="86"/>
      <c r="T1003" s="86"/>
    </row>
    <row r="1004">
      <c r="O1004" s="86"/>
      <c r="P1004" s="86"/>
      <c r="Q1004" s="86"/>
      <c r="R1004" s="86"/>
      <c r="S1004" s="86"/>
      <c r="T1004" s="86"/>
    </row>
    <row r="1005">
      <c r="O1005" s="86"/>
      <c r="P1005" s="86"/>
      <c r="Q1005" s="86"/>
      <c r="R1005" s="86"/>
      <c r="S1005" s="86"/>
      <c r="T1005" s="86"/>
    </row>
    <row r="1006">
      <c r="O1006" s="86"/>
      <c r="P1006" s="86"/>
      <c r="Q1006" s="86"/>
      <c r="R1006" s="86"/>
      <c r="S1006" s="86"/>
      <c r="T1006" s="86"/>
    </row>
    <row r="1007">
      <c r="O1007" s="86"/>
      <c r="P1007" s="86"/>
      <c r="Q1007" s="86"/>
      <c r="R1007" s="86"/>
      <c r="S1007" s="86"/>
      <c r="T1007" s="86"/>
    </row>
    <row r="1008">
      <c r="O1008" s="86"/>
      <c r="P1008" s="86"/>
      <c r="Q1008" s="86"/>
      <c r="R1008" s="86"/>
      <c r="S1008" s="86"/>
      <c r="T1008" s="86"/>
    </row>
    <row r="1009">
      <c r="O1009" s="86"/>
      <c r="P1009" s="86"/>
      <c r="Q1009" s="86"/>
      <c r="R1009" s="86"/>
      <c r="S1009" s="86"/>
      <c r="T1009" s="86"/>
    </row>
    <row r="1010">
      <c r="O1010" s="86"/>
      <c r="P1010" s="86"/>
      <c r="Q1010" s="86"/>
      <c r="R1010" s="86"/>
      <c r="S1010" s="86"/>
      <c r="T1010" s="86"/>
    </row>
    <row r="1011">
      <c r="O1011" s="86"/>
      <c r="P1011" s="86"/>
      <c r="Q1011" s="86"/>
      <c r="R1011" s="86"/>
      <c r="S1011" s="86"/>
      <c r="T1011" s="86"/>
    </row>
    <row r="1012">
      <c r="O1012" s="86"/>
      <c r="P1012" s="86"/>
      <c r="Q1012" s="86"/>
      <c r="R1012" s="86"/>
      <c r="S1012" s="86"/>
      <c r="T1012" s="86"/>
    </row>
    <row r="1013">
      <c r="O1013" s="86"/>
      <c r="P1013" s="86"/>
      <c r="Q1013" s="86"/>
      <c r="R1013" s="86"/>
      <c r="S1013" s="86"/>
      <c r="T1013" s="86"/>
    </row>
    <row r="1014">
      <c r="O1014" s="86"/>
      <c r="P1014" s="86"/>
      <c r="Q1014" s="86"/>
      <c r="R1014" s="86"/>
      <c r="S1014" s="86"/>
      <c r="T1014" s="86"/>
    </row>
    <row r="1015">
      <c r="O1015" s="86"/>
      <c r="P1015" s="86"/>
      <c r="Q1015" s="86"/>
      <c r="R1015" s="86"/>
      <c r="S1015" s="86"/>
      <c r="T1015" s="86"/>
    </row>
    <row r="1016">
      <c r="O1016" s="86"/>
      <c r="P1016" s="86"/>
      <c r="Q1016" s="86"/>
      <c r="R1016" s="86"/>
      <c r="S1016" s="86"/>
      <c r="T1016" s="86"/>
    </row>
    <row r="1017">
      <c r="O1017" s="86"/>
      <c r="P1017" s="86"/>
      <c r="Q1017" s="86"/>
      <c r="R1017" s="86"/>
      <c r="S1017" s="86"/>
      <c r="T1017" s="86"/>
    </row>
    <row r="1018">
      <c r="O1018" s="86"/>
      <c r="P1018" s="86"/>
      <c r="Q1018" s="86"/>
      <c r="R1018" s="86"/>
      <c r="S1018" s="86"/>
      <c r="T1018" s="86"/>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6" width="7.5"/>
    <col customWidth="1" min="7" max="7" width="7.38"/>
    <col customWidth="1" min="8" max="8" width="6.38"/>
    <col customWidth="1" min="9" max="9" width="7.5"/>
    <col customWidth="1" min="10" max="10" width="6.75"/>
    <col customWidth="1" min="11" max="11" width="21.63"/>
    <col customWidth="1" min="12" max="12" width="23.5"/>
    <col customWidth="1" min="13" max="13" width="21.88"/>
    <col customWidth="1" min="14" max="14" width="24.63"/>
    <col customWidth="1" min="15" max="15" width="5.88"/>
    <col customWidth="1" min="16" max="16" width="26.88"/>
    <col customWidth="1" min="17" max="17" width="4.25"/>
    <col customWidth="1" min="18" max="18" width="25.63"/>
    <col customWidth="1" min="19" max="19" width="4.13"/>
    <col customWidth="1" min="20" max="20" width="25.5"/>
    <col customWidth="1" min="21" max="21" width="4.25"/>
  </cols>
  <sheetData>
    <row r="1">
      <c r="A1" s="1" t="s">
        <v>1822</v>
      </c>
      <c r="O1" s="86"/>
      <c r="P1" s="87"/>
      <c r="Q1" s="87"/>
      <c r="R1" s="87"/>
      <c r="S1" s="87"/>
      <c r="T1" s="87"/>
      <c r="U1" s="87"/>
    </row>
    <row r="2">
      <c r="A2" s="2" t="s">
        <v>781</v>
      </c>
      <c r="B2" s="2" t="s">
        <v>1823</v>
      </c>
      <c r="C2" s="3" t="s">
        <v>3</v>
      </c>
      <c r="D2" s="4" t="s">
        <v>4</v>
      </c>
      <c r="E2" s="117"/>
      <c r="F2" s="5">
        <f>SUM(F11:F111)+1</f>
        <v>20</v>
      </c>
      <c r="K2" s="7" t="s">
        <v>5</v>
      </c>
      <c r="L2" s="8" t="s">
        <v>6</v>
      </c>
      <c r="M2" s="8" t="s">
        <v>7</v>
      </c>
      <c r="N2" s="8" t="s">
        <v>8</v>
      </c>
      <c r="O2" s="88"/>
      <c r="P2" s="9" t="s">
        <v>9</v>
      </c>
      <c r="Q2" s="89"/>
      <c r="R2" s="90"/>
      <c r="S2" s="90"/>
      <c r="T2" s="90"/>
      <c r="U2" s="91"/>
    </row>
    <row r="3">
      <c r="A3" s="2" t="s">
        <v>1824</v>
      </c>
      <c r="C3" s="15"/>
      <c r="D3" s="16" t="s">
        <v>12</v>
      </c>
      <c r="E3" s="16"/>
      <c r="F3" s="17">
        <f>SUM(I11:I111)+15-SUM(J11:J111)</f>
        <v>21384</v>
      </c>
      <c r="L3" s="74" t="s">
        <v>815</v>
      </c>
      <c r="M3" s="127" t="s">
        <v>785</v>
      </c>
      <c r="N3" s="74" t="s">
        <v>1338</v>
      </c>
      <c r="O3" s="88"/>
      <c r="P3" s="118" t="s">
        <v>290</v>
      </c>
      <c r="Q3" s="118">
        <v>10.0</v>
      </c>
      <c r="R3" s="118" t="s">
        <v>1159</v>
      </c>
      <c r="S3" s="118">
        <v>4.0</v>
      </c>
      <c r="T3" s="93"/>
      <c r="U3" s="93"/>
    </row>
    <row r="4">
      <c r="C4" s="26"/>
      <c r="D4" s="27" t="s">
        <v>15</v>
      </c>
      <c r="E4" s="119"/>
      <c r="F4" s="94">
        <f>SUM(G11:G111)-SUM(H11:H111)</f>
        <v>9</v>
      </c>
      <c r="L4" s="78" t="s">
        <v>1825</v>
      </c>
      <c r="M4" s="78" t="s">
        <v>1826</v>
      </c>
      <c r="N4" s="33" t="s">
        <v>1358</v>
      </c>
      <c r="O4" s="88"/>
      <c r="P4" s="120" t="s">
        <v>1827</v>
      </c>
      <c r="Q4" s="120">
        <v>2.0</v>
      </c>
      <c r="R4" s="120" t="s">
        <v>937</v>
      </c>
      <c r="S4" s="120">
        <v>0.0</v>
      </c>
      <c r="T4" s="95"/>
      <c r="U4" s="95"/>
    </row>
    <row r="5">
      <c r="L5" s="34" t="s">
        <v>511</v>
      </c>
      <c r="M5" s="44" t="s">
        <v>1828</v>
      </c>
      <c r="N5" s="44" t="s">
        <v>1627</v>
      </c>
      <c r="O5" s="88"/>
      <c r="P5" s="118" t="s">
        <v>1829</v>
      </c>
      <c r="Q5" s="118">
        <v>2.0</v>
      </c>
      <c r="R5" s="118" t="s">
        <v>1830</v>
      </c>
      <c r="S5" s="118">
        <v>2.0</v>
      </c>
      <c r="T5" s="93"/>
      <c r="U5" s="93"/>
    </row>
    <row r="6">
      <c r="N6" s="78" t="s">
        <v>292</v>
      </c>
      <c r="O6" s="88"/>
      <c r="P6" s="120" t="s">
        <v>1831</v>
      </c>
      <c r="Q6" s="120">
        <v>5.0</v>
      </c>
      <c r="R6" s="120" t="s">
        <v>788</v>
      </c>
      <c r="S6" s="120">
        <v>1.0</v>
      </c>
      <c r="T6" s="95"/>
      <c r="U6" s="95"/>
    </row>
    <row r="7">
      <c r="O7" s="96"/>
      <c r="P7" s="118" t="s">
        <v>1832</v>
      </c>
      <c r="Q7" s="118">
        <v>5.0</v>
      </c>
      <c r="R7" s="93"/>
      <c r="S7" s="93"/>
      <c r="T7" s="118"/>
      <c r="U7" s="118"/>
    </row>
    <row r="8">
      <c r="K8" s="7" t="s">
        <v>17</v>
      </c>
      <c r="L8" s="44"/>
      <c r="M8" s="33" t="s">
        <v>1358</v>
      </c>
      <c r="N8" s="44"/>
      <c r="O8" s="88"/>
      <c r="P8" s="120" t="s">
        <v>470</v>
      </c>
      <c r="Q8" s="120">
        <v>2.0</v>
      </c>
      <c r="R8" s="95"/>
      <c r="S8" s="95"/>
      <c r="T8" s="120"/>
      <c r="U8" s="120"/>
    </row>
    <row r="9">
      <c r="O9" s="96"/>
      <c r="P9" s="118" t="s">
        <v>1662</v>
      </c>
      <c r="Q9" s="118">
        <v>1.0</v>
      </c>
      <c r="R9" s="93"/>
      <c r="S9" s="93"/>
      <c r="T9" s="118"/>
      <c r="U9" s="118"/>
    </row>
    <row r="10">
      <c r="A10" s="37" t="s">
        <v>18</v>
      </c>
      <c r="B10" s="37" t="s">
        <v>19</v>
      </c>
      <c r="C10" s="37" t="s">
        <v>20</v>
      </c>
      <c r="D10" s="37" t="s">
        <v>21</v>
      </c>
      <c r="E10" s="37" t="s">
        <v>399</v>
      </c>
      <c r="F10" s="37" t="s">
        <v>22</v>
      </c>
      <c r="G10" s="37" t="s">
        <v>23</v>
      </c>
      <c r="H10" s="37" t="s">
        <v>24</v>
      </c>
      <c r="I10" s="37" t="s">
        <v>25</v>
      </c>
      <c r="J10" s="37" t="s">
        <v>26</v>
      </c>
      <c r="K10" s="37" t="s">
        <v>27</v>
      </c>
      <c r="L10" s="37" t="s">
        <v>28</v>
      </c>
      <c r="M10" s="37" t="s">
        <v>1833</v>
      </c>
      <c r="N10" s="37" t="s">
        <v>30</v>
      </c>
      <c r="O10" s="97"/>
      <c r="P10" s="86"/>
      <c r="Q10" s="86"/>
      <c r="R10" s="86"/>
      <c r="S10" s="86"/>
      <c r="T10" s="86"/>
      <c r="U10" s="86"/>
      <c r="V10" s="38"/>
      <c r="W10" s="38"/>
      <c r="X10" s="38"/>
      <c r="Y10" s="38"/>
      <c r="Z10" s="38"/>
      <c r="AA10" s="38"/>
      <c r="AB10" s="38"/>
      <c r="AC10" s="38"/>
      <c r="AD10" s="38"/>
    </row>
    <row r="11">
      <c r="A11" s="39">
        <v>43756.0</v>
      </c>
      <c r="B11" s="2" t="s">
        <v>1834</v>
      </c>
      <c r="C11" s="2" t="s">
        <v>1835</v>
      </c>
      <c r="D11" s="2" t="s">
        <v>408</v>
      </c>
      <c r="E11" s="2"/>
      <c r="F11" s="2">
        <v>2.0</v>
      </c>
      <c r="G11" s="2">
        <v>20.0</v>
      </c>
      <c r="I11" s="2">
        <v>80.0</v>
      </c>
      <c r="K11" s="2" t="s">
        <v>1836</v>
      </c>
      <c r="O11" s="86"/>
      <c r="P11" s="86"/>
      <c r="Q11" s="86"/>
      <c r="R11" s="86"/>
      <c r="S11" s="86"/>
      <c r="T11" s="86"/>
      <c r="U11" s="86"/>
    </row>
    <row r="12">
      <c r="A12" s="39">
        <v>43757.0</v>
      </c>
      <c r="B12" s="2" t="s">
        <v>1837</v>
      </c>
      <c r="C12" s="2" t="s">
        <v>580</v>
      </c>
      <c r="D12" s="2" t="s">
        <v>1838</v>
      </c>
      <c r="E12" s="2"/>
      <c r="F12" s="2">
        <v>2.0</v>
      </c>
      <c r="G12" s="2">
        <v>30.0</v>
      </c>
      <c r="H12" s="2">
        <v>20.0</v>
      </c>
      <c r="I12" s="2">
        <v>119.0</v>
      </c>
      <c r="J12" s="2">
        <v>200.0</v>
      </c>
      <c r="K12" s="2" t="s">
        <v>313</v>
      </c>
      <c r="N12" s="2" t="s">
        <v>1839</v>
      </c>
      <c r="O12" s="86"/>
      <c r="P12" s="86"/>
      <c r="Q12" s="86"/>
      <c r="R12" s="86"/>
      <c r="S12" s="86"/>
      <c r="T12" s="86"/>
      <c r="U12" s="86"/>
    </row>
    <row r="13">
      <c r="A13" s="40">
        <v>43757.0</v>
      </c>
      <c r="B13" s="41" t="s">
        <v>1840</v>
      </c>
      <c r="C13" s="41" t="s">
        <v>1841</v>
      </c>
      <c r="D13" s="41" t="s">
        <v>448</v>
      </c>
      <c r="E13" s="41"/>
      <c r="F13" s="41">
        <v>1.0</v>
      </c>
      <c r="G13" s="41">
        <v>20.0</v>
      </c>
      <c r="H13" s="42"/>
      <c r="I13" s="41">
        <v>120.0</v>
      </c>
      <c r="J13" s="42"/>
      <c r="K13" s="41" t="s">
        <v>150</v>
      </c>
      <c r="L13" s="42"/>
      <c r="M13" s="42"/>
      <c r="N13" s="41" t="s">
        <v>1842</v>
      </c>
      <c r="O13" s="83"/>
      <c r="P13" s="83"/>
      <c r="Q13" s="83"/>
      <c r="R13" s="83"/>
      <c r="S13" s="83"/>
      <c r="T13" s="83"/>
      <c r="U13" s="83"/>
      <c r="V13" s="42"/>
      <c r="W13" s="42"/>
      <c r="X13" s="42"/>
      <c r="Y13" s="42"/>
      <c r="Z13" s="42"/>
      <c r="AA13" s="42"/>
      <c r="AB13" s="42"/>
      <c r="AC13" s="42"/>
      <c r="AD13" s="42"/>
    </row>
    <row r="14">
      <c r="A14" s="40">
        <v>43757.0</v>
      </c>
      <c r="B14" s="41" t="s">
        <v>461</v>
      </c>
      <c r="C14" s="41" t="s">
        <v>379</v>
      </c>
      <c r="D14" s="41" t="s">
        <v>1843</v>
      </c>
      <c r="E14" s="41"/>
      <c r="F14" s="41">
        <v>1.0</v>
      </c>
      <c r="G14" s="41">
        <v>20.0</v>
      </c>
      <c r="H14" s="41">
        <v>20.0</v>
      </c>
      <c r="I14" s="41">
        <v>120.0</v>
      </c>
      <c r="J14" s="42"/>
      <c r="K14" s="41" t="s">
        <v>511</v>
      </c>
      <c r="L14" s="42"/>
      <c r="M14" s="42"/>
      <c r="N14" s="41" t="s">
        <v>1844</v>
      </c>
      <c r="O14" s="83"/>
      <c r="P14" s="83"/>
      <c r="Q14" s="83"/>
      <c r="R14" s="83"/>
      <c r="S14" s="83"/>
      <c r="T14" s="83"/>
      <c r="U14" s="83"/>
      <c r="V14" s="42"/>
      <c r="W14" s="42"/>
      <c r="X14" s="42"/>
      <c r="Y14" s="42"/>
      <c r="Z14" s="42"/>
      <c r="AA14" s="42"/>
      <c r="AB14" s="42"/>
      <c r="AC14" s="42"/>
      <c r="AD14" s="42"/>
    </row>
    <row r="15">
      <c r="A15" s="40">
        <v>43760.0</v>
      </c>
      <c r="B15" s="41" t="s">
        <v>584</v>
      </c>
      <c r="C15" s="41" t="s">
        <v>585</v>
      </c>
      <c r="D15" s="41" t="s">
        <v>1845</v>
      </c>
      <c r="E15" s="41"/>
      <c r="F15" s="41">
        <v>1.0</v>
      </c>
      <c r="G15" s="41">
        <v>20.0</v>
      </c>
      <c r="H15" s="42"/>
      <c r="I15" s="41">
        <v>120.0</v>
      </c>
      <c r="J15" s="42"/>
      <c r="K15" s="41"/>
      <c r="L15" s="42"/>
      <c r="M15" s="42"/>
      <c r="N15" s="42"/>
      <c r="O15" s="83"/>
      <c r="P15" s="83"/>
      <c r="Q15" s="83"/>
      <c r="R15" s="83"/>
      <c r="S15" s="83"/>
      <c r="T15" s="83"/>
      <c r="U15" s="83"/>
      <c r="V15" s="42"/>
      <c r="W15" s="42"/>
      <c r="X15" s="42"/>
      <c r="Y15" s="42"/>
      <c r="Z15" s="42"/>
      <c r="AA15" s="42"/>
      <c r="AB15" s="42"/>
      <c r="AC15" s="42"/>
      <c r="AD15" s="42"/>
    </row>
    <row r="16">
      <c r="A16" s="40">
        <v>43784.0</v>
      </c>
      <c r="B16" s="42"/>
      <c r="C16" s="41" t="s">
        <v>40</v>
      </c>
      <c r="D16" s="42"/>
      <c r="E16" s="42"/>
      <c r="F16" s="42"/>
      <c r="G16" s="42"/>
      <c r="H16" s="41">
        <v>15.0</v>
      </c>
      <c r="I16" s="42"/>
      <c r="J16" s="42"/>
      <c r="K16" s="41" t="s">
        <v>1846</v>
      </c>
      <c r="L16" s="42"/>
      <c r="M16" s="42"/>
      <c r="N16" s="41" t="s">
        <v>1847</v>
      </c>
      <c r="O16" s="83"/>
      <c r="P16" s="83"/>
      <c r="Q16" s="83"/>
      <c r="R16" s="83"/>
      <c r="S16" s="83"/>
      <c r="T16" s="83"/>
      <c r="U16" s="83"/>
      <c r="V16" s="42"/>
      <c r="W16" s="42"/>
      <c r="X16" s="42"/>
      <c r="Y16" s="42"/>
      <c r="Z16" s="42"/>
      <c r="AA16" s="42"/>
      <c r="AB16" s="42"/>
      <c r="AC16" s="42"/>
      <c r="AD16" s="42"/>
    </row>
    <row r="17">
      <c r="A17" s="40">
        <v>43792.0</v>
      </c>
      <c r="B17" s="42"/>
      <c r="C17" s="41" t="s">
        <v>40</v>
      </c>
      <c r="D17" s="41" t="s">
        <v>58</v>
      </c>
      <c r="E17" s="42"/>
      <c r="F17" s="42"/>
      <c r="G17" s="42"/>
      <c r="H17" s="41">
        <v>15.0</v>
      </c>
      <c r="I17" s="42"/>
      <c r="J17" s="42"/>
      <c r="K17" s="41" t="s">
        <v>1848</v>
      </c>
      <c r="L17" s="42"/>
      <c r="M17" s="42"/>
      <c r="N17" s="41" t="s">
        <v>1849</v>
      </c>
      <c r="O17" s="83"/>
      <c r="P17" s="83"/>
      <c r="Q17" s="83"/>
      <c r="R17" s="83"/>
      <c r="S17" s="83"/>
      <c r="T17" s="83"/>
      <c r="U17" s="83"/>
      <c r="V17" s="42"/>
      <c r="W17" s="42"/>
      <c r="X17" s="42"/>
      <c r="Y17" s="42"/>
      <c r="Z17" s="42"/>
      <c r="AA17" s="42"/>
      <c r="AB17" s="42"/>
      <c r="AC17" s="42"/>
      <c r="AD17" s="42"/>
    </row>
    <row r="18">
      <c r="A18" s="40">
        <v>43792.0</v>
      </c>
      <c r="B18" s="42"/>
      <c r="C18" s="41" t="s">
        <v>40</v>
      </c>
      <c r="D18" s="42"/>
      <c r="E18" s="42"/>
      <c r="F18" s="42"/>
      <c r="G18" s="42"/>
      <c r="H18" s="41">
        <v>15.0</v>
      </c>
      <c r="I18" s="42"/>
      <c r="J18" s="42"/>
      <c r="K18" s="41" t="s">
        <v>1406</v>
      </c>
      <c r="L18" s="42"/>
      <c r="M18" s="42"/>
      <c r="N18" s="41" t="s">
        <v>1850</v>
      </c>
      <c r="O18" s="83"/>
      <c r="P18" s="83"/>
      <c r="Q18" s="83"/>
      <c r="R18" s="83"/>
      <c r="S18" s="83"/>
      <c r="T18" s="83"/>
      <c r="U18" s="83"/>
      <c r="V18" s="42"/>
      <c r="W18" s="42"/>
      <c r="X18" s="42"/>
      <c r="Y18" s="42"/>
      <c r="Z18" s="42"/>
      <c r="AA18" s="42"/>
      <c r="AB18" s="42"/>
      <c r="AC18" s="42"/>
      <c r="AD18" s="42"/>
    </row>
    <row r="19">
      <c r="A19" s="40">
        <v>43820.0</v>
      </c>
      <c r="B19" s="41" t="s">
        <v>1851</v>
      </c>
      <c r="C19" s="41" t="s">
        <v>225</v>
      </c>
      <c r="D19" s="41" t="s">
        <v>408</v>
      </c>
      <c r="E19" s="41"/>
      <c r="F19" s="41">
        <v>1.0</v>
      </c>
      <c r="G19" s="41">
        <v>20.0</v>
      </c>
      <c r="H19" s="42"/>
      <c r="I19" s="41">
        <v>90.0</v>
      </c>
      <c r="J19" s="42"/>
      <c r="K19" s="41" t="s">
        <v>227</v>
      </c>
      <c r="L19" s="41"/>
      <c r="M19" s="42"/>
      <c r="N19" s="41" t="s">
        <v>1852</v>
      </c>
      <c r="O19" s="83"/>
      <c r="P19" s="83"/>
      <c r="Q19" s="83"/>
      <c r="R19" s="83"/>
      <c r="S19" s="83"/>
      <c r="T19" s="83"/>
      <c r="U19" s="83"/>
      <c r="V19" s="42"/>
      <c r="W19" s="42"/>
      <c r="X19" s="42"/>
      <c r="Y19" s="42"/>
      <c r="Z19" s="42"/>
      <c r="AA19" s="42"/>
      <c r="AB19" s="42"/>
      <c r="AC19" s="42"/>
      <c r="AD19" s="42"/>
    </row>
    <row r="20">
      <c r="A20" s="40">
        <v>43820.0</v>
      </c>
      <c r="B20" s="42"/>
      <c r="C20" s="41" t="s">
        <v>40</v>
      </c>
      <c r="D20" s="42"/>
      <c r="E20" s="42"/>
      <c r="F20" s="42"/>
      <c r="G20" s="42"/>
      <c r="H20" s="41">
        <v>15.0</v>
      </c>
      <c r="I20" s="42"/>
      <c r="J20" s="42"/>
      <c r="K20" s="41" t="s">
        <v>146</v>
      </c>
      <c r="L20" s="42"/>
      <c r="M20" s="42"/>
      <c r="N20" s="41" t="s">
        <v>1853</v>
      </c>
      <c r="O20" s="83"/>
      <c r="P20" s="83"/>
      <c r="Q20" s="83"/>
      <c r="R20" s="83"/>
      <c r="S20" s="83"/>
      <c r="T20" s="83"/>
      <c r="U20" s="83"/>
      <c r="V20" s="42"/>
      <c r="W20" s="42"/>
      <c r="X20" s="42"/>
      <c r="Y20" s="42"/>
      <c r="Z20" s="42"/>
      <c r="AA20" s="42"/>
      <c r="AB20" s="42"/>
      <c r="AC20" s="42"/>
      <c r="AD20" s="42"/>
    </row>
    <row r="21">
      <c r="A21" s="40">
        <v>43832.0</v>
      </c>
      <c r="B21" s="41" t="s">
        <v>1685</v>
      </c>
      <c r="C21" s="41" t="s">
        <v>1686</v>
      </c>
      <c r="D21" s="41" t="s">
        <v>408</v>
      </c>
      <c r="E21" s="41"/>
      <c r="F21" s="41">
        <v>1.0</v>
      </c>
      <c r="G21" s="41">
        <v>20.0</v>
      </c>
      <c r="H21" s="42"/>
      <c r="I21" s="41">
        <v>90.0</v>
      </c>
      <c r="J21" s="42"/>
      <c r="K21" s="41" t="s">
        <v>1854</v>
      </c>
      <c r="L21" s="42"/>
      <c r="M21" s="42"/>
      <c r="N21" s="41" t="s">
        <v>1855</v>
      </c>
      <c r="O21" s="83"/>
      <c r="P21" s="83"/>
      <c r="Q21" s="83"/>
      <c r="R21" s="83"/>
      <c r="S21" s="83"/>
      <c r="T21" s="83"/>
      <c r="U21" s="83"/>
      <c r="V21" s="42"/>
      <c r="W21" s="42"/>
      <c r="X21" s="42"/>
      <c r="Y21" s="42"/>
      <c r="Z21" s="42"/>
      <c r="AA21" s="42"/>
      <c r="AB21" s="42"/>
      <c r="AC21" s="42"/>
      <c r="AD21" s="42"/>
    </row>
    <row r="22">
      <c r="A22" s="40">
        <v>43832.0</v>
      </c>
      <c r="B22" s="41" t="s">
        <v>1856</v>
      </c>
      <c r="C22" s="41" t="s">
        <v>1857</v>
      </c>
      <c r="D22" s="41" t="s">
        <v>408</v>
      </c>
      <c r="E22" s="41"/>
      <c r="F22" s="41">
        <v>1.0</v>
      </c>
      <c r="G22" s="41">
        <v>20.0</v>
      </c>
      <c r="H22" s="42"/>
      <c r="I22" s="41">
        <v>30.0</v>
      </c>
      <c r="J22" s="42"/>
      <c r="K22" s="41" t="s">
        <v>1216</v>
      </c>
      <c r="L22" s="42"/>
      <c r="M22" s="42"/>
      <c r="N22" s="42"/>
      <c r="O22" s="83"/>
      <c r="P22" s="83"/>
      <c r="Q22" s="83"/>
      <c r="R22" s="83"/>
      <c r="S22" s="83"/>
      <c r="T22" s="83"/>
      <c r="U22" s="83"/>
      <c r="V22" s="42"/>
      <c r="W22" s="42"/>
      <c r="X22" s="42"/>
      <c r="Y22" s="42"/>
      <c r="Z22" s="42"/>
      <c r="AA22" s="42"/>
      <c r="AB22" s="42"/>
      <c r="AC22" s="42"/>
      <c r="AD22" s="42"/>
    </row>
    <row r="23">
      <c r="A23" s="39">
        <v>43838.0</v>
      </c>
      <c r="C23" s="2" t="s">
        <v>40</v>
      </c>
      <c r="D23" s="2" t="s">
        <v>1716</v>
      </c>
      <c r="H23" s="2">
        <v>15.0</v>
      </c>
      <c r="K23" s="2" t="s">
        <v>511</v>
      </c>
      <c r="N23" s="2" t="s">
        <v>1858</v>
      </c>
      <c r="O23" s="86"/>
      <c r="P23" s="86"/>
      <c r="Q23" s="86"/>
      <c r="R23" s="86"/>
      <c r="S23" s="86"/>
      <c r="T23" s="86"/>
      <c r="U23" s="86"/>
    </row>
    <row r="24">
      <c r="A24" s="39">
        <v>43839.0</v>
      </c>
      <c r="B24" s="2" t="s">
        <v>1859</v>
      </c>
      <c r="C24" s="2" t="s">
        <v>1860</v>
      </c>
      <c r="D24" s="2" t="s">
        <v>1142</v>
      </c>
      <c r="E24" s="2"/>
      <c r="F24" s="2">
        <v>1.0</v>
      </c>
      <c r="G24" s="2">
        <v>20.0</v>
      </c>
      <c r="I24" s="2">
        <v>800.0</v>
      </c>
      <c r="K24" s="2" t="s">
        <v>76</v>
      </c>
      <c r="N24" s="2" t="s">
        <v>1861</v>
      </c>
      <c r="O24" s="86"/>
      <c r="P24" s="86"/>
      <c r="Q24" s="86"/>
      <c r="R24" s="86"/>
      <c r="S24" s="86"/>
      <c r="T24" s="86"/>
      <c r="U24" s="86"/>
    </row>
    <row r="25">
      <c r="A25" s="39">
        <v>43853.0</v>
      </c>
      <c r="C25" s="2" t="s">
        <v>40</v>
      </c>
      <c r="H25" s="2">
        <v>15.0</v>
      </c>
      <c r="K25" s="2" t="s">
        <v>1104</v>
      </c>
      <c r="N25" s="2" t="s">
        <v>1862</v>
      </c>
      <c r="O25" s="86"/>
      <c r="P25" s="86"/>
      <c r="Q25" s="86"/>
      <c r="R25" s="86"/>
      <c r="S25" s="86"/>
      <c r="T25" s="86"/>
      <c r="U25" s="86"/>
    </row>
    <row r="26">
      <c r="A26" s="39">
        <v>43864.0</v>
      </c>
      <c r="B26" s="2"/>
      <c r="C26" s="2" t="s">
        <v>40</v>
      </c>
      <c r="D26" s="2"/>
      <c r="E26" s="2"/>
      <c r="F26" s="2"/>
      <c r="G26" s="2"/>
      <c r="H26" s="2">
        <v>15.0</v>
      </c>
      <c r="I26" s="2"/>
      <c r="K26" s="2" t="s">
        <v>259</v>
      </c>
      <c r="N26" s="2" t="s">
        <v>1863</v>
      </c>
      <c r="O26" s="86"/>
      <c r="P26" s="86"/>
      <c r="Q26" s="86"/>
      <c r="R26" s="86"/>
      <c r="S26" s="86"/>
      <c r="T26" s="86"/>
      <c r="U26" s="86"/>
    </row>
    <row r="27">
      <c r="A27" s="39">
        <v>43868.0</v>
      </c>
      <c r="C27" s="2" t="s">
        <v>40</v>
      </c>
      <c r="H27" s="2">
        <v>15.0</v>
      </c>
      <c r="K27" s="2" t="s">
        <v>552</v>
      </c>
      <c r="N27" s="2" t="s">
        <v>1864</v>
      </c>
      <c r="O27" s="86"/>
      <c r="P27" s="86"/>
      <c r="Q27" s="86"/>
      <c r="R27" s="86"/>
      <c r="S27" s="86"/>
      <c r="T27" s="86"/>
      <c r="U27" s="86"/>
    </row>
    <row r="28">
      <c r="A28" s="39">
        <v>43870.0</v>
      </c>
      <c r="B28" s="2" t="s">
        <v>1718</v>
      </c>
      <c r="C28" s="2" t="s">
        <v>1050</v>
      </c>
      <c r="D28" s="2" t="s">
        <v>1865</v>
      </c>
      <c r="E28" s="2"/>
      <c r="F28" s="2">
        <v>1.0</v>
      </c>
      <c r="G28" s="2">
        <v>20.0</v>
      </c>
      <c r="I28" s="2">
        <v>800.0</v>
      </c>
      <c r="K28" s="2" t="s">
        <v>259</v>
      </c>
      <c r="O28" s="86"/>
      <c r="P28" s="86"/>
      <c r="Q28" s="86"/>
      <c r="R28" s="86"/>
      <c r="S28" s="86"/>
      <c r="T28" s="86"/>
      <c r="U28" s="86"/>
    </row>
    <row r="29">
      <c r="A29" s="39">
        <v>43872.0</v>
      </c>
      <c r="B29" s="157" t="s">
        <v>1866</v>
      </c>
      <c r="C29" s="2" t="s">
        <v>1434</v>
      </c>
      <c r="D29" s="2" t="s">
        <v>1867</v>
      </c>
      <c r="E29" s="2"/>
      <c r="F29" s="2">
        <v>1.0</v>
      </c>
      <c r="G29" s="2">
        <v>20.0</v>
      </c>
      <c r="I29" s="2">
        <v>800.0</v>
      </c>
      <c r="J29" s="2">
        <v>500.0</v>
      </c>
      <c r="K29" s="2" t="s">
        <v>289</v>
      </c>
      <c r="N29" s="2" t="s">
        <v>1868</v>
      </c>
      <c r="O29" s="86"/>
      <c r="P29" s="86"/>
      <c r="Q29" s="86"/>
      <c r="R29" s="86"/>
      <c r="S29" s="86"/>
      <c r="T29" s="86"/>
      <c r="U29" s="86"/>
    </row>
    <row r="30">
      <c r="A30" s="39">
        <v>43872.0</v>
      </c>
      <c r="C30" s="2" t="s">
        <v>40</v>
      </c>
      <c r="D30" s="2" t="s">
        <v>1869</v>
      </c>
      <c r="H30" s="2">
        <v>15.0</v>
      </c>
      <c r="K30" s="2" t="s">
        <v>1870</v>
      </c>
      <c r="N30" s="2" t="s">
        <v>1871</v>
      </c>
      <c r="O30" s="86"/>
      <c r="P30" s="86"/>
      <c r="Q30" s="86"/>
      <c r="R30" s="86"/>
      <c r="S30" s="86"/>
      <c r="T30" s="86"/>
      <c r="U30" s="86"/>
    </row>
    <row r="31">
      <c r="A31" s="39">
        <v>43873.0</v>
      </c>
      <c r="C31" s="2" t="s">
        <v>40</v>
      </c>
      <c r="H31" s="2">
        <v>15.0</v>
      </c>
      <c r="K31" s="2" t="s">
        <v>615</v>
      </c>
      <c r="N31" s="2" t="s">
        <v>1872</v>
      </c>
      <c r="O31" s="86"/>
      <c r="P31" s="86"/>
      <c r="Q31" s="86"/>
      <c r="R31" s="86"/>
      <c r="S31" s="86"/>
      <c r="T31" s="86"/>
      <c r="U31" s="86"/>
    </row>
    <row r="32">
      <c r="A32" s="39">
        <v>43873.0</v>
      </c>
      <c r="C32" s="2" t="s">
        <v>40</v>
      </c>
      <c r="D32" s="2" t="s">
        <v>1716</v>
      </c>
      <c r="H32" s="2">
        <v>15.0</v>
      </c>
      <c r="K32" s="2" t="s">
        <v>362</v>
      </c>
      <c r="N32" s="2" t="s">
        <v>1873</v>
      </c>
      <c r="O32" s="86"/>
      <c r="P32" s="86"/>
      <c r="Q32" s="86"/>
      <c r="R32" s="86"/>
      <c r="S32" s="86"/>
      <c r="T32" s="86"/>
      <c r="U32" s="86"/>
    </row>
    <row r="33">
      <c r="A33" s="39">
        <v>43874.0</v>
      </c>
      <c r="C33" s="2" t="s">
        <v>40</v>
      </c>
      <c r="H33" s="2">
        <v>15.0</v>
      </c>
      <c r="K33" s="2" t="s">
        <v>261</v>
      </c>
      <c r="N33" s="2" t="s">
        <v>1874</v>
      </c>
      <c r="O33" s="86"/>
      <c r="P33" s="86"/>
      <c r="Q33" s="86"/>
      <c r="R33" s="86"/>
      <c r="S33" s="86"/>
      <c r="T33" s="86"/>
      <c r="U33" s="86"/>
    </row>
    <row r="34">
      <c r="A34" s="39">
        <v>43876.0</v>
      </c>
      <c r="B34" s="2" t="s">
        <v>1875</v>
      </c>
      <c r="C34" s="81" t="s">
        <v>1876</v>
      </c>
      <c r="D34" s="2" t="s">
        <v>544</v>
      </c>
      <c r="E34" s="2"/>
      <c r="F34" s="2">
        <v>1.0</v>
      </c>
      <c r="G34" s="2">
        <v>20.0</v>
      </c>
      <c r="I34" s="2">
        <v>800.0</v>
      </c>
      <c r="K34" s="2" t="s">
        <v>1877</v>
      </c>
      <c r="L34" s="2" t="s">
        <v>290</v>
      </c>
      <c r="O34" s="86"/>
      <c r="P34" s="86"/>
      <c r="Q34" s="86"/>
      <c r="R34" s="86"/>
      <c r="S34" s="86"/>
      <c r="T34" s="86"/>
      <c r="U34" s="86"/>
    </row>
    <row r="35">
      <c r="A35" s="39">
        <v>43886.0</v>
      </c>
      <c r="B35" s="2" t="s">
        <v>1700</v>
      </c>
      <c r="C35" s="2" t="s">
        <v>1442</v>
      </c>
      <c r="D35" s="2" t="s">
        <v>1878</v>
      </c>
      <c r="E35" s="2"/>
      <c r="F35" s="2">
        <v>1.0</v>
      </c>
      <c r="G35" s="2">
        <v>20.0</v>
      </c>
      <c r="I35" s="2">
        <v>600.0</v>
      </c>
      <c r="J35" s="2">
        <v>500.0</v>
      </c>
      <c r="K35" s="2" t="s">
        <v>1104</v>
      </c>
      <c r="L35" s="2"/>
      <c r="M35" s="2" t="s">
        <v>1879</v>
      </c>
      <c r="N35" s="2" t="s">
        <v>1880</v>
      </c>
      <c r="O35" s="86"/>
      <c r="P35" s="86"/>
      <c r="Q35" s="86"/>
      <c r="R35" s="86"/>
      <c r="S35" s="86"/>
      <c r="T35" s="86"/>
      <c r="U35" s="86"/>
    </row>
    <row r="36">
      <c r="A36" s="39">
        <v>43887.0</v>
      </c>
      <c r="C36" s="2" t="s">
        <v>40</v>
      </c>
      <c r="D36" s="2" t="s">
        <v>1881</v>
      </c>
      <c r="H36" s="2">
        <v>15.0</v>
      </c>
      <c r="K36" s="2" t="s">
        <v>1882</v>
      </c>
      <c r="N36" s="2" t="s">
        <v>1883</v>
      </c>
      <c r="O36" s="86"/>
      <c r="P36" s="86"/>
      <c r="Q36" s="86"/>
      <c r="R36" s="86"/>
      <c r="S36" s="86"/>
      <c r="T36" s="86"/>
      <c r="U36" s="86"/>
    </row>
    <row r="37">
      <c r="A37" s="39">
        <v>43887.0</v>
      </c>
      <c r="B37" s="2" t="s">
        <v>1884</v>
      </c>
      <c r="C37" s="2" t="s">
        <v>1885</v>
      </c>
      <c r="D37" s="2" t="s">
        <v>1886</v>
      </c>
      <c r="E37" s="2"/>
      <c r="F37" s="2">
        <v>0.0</v>
      </c>
      <c r="I37" s="2">
        <v>800.0</v>
      </c>
      <c r="K37" s="2" t="s">
        <v>732</v>
      </c>
      <c r="L37" s="2" t="s">
        <v>1887</v>
      </c>
      <c r="O37" s="86"/>
      <c r="P37" s="86"/>
      <c r="Q37" s="86"/>
      <c r="R37" s="86"/>
      <c r="S37" s="86"/>
      <c r="T37" s="86"/>
      <c r="U37" s="86"/>
    </row>
    <row r="38">
      <c r="A38" s="39">
        <v>43900.0</v>
      </c>
      <c r="B38" s="2" t="s">
        <v>1695</v>
      </c>
      <c r="C38" s="2" t="s">
        <v>1696</v>
      </c>
      <c r="D38" s="2" t="s">
        <v>328</v>
      </c>
      <c r="E38" s="2"/>
      <c r="F38" s="2">
        <v>0.0</v>
      </c>
      <c r="I38" s="2">
        <v>800.0</v>
      </c>
      <c r="J38" s="2">
        <v>2600.0</v>
      </c>
      <c r="K38" s="2" t="s">
        <v>785</v>
      </c>
      <c r="N38" s="2" t="s">
        <v>1888</v>
      </c>
      <c r="O38" s="86"/>
      <c r="P38" s="86"/>
      <c r="Q38" s="86"/>
      <c r="R38" s="86"/>
      <c r="S38" s="86"/>
      <c r="T38" s="86"/>
      <c r="U38" s="86"/>
    </row>
    <row r="39">
      <c r="A39" s="39">
        <v>43905.0</v>
      </c>
      <c r="C39" s="2" t="s">
        <v>40</v>
      </c>
      <c r="H39" s="2">
        <v>15.0</v>
      </c>
      <c r="K39" s="2" t="s">
        <v>1318</v>
      </c>
      <c r="N39" s="2" t="s">
        <v>1889</v>
      </c>
      <c r="O39" s="86"/>
      <c r="P39" s="86"/>
      <c r="Q39" s="86"/>
      <c r="R39" s="86"/>
      <c r="S39" s="86"/>
      <c r="T39" s="86"/>
      <c r="U39" s="86"/>
    </row>
    <row r="40">
      <c r="A40" s="39">
        <v>43911.0</v>
      </c>
      <c r="B40" s="157" t="s">
        <v>1890</v>
      </c>
      <c r="C40" s="157" t="s">
        <v>1726</v>
      </c>
      <c r="D40" s="2" t="s">
        <v>1742</v>
      </c>
      <c r="E40" s="2"/>
      <c r="F40" s="2">
        <v>0.0</v>
      </c>
      <c r="H40" s="2">
        <v>5.0</v>
      </c>
      <c r="J40" s="2">
        <v>1600.0</v>
      </c>
      <c r="M40" s="2" t="s">
        <v>1891</v>
      </c>
      <c r="N40" s="2" t="s">
        <v>1892</v>
      </c>
      <c r="O40" s="86"/>
      <c r="P40" s="86"/>
      <c r="Q40" s="86"/>
      <c r="R40" s="86"/>
      <c r="S40" s="86"/>
      <c r="T40" s="86"/>
      <c r="U40" s="86"/>
    </row>
    <row r="41">
      <c r="A41" s="39">
        <v>43911.0</v>
      </c>
      <c r="B41" s="2" t="s">
        <v>1893</v>
      </c>
      <c r="C41" s="2" t="s">
        <v>1729</v>
      </c>
      <c r="D41" s="2" t="s">
        <v>1894</v>
      </c>
      <c r="E41" s="2"/>
      <c r="F41" s="2">
        <v>0.0</v>
      </c>
      <c r="L41" s="2" t="s">
        <v>1733</v>
      </c>
      <c r="M41" s="2"/>
      <c r="O41" s="86"/>
      <c r="P41" s="86"/>
      <c r="Q41" s="86"/>
      <c r="R41" s="86"/>
      <c r="S41" s="86"/>
      <c r="T41" s="86"/>
      <c r="U41" s="86"/>
    </row>
    <row r="42">
      <c r="A42" s="39">
        <v>43911.0</v>
      </c>
      <c r="B42" s="2" t="s">
        <v>1895</v>
      </c>
      <c r="C42" s="2" t="s">
        <v>1732</v>
      </c>
      <c r="D42" s="2" t="s">
        <v>408</v>
      </c>
      <c r="E42" s="2"/>
      <c r="F42" s="2">
        <v>0.0</v>
      </c>
      <c r="M42" s="2" t="s">
        <v>1896</v>
      </c>
      <c r="O42" s="86"/>
      <c r="P42" s="86"/>
      <c r="Q42" s="86"/>
      <c r="R42" s="86"/>
      <c r="S42" s="86"/>
      <c r="T42" s="86"/>
      <c r="U42" s="86"/>
    </row>
    <row r="43">
      <c r="A43" s="39">
        <v>43926.0</v>
      </c>
      <c r="C43" s="2" t="s">
        <v>40</v>
      </c>
      <c r="H43" s="2">
        <v>15.0</v>
      </c>
      <c r="K43" s="2" t="s">
        <v>1825</v>
      </c>
      <c r="N43" s="2" t="s">
        <v>1897</v>
      </c>
      <c r="O43" s="86"/>
      <c r="P43" s="86"/>
      <c r="Q43" s="86"/>
      <c r="R43" s="86"/>
      <c r="S43" s="86"/>
      <c r="T43" s="86"/>
      <c r="U43" s="86"/>
    </row>
    <row r="44">
      <c r="A44" s="39">
        <v>43953.0</v>
      </c>
      <c r="B44" s="2" t="s">
        <v>1046</v>
      </c>
      <c r="C44" s="2" t="s">
        <v>1047</v>
      </c>
      <c r="D44" s="2" t="s">
        <v>192</v>
      </c>
      <c r="E44" s="2"/>
      <c r="F44" s="2">
        <v>0.0</v>
      </c>
      <c r="I44" s="2">
        <v>400.0</v>
      </c>
      <c r="M44" s="2" t="s">
        <v>1898</v>
      </c>
      <c r="N44" s="2" t="s">
        <v>1899</v>
      </c>
      <c r="O44" s="86"/>
      <c r="P44" s="86"/>
      <c r="Q44" s="86"/>
      <c r="R44" s="86"/>
      <c r="S44" s="86"/>
      <c r="T44" s="86"/>
      <c r="U44" s="86"/>
    </row>
    <row r="45">
      <c r="A45" s="39">
        <v>43984.0</v>
      </c>
      <c r="B45" s="2" t="s">
        <v>1900</v>
      </c>
      <c r="C45" s="2" t="s">
        <v>1901</v>
      </c>
      <c r="D45" s="2" t="s">
        <v>1763</v>
      </c>
      <c r="E45" s="2"/>
      <c r="F45" s="2">
        <v>0.0</v>
      </c>
      <c r="M45" s="2" t="s">
        <v>1902</v>
      </c>
      <c r="O45" s="86"/>
      <c r="P45" s="86"/>
      <c r="Q45" s="86"/>
      <c r="R45" s="86"/>
      <c r="S45" s="86"/>
      <c r="T45" s="86"/>
      <c r="U45" s="86"/>
    </row>
    <row r="46">
      <c r="A46" s="39">
        <v>44006.0</v>
      </c>
      <c r="B46" s="2" t="s">
        <v>1063</v>
      </c>
      <c r="C46" s="2" t="s">
        <v>1064</v>
      </c>
      <c r="D46" s="2" t="s">
        <v>1768</v>
      </c>
      <c r="E46" s="2"/>
      <c r="F46" s="2">
        <v>0.0</v>
      </c>
      <c r="J46" s="2">
        <v>300.0</v>
      </c>
      <c r="M46" s="2" t="s">
        <v>1903</v>
      </c>
      <c r="N46" s="2" t="s">
        <v>1904</v>
      </c>
      <c r="O46" s="86"/>
      <c r="P46" s="86"/>
      <c r="Q46" s="86"/>
      <c r="R46" s="86"/>
      <c r="S46" s="86"/>
      <c r="T46" s="86"/>
      <c r="U46" s="86"/>
    </row>
    <row r="47">
      <c r="A47" s="39">
        <v>44013.0</v>
      </c>
      <c r="B47" s="2" t="s">
        <v>1456</v>
      </c>
      <c r="C47" s="2" t="s">
        <v>1457</v>
      </c>
      <c r="D47" s="2" t="s">
        <v>58</v>
      </c>
      <c r="E47" s="2"/>
      <c r="F47" s="2">
        <v>0.0</v>
      </c>
      <c r="K47" s="2" t="s">
        <v>1458</v>
      </c>
      <c r="P47" s="86"/>
      <c r="Q47" s="86"/>
      <c r="R47" s="86"/>
      <c r="S47" s="86"/>
      <c r="T47" s="86"/>
      <c r="U47" s="86"/>
    </row>
    <row r="48">
      <c r="A48" s="39">
        <v>44022.0</v>
      </c>
      <c r="B48" s="2" t="s">
        <v>1905</v>
      </c>
      <c r="C48" s="2" t="s">
        <v>1906</v>
      </c>
      <c r="D48" s="2" t="s">
        <v>33</v>
      </c>
      <c r="E48" s="2"/>
      <c r="F48" s="2">
        <v>1.0</v>
      </c>
      <c r="G48" s="2">
        <v>20.0</v>
      </c>
      <c r="K48" s="2" t="s">
        <v>1907</v>
      </c>
      <c r="M48" s="2" t="s">
        <v>1908</v>
      </c>
      <c r="O48" s="86"/>
      <c r="P48" s="86"/>
      <c r="Q48" s="86"/>
      <c r="R48" s="86"/>
      <c r="S48" s="86"/>
      <c r="T48" s="86"/>
      <c r="U48" s="86"/>
    </row>
    <row r="49">
      <c r="A49" s="40">
        <v>44025.0</v>
      </c>
      <c r="B49" s="42"/>
      <c r="C49" s="41" t="s">
        <v>1909</v>
      </c>
      <c r="D49" s="42"/>
      <c r="E49" s="41"/>
      <c r="F49" s="41">
        <v>3.0</v>
      </c>
      <c r="G49" s="41">
        <v>60.0</v>
      </c>
      <c r="H49" s="42"/>
      <c r="I49" s="41">
        <v>18000.0</v>
      </c>
      <c r="J49" s="42"/>
      <c r="K49" s="42"/>
      <c r="L49" s="42"/>
      <c r="M49" s="42"/>
      <c r="N49" s="42"/>
      <c r="O49" s="83"/>
      <c r="P49" s="83"/>
      <c r="Q49" s="83"/>
      <c r="R49" s="83"/>
      <c r="S49" s="83"/>
      <c r="T49" s="83"/>
      <c r="U49" s="83"/>
      <c r="V49" s="42"/>
      <c r="W49" s="42"/>
      <c r="X49" s="42"/>
      <c r="Y49" s="42"/>
      <c r="Z49" s="42"/>
      <c r="AA49" s="42"/>
      <c r="AB49" s="42"/>
      <c r="AC49" s="42"/>
      <c r="AD49" s="42"/>
    </row>
    <row r="50">
      <c r="A50" s="40">
        <v>44025.0</v>
      </c>
      <c r="B50" s="41" t="s">
        <v>1910</v>
      </c>
      <c r="C50" s="41" t="s">
        <v>1911</v>
      </c>
      <c r="D50" s="41" t="s">
        <v>333</v>
      </c>
      <c r="E50" s="41"/>
      <c r="F50" s="41">
        <v>0.0</v>
      </c>
      <c r="G50" s="41">
        <v>20.0</v>
      </c>
      <c r="H50" s="41">
        <v>1.0</v>
      </c>
      <c r="I50" s="41">
        <v>5000.0</v>
      </c>
      <c r="J50" s="42"/>
      <c r="K50" s="41" t="s">
        <v>1828</v>
      </c>
      <c r="L50" s="41" t="s">
        <v>1688</v>
      </c>
      <c r="M50" s="165" t="s">
        <v>1912</v>
      </c>
      <c r="N50" s="41" t="s">
        <v>1913</v>
      </c>
      <c r="O50" s="83"/>
      <c r="P50" s="83"/>
      <c r="Q50" s="83"/>
      <c r="R50" s="83"/>
      <c r="S50" s="83"/>
      <c r="T50" s="83"/>
      <c r="U50" s="83"/>
      <c r="V50" s="42"/>
      <c r="W50" s="42"/>
      <c r="X50" s="42"/>
      <c r="Y50" s="42"/>
      <c r="Z50" s="42"/>
      <c r="AA50" s="42"/>
      <c r="AB50" s="42"/>
      <c r="AC50" s="42"/>
      <c r="AD50" s="42"/>
    </row>
    <row r="51">
      <c r="A51" s="40">
        <v>44081.0</v>
      </c>
      <c r="B51" s="42"/>
      <c r="C51" s="41" t="s">
        <v>40</v>
      </c>
      <c r="D51" s="42"/>
      <c r="E51" s="42"/>
      <c r="F51" s="42"/>
      <c r="G51" s="42"/>
      <c r="H51" s="41">
        <v>15.0</v>
      </c>
      <c r="I51" s="42"/>
      <c r="J51" s="42"/>
      <c r="K51" s="41" t="s">
        <v>1914</v>
      </c>
      <c r="L51" s="42"/>
      <c r="M51" s="42"/>
      <c r="N51" s="41" t="s">
        <v>1915</v>
      </c>
      <c r="O51" s="83"/>
      <c r="P51" s="83"/>
      <c r="Q51" s="83"/>
      <c r="R51" s="83"/>
      <c r="S51" s="83"/>
      <c r="T51" s="83"/>
      <c r="U51" s="83"/>
      <c r="V51" s="42"/>
      <c r="W51" s="42"/>
      <c r="X51" s="42"/>
      <c r="Y51" s="42"/>
      <c r="Z51" s="42"/>
      <c r="AA51" s="42"/>
      <c r="AB51" s="42"/>
      <c r="AC51" s="42"/>
      <c r="AD51" s="42"/>
    </row>
    <row r="52">
      <c r="A52" s="40">
        <v>44096.0</v>
      </c>
      <c r="B52" s="42"/>
      <c r="C52" s="41" t="s">
        <v>40</v>
      </c>
      <c r="D52" s="42"/>
      <c r="E52" s="42"/>
      <c r="F52" s="42"/>
      <c r="G52" s="42"/>
      <c r="H52" s="41">
        <v>15.0</v>
      </c>
      <c r="I52" s="42"/>
      <c r="J52" s="42"/>
      <c r="K52" s="41" t="s">
        <v>1358</v>
      </c>
      <c r="L52" s="42"/>
      <c r="M52" s="42"/>
      <c r="N52" s="41" t="s">
        <v>1916</v>
      </c>
      <c r="O52" s="83"/>
      <c r="P52" s="83"/>
      <c r="Q52" s="83"/>
      <c r="R52" s="83"/>
      <c r="S52" s="83"/>
      <c r="T52" s="83"/>
      <c r="U52" s="83"/>
      <c r="V52" s="42"/>
      <c r="W52" s="42"/>
      <c r="X52" s="42"/>
      <c r="Y52" s="42"/>
      <c r="Z52" s="42"/>
      <c r="AA52" s="42"/>
      <c r="AB52" s="42"/>
      <c r="AC52" s="42"/>
      <c r="AD52" s="42"/>
    </row>
    <row r="53">
      <c r="A53" s="40">
        <v>44106.0</v>
      </c>
      <c r="B53" s="42"/>
      <c r="C53" s="41" t="s">
        <v>40</v>
      </c>
      <c r="D53" s="42"/>
      <c r="E53" s="42"/>
      <c r="F53" s="42"/>
      <c r="G53" s="42"/>
      <c r="H53" s="41">
        <v>15.0</v>
      </c>
      <c r="I53" s="42"/>
      <c r="J53" s="42"/>
      <c r="K53" s="41" t="s">
        <v>292</v>
      </c>
      <c r="L53" s="42"/>
      <c r="M53" s="42"/>
      <c r="N53" s="41" t="s">
        <v>1917</v>
      </c>
      <c r="O53" s="83"/>
      <c r="P53" s="83"/>
      <c r="Q53" s="83"/>
      <c r="R53" s="83"/>
      <c r="S53" s="83"/>
      <c r="T53" s="83"/>
      <c r="U53" s="83"/>
      <c r="V53" s="42"/>
      <c r="W53" s="42"/>
      <c r="X53" s="42"/>
      <c r="Y53" s="42"/>
      <c r="Z53" s="42"/>
      <c r="AA53" s="42"/>
      <c r="AB53" s="42"/>
      <c r="AC53" s="42"/>
      <c r="AD53" s="42"/>
    </row>
    <row r="54">
      <c r="A54" s="40">
        <v>44136.0</v>
      </c>
      <c r="B54" s="41"/>
      <c r="C54" s="41" t="s">
        <v>40</v>
      </c>
      <c r="D54" s="41"/>
      <c r="E54" s="41"/>
      <c r="F54" s="42"/>
      <c r="G54" s="42"/>
      <c r="H54" s="41">
        <v>15.0</v>
      </c>
      <c r="I54" s="41"/>
      <c r="J54" s="41"/>
      <c r="K54" s="41" t="s">
        <v>1918</v>
      </c>
      <c r="L54" s="42"/>
      <c r="M54" s="42"/>
      <c r="N54" s="41" t="s">
        <v>1919</v>
      </c>
      <c r="O54" s="83"/>
      <c r="P54" s="83"/>
      <c r="Q54" s="83"/>
      <c r="R54" s="83"/>
      <c r="S54" s="83"/>
      <c r="T54" s="83"/>
      <c r="U54" s="83"/>
      <c r="V54" s="42"/>
      <c r="W54" s="42"/>
      <c r="X54" s="42"/>
      <c r="Y54" s="42"/>
      <c r="Z54" s="42"/>
      <c r="AA54" s="42"/>
      <c r="AB54" s="42"/>
      <c r="AC54" s="42"/>
      <c r="AD54" s="42"/>
    </row>
    <row r="55">
      <c r="A55" s="40">
        <v>44136.0</v>
      </c>
      <c r="B55" s="41"/>
      <c r="C55" s="41" t="s">
        <v>40</v>
      </c>
      <c r="D55" s="41"/>
      <c r="E55" s="41"/>
      <c r="F55" s="42"/>
      <c r="G55" s="42"/>
      <c r="H55" s="41">
        <v>15.0</v>
      </c>
      <c r="I55" s="41"/>
      <c r="J55" s="41"/>
      <c r="K55" s="41" t="s">
        <v>787</v>
      </c>
      <c r="L55" s="42"/>
      <c r="M55" s="42"/>
      <c r="N55" s="41" t="s">
        <v>1920</v>
      </c>
      <c r="O55" s="83"/>
      <c r="P55" s="83"/>
      <c r="Q55" s="83"/>
      <c r="R55" s="83"/>
      <c r="S55" s="83"/>
      <c r="T55" s="83"/>
      <c r="U55" s="83"/>
      <c r="V55" s="42"/>
      <c r="W55" s="42"/>
      <c r="X55" s="42"/>
      <c r="Y55" s="42"/>
      <c r="Z55" s="42"/>
      <c r="AA55" s="42"/>
      <c r="AB55" s="42"/>
      <c r="AC55" s="42"/>
      <c r="AD55" s="42"/>
    </row>
    <row r="56">
      <c r="A56" s="40">
        <v>44187.0</v>
      </c>
      <c r="B56" s="41"/>
      <c r="C56" s="41" t="s">
        <v>40</v>
      </c>
      <c r="D56" s="41"/>
      <c r="E56" s="41"/>
      <c r="F56" s="42"/>
      <c r="G56" s="42"/>
      <c r="H56" s="41">
        <v>15.0</v>
      </c>
      <c r="I56" s="41"/>
      <c r="J56" s="41"/>
      <c r="K56" s="41" t="s">
        <v>815</v>
      </c>
      <c r="L56" s="42"/>
      <c r="M56" s="42"/>
      <c r="N56" s="41" t="s">
        <v>1921</v>
      </c>
      <c r="O56" s="83"/>
      <c r="P56" s="83"/>
      <c r="Q56" s="83"/>
      <c r="R56" s="83"/>
      <c r="S56" s="83"/>
      <c r="T56" s="83"/>
      <c r="U56" s="83"/>
      <c r="V56" s="42"/>
      <c r="W56" s="42"/>
      <c r="X56" s="42"/>
      <c r="Y56" s="42"/>
      <c r="Z56" s="42"/>
      <c r="AA56" s="42"/>
      <c r="AB56" s="42"/>
      <c r="AC56" s="42"/>
      <c r="AD56" s="42"/>
    </row>
    <row r="57">
      <c r="A57" s="40">
        <v>44296.0</v>
      </c>
      <c r="B57" s="41"/>
      <c r="C57" s="41" t="s">
        <v>40</v>
      </c>
      <c r="D57" s="41"/>
      <c r="E57" s="41"/>
      <c r="F57" s="42"/>
      <c r="G57" s="42"/>
      <c r="H57" s="41">
        <v>15.0</v>
      </c>
      <c r="I57" s="41"/>
      <c r="J57" s="41"/>
      <c r="K57" s="41" t="s">
        <v>1922</v>
      </c>
      <c r="L57" s="42"/>
      <c r="M57" s="42"/>
      <c r="N57" s="41" t="s">
        <v>1923</v>
      </c>
      <c r="O57" s="83"/>
      <c r="P57" s="83"/>
      <c r="Q57" s="83"/>
      <c r="R57" s="83"/>
      <c r="S57" s="83"/>
      <c r="T57" s="83"/>
      <c r="U57" s="83"/>
      <c r="V57" s="42"/>
      <c r="W57" s="42"/>
      <c r="X57" s="42"/>
      <c r="Y57" s="42"/>
      <c r="Z57" s="42"/>
      <c r="AA57" s="42"/>
      <c r="AB57" s="42"/>
      <c r="AC57" s="42"/>
      <c r="AD57" s="42"/>
    </row>
    <row r="58">
      <c r="A58" s="40">
        <v>44296.0</v>
      </c>
      <c r="B58" s="41" t="s">
        <v>1624</v>
      </c>
      <c r="C58" s="41" t="s">
        <v>1625</v>
      </c>
      <c r="D58" s="41" t="s">
        <v>1924</v>
      </c>
      <c r="E58" s="41">
        <v>6.0</v>
      </c>
      <c r="F58" s="42"/>
      <c r="G58" s="41">
        <v>20.0</v>
      </c>
      <c r="H58" s="41"/>
      <c r="I58" s="41">
        <v>4500.0</v>
      </c>
      <c r="J58" s="41">
        <v>8000.0</v>
      </c>
      <c r="K58" s="41" t="s">
        <v>1627</v>
      </c>
      <c r="L58" s="42"/>
      <c r="M58" s="42"/>
      <c r="N58" s="42"/>
      <c r="O58" s="83"/>
      <c r="P58" s="83"/>
      <c r="Q58" s="83"/>
      <c r="R58" s="83"/>
      <c r="S58" s="83"/>
      <c r="T58" s="83"/>
      <c r="U58" s="83"/>
      <c r="V58" s="42"/>
      <c r="W58" s="42"/>
      <c r="X58" s="42"/>
      <c r="Y58" s="42"/>
      <c r="Z58" s="42"/>
      <c r="AA58" s="42"/>
      <c r="AB58" s="42"/>
      <c r="AC58" s="42"/>
      <c r="AD58" s="42"/>
    </row>
    <row r="59">
      <c r="A59" s="40">
        <v>44342.0</v>
      </c>
      <c r="B59" s="41"/>
      <c r="C59" s="41" t="s">
        <v>40</v>
      </c>
      <c r="D59" s="41"/>
      <c r="E59" s="41"/>
      <c r="F59" s="42"/>
      <c r="G59" s="41"/>
      <c r="H59" s="41">
        <v>15.0</v>
      </c>
      <c r="I59" s="41"/>
      <c r="J59" s="41"/>
      <c r="K59" s="41" t="s">
        <v>1569</v>
      </c>
      <c r="L59" s="42"/>
      <c r="M59" s="42"/>
      <c r="N59" s="41" t="s">
        <v>1925</v>
      </c>
      <c r="O59" s="83"/>
      <c r="P59" s="83"/>
      <c r="Q59" s="83"/>
      <c r="R59" s="83"/>
      <c r="S59" s="83"/>
      <c r="T59" s="83"/>
      <c r="U59" s="83"/>
      <c r="V59" s="42"/>
      <c r="W59" s="42"/>
      <c r="X59" s="42"/>
      <c r="Y59" s="42"/>
      <c r="Z59" s="42"/>
      <c r="AA59" s="42"/>
      <c r="AB59" s="42"/>
      <c r="AC59" s="42"/>
      <c r="AD59" s="42"/>
    </row>
    <row r="60">
      <c r="A60" s="40">
        <v>44342.0</v>
      </c>
      <c r="B60" s="41" t="s">
        <v>1610</v>
      </c>
      <c r="C60" s="41" t="s">
        <v>1611</v>
      </c>
      <c r="D60" s="41" t="s">
        <v>369</v>
      </c>
      <c r="E60" s="41">
        <v>4.0</v>
      </c>
      <c r="F60" s="42"/>
      <c r="G60" s="41">
        <v>20.0</v>
      </c>
      <c r="H60" s="42"/>
      <c r="I60" s="41">
        <v>3000.0</v>
      </c>
      <c r="J60" s="41">
        <v>2000.0</v>
      </c>
      <c r="K60" s="41" t="s">
        <v>1338</v>
      </c>
      <c r="L60" s="42"/>
      <c r="M60" s="42"/>
      <c r="N60" s="41" t="s">
        <v>1926</v>
      </c>
      <c r="O60" s="83"/>
      <c r="P60" s="83"/>
      <c r="Q60" s="83"/>
      <c r="R60" s="83"/>
      <c r="S60" s="83"/>
      <c r="T60" s="83"/>
      <c r="U60" s="83"/>
      <c r="V60" s="42"/>
      <c r="W60" s="42"/>
      <c r="X60" s="42"/>
      <c r="Y60" s="42"/>
      <c r="Z60" s="42"/>
      <c r="AA60" s="42"/>
      <c r="AB60" s="42"/>
      <c r="AC60" s="42"/>
      <c r="AD60" s="42"/>
    </row>
    <row r="61">
      <c r="A61" s="40">
        <v>44472.0</v>
      </c>
      <c r="B61" s="42"/>
      <c r="C61" s="41" t="s">
        <v>40</v>
      </c>
      <c r="D61" s="41"/>
      <c r="E61" s="42"/>
      <c r="F61" s="42"/>
      <c r="G61" s="42"/>
      <c r="H61" s="41">
        <v>5.0</v>
      </c>
      <c r="I61" s="42"/>
      <c r="J61" s="42"/>
      <c r="K61" s="41" t="s">
        <v>1828</v>
      </c>
      <c r="L61" s="42"/>
      <c r="M61" s="42"/>
      <c r="N61" s="41" t="s">
        <v>1927</v>
      </c>
      <c r="O61" s="83"/>
      <c r="P61" s="83"/>
      <c r="Q61" s="83"/>
      <c r="R61" s="83"/>
      <c r="S61" s="83"/>
      <c r="T61" s="83"/>
      <c r="U61" s="83"/>
      <c r="V61" s="42"/>
      <c r="W61" s="42"/>
      <c r="X61" s="42"/>
      <c r="Y61" s="42"/>
      <c r="Z61" s="42"/>
      <c r="AA61" s="42"/>
      <c r="AB61" s="42"/>
      <c r="AC61" s="42"/>
      <c r="AD61" s="42"/>
    </row>
    <row r="62">
      <c r="A62" s="40">
        <v>44472.0</v>
      </c>
      <c r="B62" s="42"/>
      <c r="C62" s="41" t="s">
        <v>40</v>
      </c>
      <c r="D62" s="41"/>
      <c r="E62" s="42"/>
      <c r="F62" s="42"/>
      <c r="G62" s="42"/>
      <c r="H62" s="41">
        <v>5.0</v>
      </c>
      <c r="I62" s="42"/>
      <c r="J62" s="42"/>
      <c r="K62" s="41" t="s">
        <v>1627</v>
      </c>
      <c r="L62" s="42"/>
      <c r="M62" s="42"/>
      <c r="N62" s="41" t="s">
        <v>1928</v>
      </c>
      <c r="O62" s="83"/>
      <c r="P62" s="83"/>
      <c r="Q62" s="83"/>
      <c r="R62" s="83"/>
      <c r="S62" s="83"/>
      <c r="T62" s="83"/>
      <c r="U62" s="83"/>
      <c r="V62" s="42"/>
      <c r="W62" s="42"/>
      <c r="X62" s="42"/>
      <c r="Y62" s="42"/>
      <c r="Z62" s="42"/>
      <c r="AA62" s="42"/>
      <c r="AB62" s="42"/>
      <c r="AC62" s="42"/>
      <c r="AD62" s="42"/>
    </row>
    <row r="63">
      <c r="A63" s="40">
        <v>44493.0</v>
      </c>
      <c r="B63" s="42"/>
      <c r="C63" s="41" t="s">
        <v>40</v>
      </c>
      <c r="D63" s="41" t="s">
        <v>58</v>
      </c>
      <c r="E63" s="42"/>
      <c r="F63" s="42"/>
      <c r="G63" s="42"/>
      <c r="H63" s="41">
        <v>5.0</v>
      </c>
      <c r="I63" s="42"/>
      <c r="J63" s="42"/>
      <c r="K63" s="41" t="s">
        <v>1481</v>
      </c>
      <c r="L63" s="42"/>
      <c r="M63" s="42"/>
      <c r="N63" s="41" t="s">
        <v>1929</v>
      </c>
      <c r="O63" s="83"/>
      <c r="P63" s="83"/>
      <c r="Q63" s="83"/>
      <c r="R63" s="83"/>
      <c r="S63" s="83"/>
      <c r="T63" s="83"/>
      <c r="U63" s="83"/>
      <c r="V63" s="42"/>
      <c r="W63" s="42"/>
      <c r="X63" s="42"/>
      <c r="Y63" s="42"/>
      <c r="Z63" s="42"/>
      <c r="AA63" s="42"/>
      <c r="AB63" s="42"/>
      <c r="AC63" s="42"/>
      <c r="AD63" s="42"/>
    </row>
    <row r="64">
      <c r="A64" s="40">
        <v>44493.0</v>
      </c>
      <c r="B64" s="42"/>
      <c r="C64" s="41" t="s">
        <v>40</v>
      </c>
      <c r="D64" s="42"/>
      <c r="E64" s="42"/>
      <c r="F64" s="42"/>
      <c r="G64" s="42"/>
      <c r="H64" s="41">
        <v>5.0</v>
      </c>
      <c r="I64" s="42"/>
      <c r="J64" s="42"/>
      <c r="K64" s="41" t="s">
        <v>785</v>
      </c>
      <c r="L64" s="42"/>
      <c r="M64" s="42"/>
      <c r="N64" s="41" t="s">
        <v>1930</v>
      </c>
      <c r="O64" s="83"/>
      <c r="P64" s="83"/>
      <c r="Q64" s="83"/>
      <c r="R64" s="83"/>
      <c r="S64" s="83"/>
      <c r="T64" s="83"/>
      <c r="U64" s="83"/>
      <c r="V64" s="42"/>
      <c r="W64" s="42"/>
      <c r="X64" s="42"/>
      <c r="Y64" s="42"/>
      <c r="Z64" s="42"/>
      <c r="AA64" s="42"/>
      <c r="AB64" s="42"/>
      <c r="AC64" s="42"/>
      <c r="AD64" s="42"/>
    </row>
    <row r="65">
      <c r="A65" s="40">
        <v>45322.0</v>
      </c>
      <c r="B65" s="41" t="s">
        <v>238</v>
      </c>
      <c r="C65" s="42"/>
      <c r="D65" s="42"/>
      <c r="E65" s="42"/>
      <c r="F65" s="42"/>
      <c r="G65" s="41">
        <v>10.0</v>
      </c>
      <c r="H65" s="42"/>
      <c r="I65" s="42"/>
      <c r="J65" s="42"/>
      <c r="K65" s="41" t="s">
        <v>1931</v>
      </c>
      <c r="L65" s="42"/>
      <c r="M65" s="42"/>
      <c r="N65" s="42"/>
      <c r="O65" s="83"/>
      <c r="P65" s="83"/>
      <c r="Q65" s="83"/>
      <c r="R65" s="83"/>
      <c r="S65" s="83"/>
      <c r="T65" s="83"/>
      <c r="U65" s="83"/>
      <c r="V65" s="42"/>
      <c r="W65" s="42"/>
      <c r="X65" s="42"/>
      <c r="Y65" s="42"/>
      <c r="Z65" s="42"/>
      <c r="AA65" s="42"/>
      <c r="AB65" s="42"/>
      <c r="AC65" s="42"/>
      <c r="AD65" s="42"/>
    </row>
    <row r="66">
      <c r="A66" s="42"/>
      <c r="B66" s="42"/>
      <c r="C66" s="42"/>
      <c r="D66" s="42"/>
      <c r="E66" s="42"/>
      <c r="F66" s="42"/>
      <c r="G66" s="42"/>
      <c r="H66" s="42"/>
      <c r="I66" s="42"/>
      <c r="J66" s="42"/>
      <c r="K66" s="42"/>
      <c r="L66" s="42"/>
      <c r="M66" s="42"/>
      <c r="N66" s="42"/>
      <c r="O66" s="83"/>
      <c r="P66" s="83"/>
      <c r="Q66" s="83"/>
      <c r="R66" s="83"/>
      <c r="S66" s="83"/>
      <c r="T66" s="83"/>
      <c r="U66" s="83"/>
      <c r="V66" s="42"/>
      <c r="W66" s="42"/>
      <c r="X66" s="42"/>
      <c r="Y66" s="42"/>
      <c r="Z66" s="42"/>
      <c r="AA66" s="42"/>
      <c r="AB66" s="42"/>
      <c r="AC66" s="42"/>
      <c r="AD66" s="42"/>
    </row>
    <row r="67">
      <c r="A67" s="42"/>
      <c r="B67" s="42"/>
      <c r="C67" s="42"/>
      <c r="D67" s="42"/>
      <c r="E67" s="42"/>
      <c r="F67" s="42"/>
      <c r="G67" s="42"/>
      <c r="H67" s="42"/>
      <c r="I67" s="42"/>
      <c r="J67" s="42"/>
      <c r="K67" s="42"/>
      <c r="L67" s="42"/>
      <c r="M67" s="42"/>
      <c r="N67" s="42"/>
      <c r="O67" s="83"/>
      <c r="P67" s="83"/>
      <c r="Q67" s="83"/>
      <c r="R67" s="83"/>
      <c r="S67" s="83"/>
      <c r="T67" s="83"/>
      <c r="U67" s="83"/>
      <c r="V67" s="42"/>
      <c r="W67" s="42"/>
      <c r="X67" s="42"/>
      <c r="Y67" s="42"/>
      <c r="Z67" s="42"/>
      <c r="AA67" s="42"/>
      <c r="AB67" s="42"/>
      <c r="AC67" s="42"/>
      <c r="AD67" s="42"/>
    </row>
    <row r="68">
      <c r="A68" s="42"/>
      <c r="B68" s="42"/>
      <c r="C68" s="42"/>
      <c r="D68" s="42"/>
      <c r="E68" s="42"/>
      <c r="F68" s="42"/>
      <c r="G68" s="42"/>
      <c r="H68" s="42"/>
      <c r="I68" s="42"/>
      <c r="J68" s="42"/>
      <c r="K68" s="42"/>
      <c r="L68" s="42"/>
      <c r="M68" s="42"/>
      <c r="N68" s="42"/>
      <c r="O68" s="83"/>
      <c r="P68" s="83"/>
      <c r="Q68" s="83"/>
      <c r="R68" s="83"/>
      <c r="S68" s="83"/>
      <c r="T68" s="83"/>
      <c r="U68" s="83"/>
      <c r="V68" s="42"/>
      <c r="W68" s="42"/>
      <c r="X68" s="42"/>
      <c r="Y68" s="42"/>
      <c r="Z68" s="42"/>
      <c r="AA68" s="42"/>
      <c r="AB68" s="42"/>
      <c r="AC68" s="42"/>
      <c r="AD68" s="42"/>
    </row>
    <row r="69">
      <c r="A69" s="42"/>
      <c r="B69" s="42"/>
      <c r="C69" s="42"/>
      <c r="D69" s="42"/>
      <c r="E69" s="42"/>
      <c r="F69" s="42"/>
      <c r="G69" s="42"/>
      <c r="H69" s="42"/>
      <c r="I69" s="42"/>
      <c r="J69" s="42"/>
      <c r="K69" s="42"/>
      <c r="L69" s="42"/>
      <c r="M69" s="42"/>
      <c r="N69" s="42"/>
      <c r="O69" s="83"/>
      <c r="P69" s="83"/>
      <c r="Q69" s="83"/>
      <c r="R69" s="83"/>
      <c r="S69" s="83"/>
      <c r="T69" s="83"/>
      <c r="U69" s="83"/>
      <c r="V69" s="42"/>
      <c r="W69" s="42"/>
      <c r="X69" s="42"/>
      <c r="Y69" s="42"/>
      <c r="Z69" s="42"/>
      <c r="AA69" s="42"/>
      <c r="AB69" s="42"/>
      <c r="AC69" s="42"/>
      <c r="AD69" s="42"/>
    </row>
    <row r="70">
      <c r="A70" s="42"/>
      <c r="B70" s="42"/>
      <c r="C70" s="42"/>
      <c r="D70" s="42"/>
      <c r="E70" s="42"/>
      <c r="F70" s="42"/>
      <c r="G70" s="42"/>
      <c r="H70" s="42"/>
      <c r="I70" s="42"/>
      <c r="J70" s="42"/>
      <c r="K70" s="42"/>
      <c r="L70" s="42"/>
      <c r="M70" s="42"/>
      <c r="N70" s="42"/>
      <c r="O70" s="83"/>
      <c r="P70" s="83"/>
      <c r="Q70" s="83"/>
      <c r="R70" s="83"/>
      <c r="S70" s="83"/>
      <c r="T70" s="83"/>
      <c r="U70" s="83"/>
      <c r="V70" s="42"/>
      <c r="W70" s="42"/>
      <c r="X70" s="42"/>
      <c r="Y70" s="42"/>
      <c r="Z70" s="42"/>
      <c r="AA70" s="42"/>
      <c r="AB70" s="42"/>
      <c r="AC70" s="42"/>
      <c r="AD70" s="42"/>
    </row>
    <row r="71">
      <c r="A71" s="42"/>
      <c r="B71" s="42"/>
      <c r="C71" s="42"/>
      <c r="D71" s="42"/>
      <c r="E71" s="42"/>
      <c r="F71" s="42"/>
      <c r="G71" s="42"/>
      <c r="H71" s="42"/>
      <c r="I71" s="42"/>
      <c r="J71" s="42"/>
      <c r="K71" s="42"/>
      <c r="L71" s="42"/>
      <c r="M71" s="42"/>
      <c r="N71" s="42"/>
      <c r="O71" s="83"/>
      <c r="P71" s="83"/>
      <c r="Q71" s="83"/>
      <c r="R71" s="83"/>
      <c r="S71" s="83"/>
      <c r="T71" s="83"/>
      <c r="U71" s="83"/>
      <c r="V71" s="42"/>
      <c r="W71" s="42"/>
      <c r="X71" s="42"/>
      <c r="Y71" s="42"/>
      <c r="Z71" s="42"/>
      <c r="AA71" s="42"/>
      <c r="AB71" s="42"/>
      <c r="AC71" s="42"/>
      <c r="AD71" s="42"/>
    </row>
    <row r="72">
      <c r="A72" s="42"/>
      <c r="B72" s="42"/>
      <c r="C72" s="42"/>
      <c r="D72" s="42"/>
      <c r="E72" s="42"/>
      <c r="F72" s="42"/>
      <c r="G72" s="42"/>
      <c r="H72" s="42"/>
      <c r="I72" s="42"/>
      <c r="J72" s="42"/>
      <c r="K72" s="42"/>
      <c r="L72" s="42"/>
      <c r="M72" s="42"/>
      <c r="N72" s="42"/>
      <c r="O72" s="83"/>
      <c r="P72" s="83"/>
      <c r="Q72" s="83"/>
      <c r="R72" s="83"/>
      <c r="S72" s="83"/>
      <c r="T72" s="83"/>
      <c r="U72" s="83"/>
      <c r="V72" s="42"/>
      <c r="W72" s="42"/>
      <c r="X72" s="42"/>
      <c r="Y72" s="42"/>
      <c r="Z72" s="42"/>
      <c r="AA72" s="42"/>
      <c r="AB72" s="42"/>
      <c r="AC72" s="42"/>
      <c r="AD72" s="42"/>
    </row>
    <row r="73">
      <c r="A73" s="42"/>
      <c r="B73" s="42"/>
      <c r="C73" s="42"/>
      <c r="D73" s="42"/>
      <c r="E73" s="42"/>
      <c r="F73" s="42"/>
      <c r="G73" s="42"/>
      <c r="H73" s="42"/>
      <c r="I73" s="42"/>
      <c r="J73" s="42"/>
      <c r="K73" s="42"/>
      <c r="L73" s="42"/>
      <c r="M73" s="42"/>
      <c r="N73" s="42"/>
      <c r="O73" s="83"/>
      <c r="P73" s="83"/>
      <c r="Q73" s="83"/>
      <c r="R73" s="83"/>
      <c r="S73" s="83"/>
      <c r="T73" s="83"/>
      <c r="U73" s="83"/>
      <c r="V73" s="42"/>
      <c r="W73" s="42"/>
      <c r="X73" s="42"/>
      <c r="Y73" s="42"/>
      <c r="Z73" s="42"/>
      <c r="AA73" s="42"/>
      <c r="AB73" s="42"/>
      <c r="AC73" s="42"/>
      <c r="AD73" s="42"/>
    </row>
    <row r="74">
      <c r="A74" s="42"/>
      <c r="B74" s="42"/>
      <c r="C74" s="42"/>
      <c r="D74" s="42"/>
      <c r="E74" s="42"/>
      <c r="F74" s="42"/>
      <c r="G74" s="42"/>
      <c r="H74" s="42"/>
      <c r="I74" s="42"/>
      <c r="J74" s="42"/>
      <c r="K74" s="42"/>
      <c r="L74" s="42"/>
      <c r="M74" s="42"/>
      <c r="N74" s="42"/>
      <c r="O74" s="83"/>
      <c r="P74" s="83"/>
      <c r="Q74" s="83"/>
      <c r="R74" s="83"/>
      <c r="S74" s="83"/>
      <c r="T74" s="83"/>
      <c r="U74" s="83"/>
      <c r="V74" s="42"/>
      <c r="W74" s="42"/>
      <c r="X74" s="42"/>
      <c r="Y74" s="42"/>
      <c r="Z74" s="42"/>
      <c r="AA74" s="42"/>
      <c r="AB74" s="42"/>
      <c r="AC74" s="42"/>
      <c r="AD74" s="42"/>
    </row>
    <row r="75">
      <c r="A75" s="42"/>
      <c r="B75" s="42"/>
      <c r="C75" s="42"/>
      <c r="D75" s="42"/>
      <c r="E75" s="42"/>
      <c r="F75" s="42"/>
      <c r="G75" s="42"/>
      <c r="H75" s="42"/>
      <c r="I75" s="42"/>
      <c r="J75" s="42"/>
      <c r="K75" s="42"/>
      <c r="L75" s="42"/>
      <c r="M75" s="42"/>
      <c r="N75" s="42"/>
      <c r="O75" s="83"/>
      <c r="P75" s="83"/>
      <c r="Q75" s="83"/>
      <c r="R75" s="83"/>
      <c r="S75" s="83"/>
      <c r="T75" s="83"/>
      <c r="U75" s="83"/>
      <c r="V75" s="42"/>
      <c r="W75" s="42"/>
      <c r="X75" s="42"/>
      <c r="Y75" s="42"/>
      <c r="Z75" s="42"/>
      <c r="AA75" s="42"/>
      <c r="AB75" s="42"/>
      <c r="AC75" s="42"/>
      <c r="AD75" s="42"/>
    </row>
    <row r="76">
      <c r="A76" s="42"/>
      <c r="B76" s="42"/>
      <c r="C76" s="42"/>
      <c r="D76" s="42"/>
      <c r="E76" s="42"/>
      <c r="F76" s="42"/>
      <c r="G76" s="42"/>
      <c r="H76" s="42"/>
      <c r="I76" s="42"/>
      <c r="J76" s="42"/>
      <c r="K76" s="42"/>
      <c r="L76" s="42"/>
      <c r="M76" s="42"/>
      <c r="N76" s="42"/>
      <c r="O76" s="83"/>
      <c r="P76" s="83"/>
      <c r="Q76" s="83"/>
      <c r="R76" s="83"/>
      <c r="S76" s="83"/>
      <c r="T76" s="83"/>
      <c r="U76" s="83"/>
      <c r="V76" s="42"/>
      <c r="W76" s="42"/>
      <c r="X76" s="42"/>
      <c r="Y76" s="42"/>
      <c r="Z76" s="42"/>
      <c r="AA76" s="42"/>
      <c r="AB76" s="42"/>
      <c r="AC76" s="42"/>
      <c r="AD76" s="42"/>
    </row>
    <row r="77">
      <c r="A77" s="42"/>
      <c r="B77" s="42"/>
      <c r="C77" s="42"/>
      <c r="D77" s="42"/>
      <c r="E77" s="42"/>
      <c r="F77" s="42"/>
      <c r="G77" s="42"/>
      <c r="H77" s="42"/>
      <c r="I77" s="42"/>
      <c r="J77" s="42"/>
      <c r="K77" s="42"/>
      <c r="L77" s="42"/>
      <c r="M77" s="42"/>
      <c r="N77" s="42"/>
      <c r="O77" s="83"/>
      <c r="P77" s="83"/>
      <c r="Q77" s="83"/>
      <c r="R77" s="83"/>
      <c r="S77" s="83"/>
      <c r="T77" s="83"/>
      <c r="U77" s="83"/>
      <c r="V77" s="42"/>
      <c r="W77" s="42"/>
      <c r="X77" s="42"/>
      <c r="Y77" s="42"/>
      <c r="Z77" s="42"/>
      <c r="AA77" s="42"/>
      <c r="AB77" s="42"/>
      <c r="AC77" s="42"/>
      <c r="AD77" s="42"/>
    </row>
    <row r="78">
      <c r="A78" s="42"/>
      <c r="B78" s="42"/>
      <c r="C78" s="42"/>
      <c r="D78" s="42"/>
      <c r="E78" s="42"/>
      <c r="F78" s="42"/>
      <c r="G78" s="42"/>
      <c r="H78" s="42"/>
      <c r="I78" s="42"/>
      <c r="J78" s="42"/>
      <c r="K78" s="42"/>
      <c r="L78" s="42"/>
      <c r="M78" s="42"/>
      <c r="N78" s="42"/>
      <c r="O78" s="83"/>
      <c r="P78" s="83"/>
      <c r="Q78" s="83"/>
      <c r="R78" s="83"/>
      <c r="S78" s="83"/>
      <c r="T78" s="83"/>
      <c r="U78" s="83"/>
      <c r="V78" s="42"/>
      <c r="W78" s="42"/>
      <c r="X78" s="42"/>
      <c r="Y78" s="42"/>
      <c r="Z78" s="42"/>
      <c r="AA78" s="42"/>
      <c r="AB78" s="42"/>
      <c r="AC78" s="42"/>
      <c r="AD78" s="42"/>
    </row>
    <row r="79">
      <c r="A79" s="42"/>
      <c r="B79" s="42"/>
      <c r="C79" s="42"/>
      <c r="D79" s="42"/>
      <c r="E79" s="42"/>
      <c r="F79" s="42"/>
      <c r="G79" s="42"/>
      <c r="H79" s="42"/>
      <c r="I79" s="42"/>
      <c r="J79" s="42"/>
      <c r="K79" s="42"/>
      <c r="L79" s="42"/>
      <c r="M79" s="42"/>
      <c r="N79" s="42"/>
      <c r="O79" s="83"/>
      <c r="P79" s="83"/>
      <c r="Q79" s="83"/>
      <c r="R79" s="83"/>
      <c r="S79" s="83"/>
      <c r="T79" s="83"/>
      <c r="U79" s="83"/>
      <c r="V79" s="42"/>
      <c r="W79" s="42"/>
      <c r="X79" s="42"/>
      <c r="Y79" s="42"/>
      <c r="Z79" s="42"/>
      <c r="AA79" s="42"/>
      <c r="AB79" s="42"/>
      <c r="AC79" s="42"/>
      <c r="AD79" s="42"/>
    </row>
    <row r="80">
      <c r="A80" s="42"/>
      <c r="B80" s="42"/>
      <c r="C80" s="42"/>
      <c r="D80" s="42"/>
      <c r="E80" s="42"/>
      <c r="F80" s="42"/>
      <c r="G80" s="42"/>
      <c r="H80" s="42"/>
      <c r="I80" s="42"/>
      <c r="J80" s="42"/>
      <c r="K80" s="42"/>
      <c r="L80" s="42"/>
      <c r="M80" s="42"/>
      <c r="N80" s="42"/>
      <c r="O80" s="83"/>
      <c r="P80" s="83"/>
      <c r="Q80" s="83"/>
      <c r="R80" s="83"/>
      <c r="S80" s="83"/>
      <c r="T80" s="83"/>
      <c r="U80" s="83"/>
      <c r="V80" s="42"/>
      <c r="W80" s="42"/>
      <c r="X80" s="42"/>
      <c r="Y80" s="42"/>
      <c r="Z80" s="42"/>
      <c r="AA80" s="42"/>
      <c r="AB80" s="42"/>
      <c r="AC80" s="42"/>
      <c r="AD80" s="42"/>
    </row>
    <row r="81">
      <c r="A81" s="42"/>
      <c r="B81" s="42"/>
      <c r="C81" s="42"/>
      <c r="D81" s="42"/>
      <c r="E81" s="42"/>
      <c r="F81" s="42"/>
      <c r="G81" s="42"/>
      <c r="H81" s="42"/>
      <c r="I81" s="42"/>
      <c r="J81" s="42"/>
      <c r="K81" s="42"/>
      <c r="L81" s="42"/>
      <c r="M81" s="42"/>
      <c r="N81" s="42"/>
      <c r="O81" s="83"/>
      <c r="P81" s="83"/>
      <c r="Q81" s="83"/>
      <c r="R81" s="83"/>
      <c r="S81" s="83"/>
      <c r="T81" s="83"/>
      <c r="U81" s="83"/>
      <c r="V81" s="42"/>
      <c r="W81" s="42"/>
      <c r="X81" s="42"/>
      <c r="Y81" s="42"/>
      <c r="Z81" s="42"/>
      <c r="AA81" s="42"/>
      <c r="AB81" s="42"/>
      <c r="AC81" s="42"/>
      <c r="AD81" s="42"/>
    </row>
    <row r="82">
      <c r="A82" s="42"/>
      <c r="B82" s="42"/>
      <c r="C82" s="42"/>
      <c r="D82" s="42"/>
      <c r="E82" s="42"/>
      <c r="F82" s="42"/>
      <c r="G82" s="42"/>
      <c r="H82" s="42"/>
      <c r="I82" s="42"/>
      <c r="J82" s="42"/>
      <c r="K82" s="42"/>
      <c r="L82" s="42"/>
      <c r="M82" s="42"/>
      <c r="N82" s="42"/>
      <c r="O82" s="83"/>
      <c r="P82" s="83"/>
      <c r="Q82" s="83"/>
      <c r="R82" s="83"/>
      <c r="S82" s="83"/>
      <c r="T82" s="83"/>
      <c r="U82" s="83"/>
      <c r="V82" s="42"/>
      <c r="W82" s="42"/>
      <c r="X82" s="42"/>
      <c r="Y82" s="42"/>
      <c r="Z82" s="42"/>
      <c r="AA82" s="42"/>
      <c r="AB82" s="42"/>
      <c r="AC82" s="42"/>
      <c r="AD82" s="42"/>
    </row>
    <row r="83">
      <c r="A83" s="42"/>
      <c r="B83" s="42"/>
      <c r="C83" s="42"/>
      <c r="D83" s="42"/>
      <c r="E83" s="42"/>
      <c r="F83" s="42"/>
      <c r="G83" s="42"/>
      <c r="H83" s="42"/>
      <c r="I83" s="42"/>
      <c r="J83" s="42"/>
      <c r="K83" s="42"/>
      <c r="L83" s="42"/>
      <c r="M83" s="42"/>
      <c r="N83" s="42"/>
      <c r="O83" s="83"/>
      <c r="P83" s="83"/>
      <c r="Q83" s="83"/>
      <c r="R83" s="83"/>
      <c r="S83" s="83"/>
      <c r="T83" s="83"/>
      <c r="U83" s="83"/>
      <c r="V83" s="42"/>
      <c r="W83" s="42"/>
      <c r="X83" s="42"/>
      <c r="Y83" s="42"/>
      <c r="Z83" s="42"/>
      <c r="AA83" s="42"/>
      <c r="AB83" s="42"/>
      <c r="AC83" s="42"/>
      <c r="AD83" s="42"/>
    </row>
    <row r="84">
      <c r="A84" s="42"/>
      <c r="B84" s="42"/>
      <c r="C84" s="42"/>
      <c r="D84" s="42"/>
      <c r="E84" s="42"/>
      <c r="F84" s="42"/>
      <c r="G84" s="42"/>
      <c r="H84" s="42"/>
      <c r="I84" s="42"/>
      <c r="J84" s="42"/>
      <c r="K84" s="42"/>
      <c r="L84" s="42"/>
      <c r="M84" s="42"/>
      <c r="N84" s="42"/>
      <c r="O84" s="83"/>
      <c r="P84" s="83"/>
      <c r="Q84" s="83"/>
      <c r="R84" s="83"/>
      <c r="S84" s="83"/>
      <c r="T84" s="83"/>
      <c r="U84" s="83"/>
      <c r="V84" s="42"/>
      <c r="W84" s="42"/>
      <c r="X84" s="42"/>
      <c r="Y84" s="42"/>
      <c r="Z84" s="42"/>
      <c r="AA84" s="42"/>
      <c r="AB84" s="42"/>
      <c r="AC84" s="42"/>
      <c r="AD84" s="42"/>
    </row>
    <row r="85">
      <c r="A85" s="42"/>
      <c r="B85" s="42"/>
      <c r="C85" s="42"/>
      <c r="D85" s="42"/>
      <c r="E85" s="42"/>
      <c r="F85" s="42"/>
      <c r="G85" s="42"/>
      <c r="H85" s="42"/>
      <c r="I85" s="42"/>
      <c r="J85" s="42"/>
      <c r="K85" s="42"/>
      <c r="L85" s="42"/>
      <c r="M85" s="42"/>
      <c r="N85" s="42"/>
      <c r="O85" s="83"/>
      <c r="P85" s="83"/>
      <c r="Q85" s="83"/>
      <c r="R85" s="83"/>
      <c r="S85" s="83"/>
      <c r="T85" s="83"/>
      <c r="U85" s="83"/>
      <c r="V85" s="42"/>
      <c r="W85" s="42"/>
      <c r="X85" s="42"/>
      <c r="Y85" s="42"/>
      <c r="Z85" s="42"/>
      <c r="AA85" s="42"/>
      <c r="AB85" s="42"/>
      <c r="AC85" s="42"/>
      <c r="AD85" s="42"/>
    </row>
    <row r="86">
      <c r="A86" s="42"/>
      <c r="B86" s="42"/>
      <c r="C86" s="42"/>
      <c r="D86" s="42"/>
      <c r="E86" s="42"/>
      <c r="F86" s="42"/>
      <c r="G86" s="42"/>
      <c r="H86" s="42"/>
      <c r="I86" s="42"/>
      <c r="J86" s="42"/>
      <c r="K86" s="42"/>
      <c r="L86" s="42"/>
      <c r="M86" s="42"/>
      <c r="N86" s="42"/>
      <c r="O86" s="83"/>
      <c r="P86" s="83"/>
      <c r="Q86" s="83"/>
      <c r="R86" s="83"/>
      <c r="S86" s="83"/>
      <c r="T86" s="83"/>
      <c r="U86" s="83"/>
      <c r="V86" s="42"/>
      <c r="W86" s="42"/>
      <c r="X86" s="42"/>
      <c r="Y86" s="42"/>
      <c r="Z86" s="42"/>
      <c r="AA86" s="42"/>
      <c r="AB86" s="42"/>
      <c r="AC86" s="42"/>
      <c r="AD86" s="42"/>
    </row>
    <row r="87">
      <c r="A87" s="42"/>
      <c r="B87" s="42"/>
      <c r="C87" s="42"/>
      <c r="D87" s="42"/>
      <c r="E87" s="42"/>
      <c r="F87" s="42"/>
      <c r="G87" s="42"/>
      <c r="H87" s="42"/>
      <c r="I87" s="42"/>
      <c r="J87" s="42"/>
      <c r="K87" s="42"/>
      <c r="L87" s="42"/>
      <c r="M87" s="42"/>
      <c r="N87" s="42"/>
      <c r="O87" s="83"/>
      <c r="P87" s="83"/>
      <c r="Q87" s="83"/>
      <c r="R87" s="83"/>
      <c r="S87" s="83"/>
      <c r="T87" s="83"/>
      <c r="U87" s="83"/>
      <c r="V87" s="42"/>
      <c r="W87" s="42"/>
      <c r="X87" s="42"/>
      <c r="Y87" s="42"/>
      <c r="Z87" s="42"/>
      <c r="AA87" s="42"/>
      <c r="AB87" s="42"/>
      <c r="AC87" s="42"/>
      <c r="AD87" s="42"/>
    </row>
    <row r="88">
      <c r="A88" s="42"/>
      <c r="B88" s="42"/>
      <c r="C88" s="42"/>
      <c r="D88" s="42"/>
      <c r="E88" s="42"/>
      <c r="F88" s="42"/>
      <c r="G88" s="42"/>
      <c r="H88" s="42"/>
      <c r="I88" s="42"/>
      <c r="J88" s="42"/>
      <c r="K88" s="42"/>
      <c r="L88" s="42"/>
      <c r="M88" s="42"/>
      <c r="N88" s="42"/>
      <c r="O88" s="83"/>
      <c r="P88" s="83"/>
      <c r="Q88" s="83"/>
      <c r="R88" s="83"/>
      <c r="S88" s="83"/>
      <c r="T88" s="83"/>
      <c r="U88" s="83"/>
      <c r="V88" s="42"/>
      <c r="W88" s="42"/>
      <c r="X88" s="42"/>
      <c r="Y88" s="42"/>
      <c r="Z88" s="42"/>
      <c r="AA88" s="42"/>
      <c r="AB88" s="42"/>
      <c r="AC88" s="42"/>
      <c r="AD88" s="42"/>
    </row>
    <row r="89">
      <c r="A89" s="42"/>
      <c r="B89" s="42"/>
      <c r="C89" s="42"/>
      <c r="D89" s="42"/>
      <c r="E89" s="42"/>
      <c r="F89" s="42"/>
      <c r="G89" s="42"/>
      <c r="H89" s="42"/>
      <c r="I89" s="42"/>
      <c r="J89" s="42"/>
      <c r="K89" s="42"/>
      <c r="L89" s="42"/>
      <c r="M89" s="42"/>
      <c r="N89" s="42"/>
      <c r="O89" s="83"/>
      <c r="P89" s="83"/>
      <c r="Q89" s="83"/>
      <c r="R89" s="83"/>
      <c r="S89" s="83"/>
      <c r="T89" s="83"/>
      <c r="U89" s="83"/>
      <c r="V89" s="42"/>
      <c r="W89" s="42"/>
      <c r="X89" s="42"/>
      <c r="Y89" s="42"/>
      <c r="Z89" s="42"/>
      <c r="AA89" s="42"/>
      <c r="AB89" s="42"/>
      <c r="AC89" s="42"/>
      <c r="AD89" s="42"/>
    </row>
    <row r="90">
      <c r="A90" s="42"/>
      <c r="B90" s="42"/>
      <c r="C90" s="42"/>
      <c r="D90" s="42"/>
      <c r="E90" s="42"/>
      <c r="F90" s="42"/>
      <c r="G90" s="42"/>
      <c r="H90" s="42"/>
      <c r="I90" s="42"/>
      <c r="J90" s="42"/>
      <c r="K90" s="42"/>
      <c r="L90" s="42"/>
      <c r="M90" s="42"/>
      <c r="N90" s="42"/>
      <c r="O90" s="83"/>
      <c r="P90" s="83"/>
      <c r="Q90" s="83"/>
      <c r="R90" s="83"/>
      <c r="S90" s="83"/>
      <c r="T90" s="83"/>
      <c r="U90" s="83"/>
      <c r="V90" s="42"/>
      <c r="W90" s="42"/>
      <c r="X90" s="42"/>
      <c r="Y90" s="42"/>
      <c r="Z90" s="42"/>
      <c r="AA90" s="42"/>
      <c r="AB90" s="42"/>
      <c r="AC90" s="42"/>
      <c r="AD90" s="42"/>
    </row>
    <row r="91">
      <c r="A91" s="42"/>
      <c r="B91" s="42"/>
      <c r="C91" s="42"/>
      <c r="D91" s="42"/>
      <c r="E91" s="42"/>
      <c r="F91" s="42"/>
      <c r="G91" s="42"/>
      <c r="H91" s="42"/>
      <c r="I91" s="42"/>
      <c r="J91" s="42"/>
      <c r="K91" s="42"/>
      <c r="L91" s="42"/>
      <c r="M91" s="42"/>
      <c r="N91" s="42"/>
      <c r="O91" s="83"/>
      <c r="P91" s="83"/>
      <c r="Q91" s="83"/>
      <c r="R91" s="83"/>
      <c r="S91" s="83"/>
      <c r="T91" s="83"/>
      <c r="U91" s="83"/>
      <c r="V91" s="42"/>
      <c r="W91" s="42"/>
      <c r="X91" s="42"/>
      <c r="Y91" s="42"/>
      <c r="Z91" s="42"/>
      <c r="AA91" s="42"/>
      <c r="AB91" s="42"/>
      <c r="AC91" s="42"/>
      <c r="AD91" s="42"/>
    </row>
    <row r="92">
      <c r="A92" s="42"/>
      <c r="B92" s="42"/>
      <c r="C92" s="42"/>
      <c r="D92" s="42"/>
      <c r="E92" s="42"/>
      <c r="F92" s="42"/>
      <c r="G92" s="42"/>
      <c r="H92" s="42"/>
      <c r="I92" s="42"/>
      <c r="J92" s="42"/>
      <c r="K92" s="42"/>
      <c r="L92" s="42"/>
      <c r="M92" s="42"/>
      <c r="N92" s="42"/>
      <c r="O92" s="83"/>
      <c r="P92" s="83"/>
      <c r="Q92" s="83"/>
      <c r="R92" s="83"/>
      <c r="S92" s="83"/>
      <c r="T92" s="83"/>
      <c r="U92" s="83"/>
      <c r="V92" s="42"/>
      <c r="W92" s="42"/>
      <c r="X92" s="42"/>
      <c r="Y92" s="42"/>
      <c r="Z92" s="42"/>
      <c r="AA92" s="42"/>
      <c r="AB92" s="42"/>
      <c r="AC92" s="42"/>
      <c r="AD92" s="42"/>
    </row>
    <row r="93">
      <c r="A93" s="42"/>
      <c r="B93" s="42"/>
      <c r="C93" s="42"/>
      <c r="D93" s="42"/>
      <c r="E93" s="42"/>
      <c r="F93" s="42"/>
      <c r="G93" s="42"/>
      <c r="H93" s="42"/>
      <c r="I93" s="42"/>
      <c r="J93" s="42"/>
      <c r="K93" s="42"/>
      <c r="L93" s="42"/>
      <c r="M93" s="42"/>
      <c r="N93" s="42"/>
      <c r="O93" s="83"/>
      <c r="P93" s="83"/>
      <c r="Q93" s="83"/>
      <c r="R93" s="83"/>
      <c r="S93" s="83"/>
      <c r="T93" s="83"/>
      <c r="U93" s="83"/>
      <c r="V93" s="42"/>
      <c r="W93" s="42"/>
      <c r="X93" s="42"/>
      <c r="Y93" s="42"/>
      <c r="Z93" s="42"/>
      <c r="AA93" s="42"/>
      <c r="AB93" s="42"/>
      <c r="AC93" s="42"/>
      <c r="AD93" s="42"/>
    </row>
    <row r="94">
      <c r="A94" s="42"/>
      <c r="B94" s="42"/>
      <c r="C94" s="42"/>
      <c r="D94" s="42"/>
      <c r="E94" s="42"/>
      <c r="F94" s="42"/>
      <c r="G94" s="42"/>
      <c r="H94" s="42"/>
      <c r="I94" s="42"/>
      <c r="J94" s="42"/>
      <c r="K94" s="42"/>
      <c r="L94" s="42"/>
      <c r="M94" s="42"/>
      <c r="N94" s="42"/>
      <c r="O94" s="83"/>
      <c r="P94" s="83"/>
      <c r="Q94" s="83"/>
      <c r="R94" s="83"/>
      <c r="S94" s="83"/>
      <c r="T94" s="83"/>
      <c r="U94" s="83"/>
      <c r="V94" s="42"/>
      <c r="W94" s="42"/>
      <c r="X94" s="42"/>
      <c r="Y94" s="42"/>
      <c r="Z94" s="42"/>
      <c r="AA94" s="42"/>
      <c r="AB94" s="42"/>
      <c r="AC94" s="42"/>
      <c r="AD94" s="42"/>
    </row>
    <row r="95">
      <c r="A95" s="42"/>
      <c r="B95" s="42"/>
      <c r="C95" s="42"/>
      <c r="D95" s="42"/>
      <c r="E95" s="42"/>
      <c r="F95" s="42"/>
      <c r="G95" s="42"/>
      <c r="H95" s="42"/>
      <c r="I95" s="42"/>
      <c r="J95" s="42"/>
      <c r="K95" s="42"/>
      <c r="L95" s="42"/>
      <c r="M95" s="42"/>
      <c r="N95" s="42"/>
      <c r="O95" s="83"/>
      <c r="P95" s="83"/>
      <c r="Q95" s="83"/>
      <c r="R95" s="83"/>
      <c r="S95" s="83"/>
      <c r="T95" s="83"/>
      <c r="U95" s="83"/>
      <c r="V95" s="42"/>
      <c r="W95" s="42"/>
      <c r="X95" s="42"/>
      <c r="Y95" s="42"/>
      <c r="Z95" s="42"/>
      <c r="AA95" s="42"/>
      <c r="AB95" s="42"/>
      <c r="AC95" s="42"/>
      <c r="AD95" s="42"/>
    </row>
    <row r="96">
      <c r="A96" s="42"/>
      <c r="B96" s="42"/>
      <c r="C96" s="42"/>
      <c r="D96" s="42"/>
      <c r="E96" s="42"/>
      <c r="F96" s="42"/>
      <c r="G96" s="42"/>
      <c r="H96" s="42"/>
      <c r="I96" s="42"/>
      <c r="J96" s="42"/>
      <c r="K96" s="42"/>
      <c r="L96" s="42"/>
      <c r="M96" s="42"/>
      <c r="N96" s="42"/>
      <c r="O96" s="83"/>
      <c r="P96" s="83"/>
      <c r="Q96" s="83"/>
      <c r="R96" s="83"/>
      <c r="S96" s="83"/>
      <c r="T96" s="83"/>
      <c r="U96" s="83"/>
      <c r="V96" s="42"/>
      <c r="W96" s="42"/>
      <c r="X96" s="42"/>
      <c r="Y96" s="42"/>
      <c r="Z96" s="42"/>
      <c r="AA96" s="42"/>
      <c r="AB96" s="42"/>
      <c r="AC96" s="42"/>
      <c r="AD96" s="42"/>
    </row>
    <row r="97">
      <c r="A97" s="42"/>
      <c r="B97" s="42"/>
      <c r="C97" s="42"/>
      <c r="D97" s="42"/>
      <c r="E97" s="42"/>
      <c r="F97" s="42"/>
      <c r="G97" s="42"/>
      <c r="H97" s="42"/>
      <c r="I97" s="42"/>
      <c r="J97" s="42"/>
      <c r="K97" s="42"/>
      <c r="L97" s="42"/>
      <c r="M97" s="42"/>
      <c r="N97" s="42"/>
      <c r="O97" s="83"/>
      <c r="P97" s="83"/>
      <c r="Q97" s="83"/>
      <c r="R97" s="83"/>
      <c r="S97" s="83"/>
      <c r="T97" s="83"/>
      <c r="U97" s="83"/>
      <c r="V97" s="42"/>
      <c r="W97" s="42"/>
      <c r="X97" s="42"/>
      <c r="Y97" s="42"/>
      <c r="Z97" s="42"/>
      <c r="AA97" s="42"/>
      <c r="AB97" s="42"/>
      <c r="AC97" s="42"/>
      <c r="AD97" s="42"/>
    </row>
    <row r="98">
      <c r="A98" s="42"/>
      <c r="B98" s="42"/>
      <c r="C98" s="42"/>
      <c r="D98" s="42"/>
      <c r="E98" s="42"/>
      <c r="F98" s="42"/>
      <c r="G98" s="42"/>
      <c r="H98" s="42"/>
      <c r="I98" s="42"/>
      <c r="J98" s="42"/>
      <c r="K98" s="42"/>
      <c r="L98" s="42"/>
      <c r="M98" s="42"/>
      <c r="N98" s="42"/>
      <c r="O98" s="83"/>
      <c r="P98" s="83"/>
      <c r="Q98" s="83"/>
      <c r="R98" s="83"/>
      <c r="S98" s="83"/>
      <c r="T98" s="83"/>
      <c r="U98" s="83"/>
      <c r="V98" s="42"/>
      <c r="W98" s="42"/>
      <c r="X98" s="42"/>
      <c r="Y98" s="42"/>
      <c r="Z98" s="42"/>
      <c r="AA98" s="42"/>
      <c r="AB98" s="42"/>
      <c r="AC98" s="42"/>
      <c r="AD98" s="42"/>
    </row>
    <row r="99">
      <c r="A99" s="42"/>
      <c r="B99" s="42"/>
      <c r="C99" s="42"/>
      <c r="D99" s="42"/>
      <c r="E99" s="42"/>
      <c r="F99" s="42"/>
      <c r="G99" s="42"/>
      <c r="H99" s="42"/>
      <c r="I99" s="42"/>
      <c r="J99" s="42"/>
      <c r="K99" s="42"/>
      <c r="L99" s="42"/>
      <c r="M99" s="42"/>
      <c r="N99" s="42"/>
      <c r="O99" s="83"/>
      <c r="P99" s="83"/>
      <c r="Q99" s="83"/>
      <c r="R99" s="83"/>
      <c r="S99" s="83"/>
      <c r="T99" s="83"/>
      <c r="U99" s="83"/>
      <c r="V99" s="42"/>
      <c r="W99" s="42"/>
      <c r="X99" s="42"/>
      <c r="Y99" s="42"/>
      <c r="Z99" s="42"/>
      <c r="AA99" s="42"/>
      <c r="AB99" s="42"/>
      <c r="AC99" s="42"/>
      <c r="AD99" s="42"/>
    </row>
    <row r="100">
      <c r="A100" s="42"/>
      <c r="B100" s="42"/>
      <c r="C100" s="42"/>
      <c r="D100" s="42"/>
      <c r="E100" s="42"/>
      <c r="F100" s="42"/>
      <c r="G100" s="42"/>
      <c r="H100" s="42"/>
      <c r="I100" s="42"/>
      <c r="J100" s="42"/>
      <c r="K100" s="42"/>
      <c r="L100" s="42"/>
      <c r="M100" s="42"/>
      <c r="N100" s="42"/>
      <c r="O100" s="83"/>
      <c r="P100" s="83"/>
      <c r="Q100" s="83"/>
      <c r="R100" s="83"/>
      <c r="S100" s="83"/>
      <c r="T100" s="83"/>
      <c r="U100" s="83"/>
      <c r="V100" s="42"/>
      <c r="W100" s="42"/>
      <c r="X100" s="42"/>
      <c r="Y100" s="42"/>
      <c r="Z100" s="42"/>
      <c r="AA100" s="42"/>
      <c r="AB100" s="42"/>
      <c r="AC100" s="42"/>
      <c r="AD100" s="42"/>
    </row>
    <row r="101">
      <c r="A101" s="42"/>
      <c r="B101" s="42"/>
      <c r="C101" s="42"/>
      <c r="D101" s="42"/>
      <c r="E101" s="42"/>
      <c r="F101" s="42"/>
      <c r="G101" s="42"/>
      <c r="H101" s="42"/>
      <c r="I101" s="42"/>
      <c r="J101" s="42"/>
      <c r="K101" s="42"/>
      <c r="L101" s="42"/>
      <c r="M101" s="42"/>
      <c r="N101" s="42"/>
      <c r="O101" s="83"/>
      <c r="P101" s="83"/>
      <c r="Q101" s="83"/>
      <c r="R101" s="83"/>
      <c r="S101" s="83"/>
      <c r="T101" s="83"/>
      <c r="U101" s="83"/>
      <c r="V101" s="42"/>
      <c r="W101" s="42"/>
      <c r="X101" s="42"/>
      <c r="Y101" s="42"/>
      <c r="Z101" s="42"/>
      <c r="AA101" s="42"/>
      <c r="AB101" s="42"/>
      <c r="AC101" s="42"/>
      <c r="AD101" s="42"/>
    </row>
    <row r="102">
      <c r="A102" s="42"/>
      <c r="B102" s="42"/>
      <c r="C102" s="42"/>
      <c r="D102" s="42"/>
      <c r="E102" s="42"/>
      <c r="F102" s="42"/>
      <c r="G102" s="42"/>
      <c r="H102" s="42"/>
      <c r="I102" s="42"/>
      <c r="J102" s="42"/>
      <c r="K102" s="42"/>
      <c r="L102" s="42"/>
      <c r="M102" s="42"/>
      <c r="N102" s="42"/>
      <c r="O102" s="83"/>
      <c r="P102" s="83"/>
      <c r="Q102" s="83"/>
      <c r="R102" s="83"/>
      <c r="S102" s="83"/>
      <c r="T102" s="83"/>
      <c r="U102" s="83"/>
      <c r="V102" s="42"/>
      <c r="W102" s="42"/>
      <c r="X102" s="42"/>
      <c r="Y102" s="42"/>
      <c r="Z102" s="42"/>
      <c r="AA102" s="42"/>
      <c r="AB102" s="42"/>
      <c r="AC102" s="42"/>
      <c r="AD102" s="42"/>
    </row>
    <row r="103">
      <c r="A103" s="42"/>
      <c r="B103" s="42"/>
      <c r="C103" s="42"/>
      <c r="D103" s="42"/>
      <c r="E103" s="42"/>
      <c r="F103" s="42"/>
      <c r="G103" s="42"/>
      <c r="H103" s="42"/>
      <c r="I103" s="42"/>
      <c r="J103" s="42"/>
      <c r="K103" s="42"/>
      <c r="L103" s="42"/>
      <c r="M103" s="42"/>
      <c r="N103" s="42"/>
      <c r="O103" s="83"/>
      <c r="P103" s="83"/>
      <c r="Q103" s="83"/>
      <c r="R103" s="83"/>
      <c r="S103" s="83"/>
      <c r="T103" s="83"/>
      <c r="U103" s="83"/>
      <c r="V103" s="42"/>
      <c r="W103" s="42"/>
      <c r="X103" s="42"/>
      <c r="Y103" s="42"/>
      <c r="Z103" s="42"/>
      <c r="AA103" s="42"/>
      <c r="AB103" s="42"/>
      <c r="AC103" s="42"/>
      <c r="AD103" s="42"/>
    </row>
    <row r="104">
      <c r="A104" s="42"/>
      <c r="B104" s="42"/>
      <c r="C104" s="42"/>
      <c r="D104" s="42"/>
      <c r="E104" s="42"/>
      <c r="F104" s="42"/>
      <c r="G104" s="42"/>
      <c r="H104" s="42"/>
      <c r="I104" s="42"/>
      <c r="J104" s="42"/>
      <c r="K104" s="42"/>
      <c r="L104" s="42"/>
      <c r="M104" s="42"/>
      <c r="N104" s="42"/>
      <c r="O104" s="83"/>
      <c r="P104" s="83"/>
      <c r="Q104" s="83"/>
      <c r="R104" s="83"/>
      <c r="S104" s="83"/>
      <c r="T104" s="83"/>
      <c r="U104" s="83"/>
      <c r="V104" s="42"/>
      <c r="W104" s="42"/>
      <c r="X104" s="42"/>
      <c r="Y104" s="42"/>
      <c r="Z104" s="42"/>
      <c r="AA104" s="42"/>
      <c r="AB104" s="42"/>
      <c r="AC104" s="42"/>
      <c r="AD104" s="42"/>
    </row>
    <row r="105">
      <c r="A105" s="42"/>
      <c r="B105" s="42"/>
      <c r="C105" s="42"/>
      <c r="D105" s="42"/>
      <c r="E105" s="42"/>
      <c r="F105" s="42"/>
      <c r="G105" s="42"/>
      <c r="H105" s="42"/>
      <c r="I105" s="42"/>
      <c r="J105" s="42"/>
      <c r="K105" s="42"/>
      <c r="L105" s="42"/>
      <c r="M105" s="42"/>
      <c r="N105" s="42"/>
      <c r="O105" s="83"/>
      <c r="P105" s="83"/>
      <c r="Q105" s="83"/>
      <c r="R105" s="83"/>
      <c r="S105" s="83"/>
      <c r="T105" s="83"/>
      <c r="U105" s="83"/>
      <c r="V105" s="42"/>
      <c r="W105" s="42"/>
      <c r="X105" s="42"/>
      <c r="Y105" s="42"/>
      <c r="Z105" s="42"/>
      <c r="AA105" s="42"/>
      <c r="AB105" s="42"/>
      <c r="AC105" s="42"/>
      <c r="AD105" s="42"/>
    </row>
    <row r="106">
      <c r="A106" s="42"/>
      <c r="B106" s="42"/>
      <c r="C106" s="42"/>
      <c r="D106" s="42"/>
      <c r="E106" s="42"/>
      <c r="F106" s="42"/>
      <c r="G106" s="42"/>
      <c r="H106" s="42"/>
      <c r="I106" s="42"/>
      <c r="J106" s="42"/>
      <c r="K106" s="42"/>
      <c r="L106" s="42"/>
      <c r="M106" s="42"/>
      <c r="N106" s="42"/>
      <c r="O106" s="83"/>
      <c r="P106" s="83"/>
      <c r="Q106" s="83"/>
      <c r="R106" s="83"/>
      <c r="S106" s="83"/>
      <c r="T106" s="83"/>
      <c r="U106" s="83"/>
      <c r="V106" s="42"/>
      <c r="W106" s="42"/>
      <c r="X106" s="42"/>
      <c r="Y106" s="42"/>
      <c r="Z106" s="42"/>
      <c r="AA106" s="42"/>
      <c r="AB106" s="42"/>
      <c r="AC106" s="42"/>
      <c r="AD106" s="42"/>
    </row>
    <row r="107">
      <c r="A107" s="42"/>
      <c r="B107" s="42"/>
      <c r="C107" s="42"/>
      <c r="D107" s="42"/>
      <c r="E107" s="42"/>
      <c r="F107" s="42"/>
      <c r="G107" s="42"/>
      <c r="H107" s="42"/>
      <c r="I107" s="42"/>
      <c r="J107" s="42"/>
      <c r="K107" s="42"/>
      <c r="L107" s="42"/>
      <c r="M107" s="42"/>
      <c r="N107" s="42"/>
      <c r="O107" s="83"/>
      <c r="P107" s="83"/>
      <c r="Q107" s="83"/>
      <c r="R107" s="83"/>
      <c r="S107" s="83"/>
      <c r="T107" s="83"/>
      <c r="U107" s="83"/>
      <c r="V107" s="42"/>
      <c r="W107" s="42"/>
      <c r="X107" s="42"/>
      <c r="Y107" s="42"/>
      <c r="Z107" s="42"/>
      <c r="AA107" s="42"/>
      <c r="AB107" s="42"/>
      <c r="AC107" s="42"/>
      <c r="AD107" s="42"/>
    </row>
    <row r="108">
      <c r="A108" s="42"/>
      <c r="B108" s="42"/>
      <c r="C108" s="42"/>
      <c r="D108" s="42"/>
      <c r="E108" s="42"/>
      <c r="F108" s="42"/>
      <c r="G108" s="42"/>
      <c r="H108" s="42"/>
      <c r="I108" s="42"/>
      <c r="J108" s="42"/>
      <c r="K108" s="42"/>
      <c r="L108" s="42"/>
      <c r="M108" s="42"/>
      <c r="N108" s="42"/>
      <c r="O108" s="83"/>
      <c r="P108" s="83"/>
      <c r="Q108" s="83"/>
      <c r="R108" s="83"/>
      <c r="S108" s="83"/>
      <c r="T108" s="83"/>
      <c r="U108" s="83"/>
      <c r="V108" s="42"/>
      <c r="W108" s="42"/>
      <c r="X108" s="42"/>
      <c r="Y108" s="42"/>
      <c r="Z108" s="42"/>
      <c r="AA108" s="42"/>
      <c r="AB108" s="42"/>
      <c r="AC108" s="42"/>
      <c r="AD108" s="42"/>
    </row>
    <row r="109">
      <c r="O109" s="86"/>
      <c r="P109" s="86"/>
      <c r="Q109" s="86"/>
      <c r="R109" s="86"/>
      <c r="S109" s="86"/>
      <c r="T109" s="86"/>
      <c r="U109" s="86"/>
    </row>
    <row r="110">
      <c r="O110" s="86"/>
      <c r="P110" s="86"/>
      <c r="Q110" s="86"/>
      <c r="R110" s="86"/>
      <c r="S110" s="86"/>
      <c r="T110" s="86"/>
      <c r="U110" s="86"/>
    </row>
    <row r="111">
      <c r="O111" s="86"/>
      <c r="P111" s="86"/>
      <c r="Q111" s="86"/>
      <c r="R111" s="86"/>
      <c r="S111" s="86"/>
      <c r="T111" s="86"/>
      <c r="U111" s="86"/>
    </row>
    <row r="112">
      <c r="O112" s="86"/>
      <c r="P112" s="86"/>
      <c r="Q112" s="86"/>
      <c r="R112" s="86"/>
      <c r="S112" s="86"/>
      <c r="T112" s="86"/>
      <c r="U112" s="86"/>
    </row>
    <row r="113">
      <c r="O113" s="86"/>
      <c r="P113" s="86"/>
      <c r="Q113" s="86"/>
      <c r="R113" s="86"/>
      <c r="S113" s="86"/>
      <c r="T113" s="86"/>
      <c r="U113" s="86"/>
    </row>
    <row r="114">
      <c r="O114" s="86"/>
      <c r="P114" s="86"/>
      <c r="Q114" s="86"/>
      <c r="R114" s="86"/>
      <c r="S114" s="86"/>
      <c r="T114" s="86"/>
      <c r="U114" s="86"/>
    </row>
    <row r="115">
      <c r="O115" s="86"/>
      <c r="P115" s="86"/>
      <c r="Q115" s="86"/>
      <c r="R115" s="86"/>
      <c r="S115" s="86"/>
      <c r="T115" s="86"/>
      <c r="U115" s="86"/>
    </row>
    <row r="116">
      <c r="O116" s="86"/>
      <c r="P116" s="86"/>
      <c r="Q116" s="86"/>
      <c r="R116" s="86"/>
      <c r="S116" s="86"/>
      <c r="T116" s="86"/>
      <c r="U116" s="86"/>
    </row>
    <row r="117">
      <c r="O117" s="86"/>
      <c r="P117" s="86"/>
      <c r="Q117" s="86"/>
      <c r="R117" s="86"/>
      <c r="S117" s="86"/>
      <c r="T117" s="86"/>
      <c r="U117" s="86"/>
    </row>
    <row r="118">
      <c r="O118" s="86"/>
      <c r="P118" s="86"/>
      <c r="Q118" s="86"/>
      <c r="R118" s="86"/>
      <c r="S118" s="86"/>
      <c r="T118" s="86"/>
      <c r="U118" s="86"/>
    </row>
    <row r="119">
      <c r="O119" s="86"/>
      <c r="P119" s="86"/>
      <c r="Q119" s="86"/>
      <c r="R119" s="86"/>
      <c r="S119" s="86"/>
      <c r="T119" s="86"/>
      <c r="U119" s="86"/>
    </row>
    <row r="120">
      <c r="O120" s="86"/>
      <c r="P120" s="86"/>
      <c r="Q120" s="86"/>
      <c r="R120" s="86"/>
      <c r="S120" s="86"/>
      <c r="T120" s="86"/>
      <c r="U120" s="86"/>
    </row>
    <row r="121">
      <c r="O121" s="86"/>
      <c r="P121" s="86"/>
      <c r="Q121" s="86"/>
      <c r="R121" s="86"/>
      <c r="S121" s="86"/>
      <c r="T121" s="86"/>
      <c r="U121" s="86"/>
    </row>
    <row r="122">
      <c r="O122" s="86"/>
      <c r="P122" s="86"/>
      <c r="Q122" s="86"/>
      <c r="R122" s="86"/>
      <c r="S122" s="86"/>
      <c r="T122" s="86"/>
      <c r="U122" s="86"/>
    </row>
    <row r="123">
      <c r="O123" s="86"/>
      <c r="P123" s="86"/>
      <c r="Q123" s="86"/>
      <c r="R123" s="86"/>
      <c r="S123" s="86"/>
      <c r="T123" s="86"/>
      <c r="U123" s="86"/>
    </row>
    <row r="124">
      <c r="O124" s="86"/>
      <c r="P124" s="86"/>
      <c r="Q124" s="86"/>
      <c r="R124" s="86"/>
      <c r="S124" s="86"/>
      <c r="T124" s="86"/>
      <c r="U124" s="86"/>
    </row>
    <row r="125">
      <c r="O125" s="86"/>
      <c r="P125" s="86"/>
      <c r="Q125" s="86"/>
      <c r="R125" s="86"/>
      <c r="S125" s="86"/>
      <c r="T125" s="86"/>
      <c r="U125" s="86"/>
    </row>
    <row r="126">
      <c r="O126" s="86"/>
      <c r="P126" s="86"/>
      <c r="Q126" s="86"/>
      <c r="R126" s="86"/>
      <c r="S126" s="86"/>
      <c r="T126" s="86"/>
      <c r="U126" s="86"/>
    </row>
    <row r="127">
      <c r="O127" s="86"/>
      <c r="P127" s="86"/>
      <c r="Q127" s="86"/>
      <c r="R127" s="86"/>
      <c r="S127" s="86"/>
      <c r="T127" s="86"/>
      <c r="U127" s="86"/>
    </row>
    <row r="128">
      <c r="O128" s="86"/>
      <c r="P128" s="86"/>
      <c r="Q128" s="86"/>
      <c r="R128" s="86"/>
      <c r="S128" s="86"/>
      <c r="T128" s="86"/>
      <c r="U128" s="86"/>
    </row>
    <row r="129">
      <c r="O129" s="86"/>
      <c r="P129" s="86"/>
      <c r="Q129" s="86"/>
      <c r="R129" s="86"/>
      <c r="S129" s="86"/>
      <c r="T129" s="86"/>
      <c r="U129" s="86"/>
    </row>
    <row r="130">
      <c r="O130" s="86"/>
      <c r="P130" s="86"/>
      <c r="Q130" s="86"/>
      <c r="R130" s="86"/>
      <c r="S130" s="86"/>
      <c r="T130" s="86"/>
      <c r="U130" s="86"/>
    </row>
    <row r="131">
      <c r="O131" s="86"/>
      <c r="P131" s="86"/>
      <c r="Q131" s="86"/>
      <c r="R131" s="86"/>
      <c r="S131" s="86"/>
      <c r="T131" s="86"/>
      <c r="U131" s="86"/>
    </row>
    <row r="132">
      <c r="O132" s="86"/>
      <c r="P132" s="86"/>
      <c r="Q132" s="86"/>
      <c r="R132" s="86"/>
      <c r="S132" s="86"/>
      <c r="T132" s="86"/>
      <c r="U132" s="86"/>
    </row>
    <row r="133">
      <c r="O133" s="86"/>
      <c r="P133" s="86"/>
      <c r="Q133" s="86"/>
      <c r="R133" s="86"/>
      <c r="S133" s="86"/>
      <c r="T133" s="86"/>
      <c r="U133" s="86"/>
    </row>
    <row r="134">
      <c r="O134" s="86"/>
      <c r="P134" s="86"/>
      <c r="Q134" s="86"/>
      <c r="R134" s="86"/>
      <c r="S134" s="86"/>
      <c r="T134" s="86"/>
      <c r="U134" s="86"/>
    </row>
    <row r="135">
      <c r="O135" s="86"/>
      <c r="P135" s="86"/>
      <c r="Q135" s="86"/>
      <c r="R135" s="86"/>
      <c r="S135" s="86"/>
      <c r="T135" s="86"/>
      <c r="U135" s="86"/>
    </row>
    <row r="136">
      <c r="O136" s="86"/>
      <c r="P136" s="86"/>
      <c r="Q136" s="86"/>
      <c r="R136" s="86"/>
      <c r="S136" s="86"/>
      <c r="T136" s="86"/>
      <c r="U136" s="86"/>
    </row>
    <row r="137">
      <c r="O137" s="86"/>
      <c r="P137" s="86"/>
      <c r="Q137" s="86"/>
      <c r="R137" s="86"/>
      <c r="S137" s="86"/>
      <c r="T137" s="86"/>
      <c r="U137" s="86"/>
    </row>
    <row r="138">
      <c r="O138" s="86"/>
      <c r="P138" s="86"/>
      <c r="Q138" s="86"/>
      <c r="R138" s="86"/>
      <c r="S138" s="86"/>
      <c r="T138" s="86"/>
      <c r="U138" s="86"/>
    </row>
    <row r="139">
      <c r="O139" s="86"/>
      <c r="P139" s="86"/>
      <c r="Q139" s="86"/>
      <c r="R139" s="86"/>
      <c r="S139" s="86"/>
      <c r="T139" s="86"/>
      <c r="U139" s="86"/>
    </row>
    <row r="140">
      <c r="O140" s="86"/>
      <c r="P140" s="86"/>
      <c r="Q140" s="86"/>
      <c r="R140" s="86"/>
      <c r="S140" s="86"/>
      <c r="T140" s="86"/>
      <c r="U140" s="86"/>
    </row>
    <row r="141">
      <c r="O141" s="86"/>
      <c r="P141" s="86"/>
      <c r="Q141" s="86"/>
      <c r="R141" s="86"/>
      <c r="S141" s="86"/>
      <c r="T141" s="86"/>
      <c r="U141" s="86"/>
    </row>
    <row r="142">
      <c r="O142" s="86"/>
      <c r="P142" s="86"/>
      <c r="Q142" s="86"/>
      <c r="R142" s="86"/>
      <c r="S142" s="86"/>
      <c r="T142" s="86"/>
      <c r="U142" s="86"/>
    </row>
    <row r="143">
      <c r="O143" s="86"/>
      <c r="P143" s="86"/>
      <c r="Q143" s="86"/>
      <c r="R143" s="86"/>
      <c r="S143" s="86"/>
      <c r="T143" s="86"/>
      <c r="U143" s="86"/>
    </row>
    <row r="144">
      <c r="O144" s="86"/>
      <c r="P144" s="86"/>
      <c r="Q144" s="86"/>
      <c r="R144" s="86"/>
      <c r="S144" s="86"/>
      <c r="T144" s="86"/>
      <c r="U144" s="86"/>
    </row>
    <row r="145">
      <c r="O145" s="86"/>
      <c r="P145" s="86"/>
      <c r="Q145" s="86"/>
      <c r="R145" s="86"/>
      <c r="S145" s="86"/>
      <c r="T145" s="86"/>
      <c r="U145" s="86"/>
    </row>
    <row r="146">
      <c r="O146" s="86"/>
      <c r="P146" s="86"/>
      <c r="Q146" s="86"/>
      <c r="R146" s="86"/>
      <c r="S146" s="86"/>
      <c r="T146" s="86"/>
      <c r="U146" s="86"/>
    </row>
    <row r="147">
      <c r="O147" s="86"/>
      <c r="P147" s="86"/>
      <c r="Q147" s="86"/>
      <c r="R147" s="86"/>
      <c r="S147" s="86"/>
      <c r="T147" s="86"/>
      <c r="U147" s="86"/>
    </row>
    <row r="148">
      <c r="O148" s="86"/>
      <c r="P148" s="86"/>
      <c r="Q148" s="86"/>
      <c r="R148" s="86"/>
      <c r="S148" s="86"/>
      <c r="T148" s="86"/>
      <c r="U148" s="86"/>
    </row>
    <row r="149">
      <c r="O149" s="86"/>
      <c r="P149" s="86"/>
      <c r="Q149" s="86"/>
      <c r="R149" s="86"/>
      <c r="S149" s="86"/>
      <c r="T149" s="86"/>
      <c r="U149" s="86"/>
    </row>
    <row r="150">
      <c r="O150" s="86"/>
      <c r="P150" s="86"/>
      <c r="Q150" s="86"/>
      <c r="R150" s="86"/>
      <c r="S150" s="86"/>
      <c r="T150" s="86"/>
      <c r="U150" s="86"/>
    </row>
    <row r="151">
      <c r="O151" s="86"/>
      <c r="P151" s="86"/>
      <c r="Q151" s="86"/>
      <c r="R151" s="86"/>
      <c r="S151" s="86"/>
      <c r="T151" s="86"/>
      <c r="U151" s="86"/>
    </row>
    <row r="152">
      <c r="O152" s="86"/>
      <c r="P152" s="86"/>
      <c r="Q152" s="86"/>
      <c r="R152" s="86"/>
      <c r="S152" s="86"/>
      <c r="T152" s="86"/>
      <c r="U152" s="86"/>
    </row>
    <row r="153">
      <c r="O153" s="86"/>
      <c r="P153" s="86"/>
      <c r="Q153" s="86"/>
      <c r="R153" s="86"/>
      <c r="S153" s="86"/>
      <c r="T153" s="86"/>
      <c r="U153" s="86"/>
    </row>
    <row r="154">
      <c r="O154" s="86"/>
      <c r="P154" s="86"/>
      <c r="Q154" s="86"/>
      <c r="R154" s="86"/>
      <c r="S154" s="86"/>
      <c r="T154" s="86"/>
      <c r="U154" s="86"/>
    </row>
    <row r="155">
      <c r="O155" s="86"/>
      <c r="P155" s="86"/>
      <c r="Q155" s="86"/>
      <c r="R155" s="86"/>
      <c r="S155" s="86"/>
      <c r="T155" s="86"/>
      <c r="U155" s="86"/>
    </row>
    <row r="156">
      <c r="O156" s="86"/>
      <c r="P156" s="86"/>
      <c r="Q156" s="86"/>
      <c r="R156" s="86"/>
      <c r="S156" s="86"/>
      <c r="T156" s="86"/>
      <c r="U156" s="86"/>
    </row>
    <row r="157">
      <c r="O157" s="86"/>
      <c r="P157" s="86"/>
      <c r="Q157" s="86"/>
      <c r="R157" s="86"/>
      <c r="S157" s="86"/>
      <c r="T157" s="86"/>
      <c r="U157" s="86"/>
    </row>
    <row r="158">
      <c r="O158" s="86"/>
      <c r="P158" s="86"/>
      <c r="Q158" s="86"/>
      <c r="R158" s="86"/>
      <c r="S158" s="86"/>
      <c r="T158" s="86"/>
      <c r="U158" s="86"/>
    </row>
    <row r="159">
      <c r="O159" s="86"/>
      <c r="P159" s="86"/>
      <c r="Q159" s="86"/>
      <c r="R159" s="86"/>
      <c r="S159" s="86"/>
      <c r="T159" s="86"/>
      <c r="U159" s="86"/>
    </row>
    <row r="160">
      <c r="O160" s="86"/>
      <c r="P160" s="86"/>
      <c r="Q160" s="86"/>
      <c r="R160" s="86"/>
      <c r="S160" s="86"/>
      <c r="T160" s="86"/>
      <c r="U160" s="86"/>
    </row>
    <row r="161">
      <c r="O161" s="86"/>
      <c r="P161" s="86"/>
      <c r="Q161" s="86"/>
      <c r="R161" s="86"/>
      <c r="S161" s="86"/>
      <c r="T161" s="86"/>
      <c r="U161" s="86"/>
    </row>
    <row r="162">
      <c r="O162" s="86"/>
      <c r="P162" s="86"/>
      <c r="Q162" s="86"/>
      <c r="R162" s="86"/>
      <c r="S162" s="86"/>
      <c r="T162" s="86"/>
      <c r="U162" s="86"/>
    </row>
    <row r="163">
      <c r="O163" s="86"/>
      <c r="P163" s="86"/>
      <c r="Q163" s="86"/>
      <c r="R163" s="86"/>
      <c r="S163" s="86"/>
      <c r="T163" s="86"/>
      <c r="U163" s="86"/>
    </row>
    <row r="164">
      <c r="O164" s="86"/>
      <c r="P164" s="86"/>
      <c r="Q164" s="86"/>
      <c r="R164" s="86"/>
      <c r="S164" s="86"/>
      <c r="T164" s="86"/>
      <c r="U164" s="86"/>
    </row>
    <row r="165">
      <c r="O165" s="86"/>
      <c r="P165" s="86"/>
      <c r="Q165" s="86"/>
      <c r="R165" s="86"/>
      <c r="S165" s="86"/>
      <c r="T165" s="86"/>
      <c r="U165" s="86"/>
    </row>
    <row r="166">
      <c r="O166" s="86"/>
      <c r="P166" s="86"/>
      <c r="Q166" s="86"/>
      <c r="R166" s="86"/>
      <c r="S166" s="86"/>
      <c r="T166" s="86"/>
      <c r="U166" s="86"/>
    </row>
    <row r="167">
      <c r="O167" s="86"/>
      <c r="P167" s="86"/>
      <c r="Q167" s="86"/>
      <c r="R167" s="86"/>
      <c r="S167" s="86"/>
      <c r="T167" s="86"/>
      <c r="U167" s="86"/>
    </row>
    <row r="168">
      <c r="O168" s="86"/>
      <c r="P168" s="86"/>
      <c r="Q168" s="86"/>
      <c r="R168" s="86"/>
      <c r="S168" s="86"/>
      <c r="T168" s="86"/>
      <c r="U168" s="86"/>
    </row>
    <row r="169">
      <c r="O169" s="86"/>
      <c r="P169" s="86"/>
      <c r="Q169" s="86"/>
      <c r="R169" s="86"/>
      <c r="S169" s="86"/>
      <c r="T169" s="86"/>
      <c r="U169" s="86"/>
    </row>
    <row r="170">
      <c r="O170" s="86"/>
      <c r="P170" s="86"/>
      <c r="Q170" s="86"/>
      <c r="R170" s="86"/>
      <c r="S170" s="86"/>
      <c r="T170" s="86"/>
      <c r="U170" s="86"/>
    </row>
    <row r="171">
      <c r="O171" s="86"/>
      <c r="P171" s="86"/>
      <c r="Q171" s="86"/>
      <c r="R171" s="86"/>
      <c r="S171" s="86"/>
      <c r="T171" s="86"/>
      <c r="U171" s="86"/>
    </row>
    <row r="172">
      <c r="O172" s="86"/>
      <c r="P172" s="86"/>
      <c r="Q172" s="86"/>
      <c r="R172" s="86"/>
      <c r="S172" s="86"/>
      <c r="T172" s="86"/>
      <c r="U172" s="86"/>
    </row>
    <row r="173">
      <c r="O173" s="86"/>
      <c r="P173" s="86"/>
      <c r="Q173" s="86"/>
      <c r="R173" s="86"/>
      <c r="S173" s="86"/>
      <c r="T173" s="86"/>
      <c r="U173" s="86"/>
    </row>
    <row r="174">
      <c r="O174" s="86"/>
      <c r="P174" s="86"/>
      <c r="Q174" s="86"/>
      <c r="R174" s="86"/>
      <c r="S174" s="86"/>
      <c r="T174" s="86"/>
      <c r="U174" s="86"/>
    </row>
    <row r="175">
      <c r="O175" s="86"/>
      <c r="P175" s="86"/>
      <c r="Q175" s="86"/>
      <c r="R175" s="86"/>
      <c r="S175" s="86"/>
      <c r="T175" s="86"/>
      <c r="U175" s="86"/>
    </row>
    <row r="176">
      <c r="O176" s="86"/>
      <c r="P176" s="86"/>
      <c r="Q176" s="86"/>
      <c r="R176" s="86"/>
      <c r="S176" s="86"/>
      <c r="T176" s="86"/>
      <c r="U176" s="86"/>
    </row>
    <row r="177">
      <c r="O177" s="86"/>
      <c r="P177" s="86"/>
      <c r="Q177" s="86"/>
      <c r="R177" s="86"/>
      <c r="S177" s="86"/>
      <c r="T177" s="86"/>
      <c r="U177" s="86"/>
    </row>
    <row r="178">
      <c r="O178" s="86"/>
      <c r="P178" s="86"/>
      <c r="Q178" s="86"/>
      <c r="R178" s="86"/>
      <c r="S178" s="86"/>
      <c r="T178" s="86"/>
      <c r="U178" s="86"/>
    </row>
    <row r="179">
      <c r="O179" s="86"/>
      <c r="P179" s="86"/>
      <c r="Q179" s="86"/>
      <c r="R179" s="86"/>
      <c r="S179" s="86"/>
      <c r="T179" s="86"/>
      <c r="U179" s="86"/>
    </row>
    <row r="180">
      <c r="O180" s="86"/>
      <c r="P180" s="86"/>
      <c r="Q180" s="86"/>
      <c r="R180" s="86"/>
      <c r="S180" s="86"/>
      <c r="T180" s="86"/>
      <c r="U180" s="86"/>
    </row>
    <row r="181">
      <c r="O181" s="86"/>
      <c r="P181" s="86"/>
      <c r="Q181" s="86"/>
      <c r="R181" s="86"/>
      <c r="S181" s="86"/>
      <c r="T181" s="86"/>
      <c r="U181" s="86"/>
    </row>
    <row r="182">
      <c r="O182" s="86"/>
      <c r="P182" s="86"/>
      <c r="Q182" s="86"/>
      <c r="R182" s="86"/>
      <c r="S182" s="86"/>
      <c r="T182" s="86"/>
      <c r="U182" s="86"/>
    </row>
    <row r="183">
      <c r="O183" s="86"/>
      <c r="P183" s="86"/>
      <c r="Q183" s="86"/>
      <c r="R183" s="86"/>
      <c r="S183" s="86"/>
      <c r="T183" s="86"/>
      <c r="U183" s="86"/>
    </row>
    <row r="184">
      <c r="O184" s="86"/>
      <c r="P184" s="86"/>
      <c r="Q184" s="86"/>
      <c r="R184" s="86"/>
      <c r="S184" s="86"/>
      <c r="T184" s="86"/>
      <c r="U184" s="86"/>
    </row>
    <row r="185">
      <c r="O185" s="86"/>
      <c r="P185" s="86"/>
      <c r="Q185" s="86"/>
      <c r="R185" s="86"/>
      <c r="S185" s="86"/>
      <c r="T185" s="86"/>
      <c r="U185" s="86"/>
    </row>
    <row r="186">
      <c r="O186" s="86"/>
      <c r="P186" s="86"/>
      <c r="Q186" s="86"/>
      <c r="R186" s="86"/>
      <c r="S186" s="86"/>
      <c r="T186" s="86"/>
      <c r="U186" s="86"/>
    </row>
    <row r="187">
      <c r="O187" s="86"/>
      <c r="P187" s="86"/>
      <c r="Q187" s="86"/>
      <c r="R187" s="86"/>
      <c r="S187" s="86"/>
      <c r="T187" s="86"/>
      <c r="U187" s="86"/>
    </row>
    <row r="188">
      <c r="O188" s="86"/>
      <c r="P188" s="86"/>
      <c r="Q188" s="86"/>
      <c r="R188" s="86"/>
      <c r="S188" s="86"/>
      <c r="T188" s="86"/>
      <c r="U188" s="86"/>
    </row>
    <row r="189">
      <c r="O189" s="86"/>
      <c r="P189" s="86"/>
      <c r="Q189" s="86"/>
      <c r="R189" s="86"/>
      <c r="S189" s="86"/>
      <c r="T189" s="86"/>
      <c r="U189" s="86"/>
    </row>
    <row r="190">
      <c r="O190" s="86"/>
      <c r="P190" s="86"/>
      <c r="Q190" s="86"/>
      <c r="R190" s="86"/>
      <c r="S190" s="86"/>
      <c r="T190" s="86"/>
      <c r="U190" s="86"/>
    </row>
    <row r="191">
      <c r="O191" s="86"/>
      <c r="P191" s="86"/>
      <c r="Q191" s="86"/>
      <c r="R191" s="86"/>
      <c r="S191" s="86"/>
      <c r="T191" s="86"/>
      <c r="U191" s="86"/>
    </row>
    <row r="192">
      <c r="O192" s="86"/>
      <c r="P192" s="86"/>
      <c r="Q192" s="86"/>
      <c r="R192" s="86"/>
      <c r="S192" s="86"/>
      <c r="T192" s="86"/>
      <c r="U192" s="86"/>
    </row>
    <row r="193">
      <c r="O193" s="86"/>
      <c r="P193" s="86"/>
      <c r="Q193" s="86"/>
      <c r="R193" s="86"/>
      <c r="S193" s="86"/>
      <c r="T193" s="86"/>
      <c r="U193" s="86"/>
    </row>
    <row r="194">
      <c r="O194" s="86"/>
      <c r="P194" s="86"/>
      <c r="Q194" s="86"/>
      <c r="R194" s="86"/>
      <c r="S194" s="86"/>
      <c r="T194" s="86"/>
      <c r="U194" s="86"/>
    </row>
    <row r="195">
      <c r="O195" s="86"/>
      <c r="P195" s="86"/>
      <c r="Q195" s="86"/>
      <c r="R195" s="86"/>
      <c r="S195" s="86"/>
      <c r="T195" s="86"/>
      <c r="U195" s="86"/>
    </row>
    <row r="196">
      <c r="O196" s="86"/>
      <c r="P196" s="86"/>
      <c r="Q196" s="86"/>
      <c r="R196" s="86"/>
      <c r="S196" s="86"/>
      <c r="T196" s="86"/>
      <c r="U196" s="86"/>
    </row>
    <row r="197">
      <c r="O197" s="86"/>
      <c r="P197" s="86"/>
      <c r="Q197" s="86"/>
      <c r="R197" s="86"/>
      <c r="S197" s="86"/>
      <c r="T197" s="86"/>
      <c r="U197" s="86"/>
    </row>
    <row r="198">
      <c r="O198" s="86"/>
      <c r="P198" s="86"/>
      <c r="Q198" s="86"/>
      <c r="R198" s="86"/>
      <c r="S198" s="86"/>
      <c r="T198" s="86"/>
      <c r="U198" s="86"/>
    </row>
    <row r="199">
      <c r="O199" s="86"/>
      <c r="P199" s="86"/>
      <c r="Q199" s="86"/>
      <c r="R199" s="86"/>
      <c r="S199" s="86"/>
      <c r="T199" s="86"/>
      <c r="U199" s="86"/>
    </row>
    <row r="200">
      <c r="O200" s="86"/>
      <c r="P200" s="86"/>
      <c r="Q200" s="86"/>
      <c r="R200" s="86"/>
      <c r="S200" s="86"/>
      <c r="T200" s="86"/>
      <c r="U200" s="86"/>
    </row>
    <row r="201">
      <c r="O201" s="86"/>
      <c r="P201" s="86"/>
      <c r="Q201" s="86"/>
      <c r="R201" s="86"/>
      <c r="S201" s="86"/>
      <c r="T201" s="86"/>
      <c r="U201" s="86"/>
    </row>
    <row r="202">
      <c r="O202" s="86"/>
      <c r="P202" s="86"/>
      <c r="Q202" s="86"/>
      <c r="R202" s="86"/>
      <c r="S202" s="86"/>
      <c r="T202" s="86"/>
      <c r="U202" s="86"/>
    </row>
    <row r="203">
      <c r="O203" s="86"/>
      <c r="P203" s="86"/>
      <c r="Q203" s="86"/>
      <c r="R203" s="86"/>
      <c r="S203" s="86"/>
      <c r="T203" s="86"/>
      <c r="U203" s="86"/>
    </row>
    <row r="204">
      <c r="O204" s="86"/>
      <c r="P204" s="86"/>
      <c r="Q204" s="86"/>
      <c r="R204" s="86"/>
      <c r="S204" s="86"/>
      <c r="T204" s="86"/>
      <c r="U204" s="86"/>
    </row>
    <row r="205">
      <c r="O205" s="86"/>
      <c r="P205" s="86"/>
      <c r="Q205" s="86"/>
      <c r="R205" s="86"/>
      <c r="S205" s="86"/>
      <c r="T205" s="86"/>
      <c r="U205" s="86"/>
    </row>
    <row r="206">
      <c r="O206" s="86"/>
      <c r="P206" s="86"/>
      <c r="Q206" s="86"/>
      <c r="R206" s="86"/>
      <c r="S206" s="86"/>
      <c r="T206" s="86"/>
      <c r="U206" s="86"/>
    </row>
    <row r="207">
      <c r="O207" s="86"/>
      <c r="P207" s="86"/>
      <c r="Q207" s="86"/>
      <c r="R207" s="86"/>
      <c r="S207" s="86"/>
      <c r="T207" s="86"/>
      <c r="U207" s="86"/>
    </row>
    <row r="208">
      <c r="O208" s="86"/>
      <c r="P208" s="86"/>
      <c r="Q208" s="86"/>
      <c r="R208" s="86"/>
      <c r="S208" s="86"/>
      <c r="T208" s="86"/>
      <c r="U208" s="86"/>
    </row>
    <row r="209">
      <c r="O209" s="86"/>
      <c r="P209" s="86"/>
      <c r="Q209" s="86"/>
      <c r="R209" s="86"/>
      <c r="S209" s="86"/>
      <c r="T209" s="86"/>
      <c r="U209" s="86"/>
    </row>
    <row r="210">
      <c r="O210" s="86"/>
      <c r="P210" s="86"/>
      <c r="Q210" s="86"/>
      <c r="R210" s="86"/>
      <c r="S210" s="86"/>
      <c r="T210" s="86"/>
      <c r="U210" s="86"/>
    </row>
    <row r="211">
      <c r="O211" s="86"/>
      <c r="P211" s="86"/>
      <c r="Q211" s="86"/>
      <c r="R211" s="86"/>
      <c r="S211" s="86"/>
      <c r="T211" s="86"/>
      <c r="U211" s="86"/>
    </row>
    <row r="212">
      <c r="O212" s="86"/>
      <c r="P212" s="86"/>
      <c r="Q212" s="86"/>
      <c r="R212" s="86"/>
      <c r="S212" s="86"/>
      <c r="T212" s="86"/>
      <c r="U212" s="86"/>
    </row>
    <row r="213">
      <c r="O213" s="86"/>
      <c r="P213" s="86"/>
      <c r="Q213" s="86"/>
      <c r="R213" s="86"/>
      <c r="S213" s="86"/>
      <c r="T213" s="86"/>
      <c r="U213" s="86"/>
    </row>
    <row r="214">
      <c r="O214" s="86"/>
      <c r="P214" s="86"/>
      <c r="Q214" s="86"/>
      <c r="R214" s="86"/>
      <c r="S214" s="86"/>
      <c r="T214" s="86"/>
      <c r="U214" s="86"/>
    </row>
    <row r="215">
      <c r="O215" s="86"/>
      <c r="P215" s="86"/>
      <c r="Q215" s="86"/>
      <c r="R215" s="86"/>
      <c r="S215" s="86"/>
      <c r="T215" s="86"/>
      <c r="U215" s="86"/>
    </row>
    <row r="216">
      <c r="O216" s="86"/>
      <c r="P216" s="86"/>
      <c r="Q216" s="86"/>
      <c r="R216" s="86"/>
      <c r="S216" s="86"/>
      <c r="T216" s="86"/>
      <c r="U216" s="86"/>
    </row>
    <row r="217">
      <c r="O217" s="86"/>
      <c r="P217" s="86"/>
      <c r="Q217" s="86"/>
      <c r="R217" s="86"/>
      <c r="S217" s="86"/>
      <c r="T217" s="86"/>
      <c r="U217" s="86"/>
    </row>
    <row r="218">
      <c r="O218" s="86"/>
      <c r="P218" s="86"/>
      <c r="Q218" s="86"/>
      <c r="R218" s="86"/>
      <c r="S218" s="86"/>
      <c r="T218" s="86"/>
      <c r="U218" s="86"/>
    </row>
    <row r="219">
      <c r="O219" s="86"/>
      <c r="P219" s="86"/>
      <c r="Q219" s="86"/>
      <c r="R219" s="86"/>
      <c r="S219" s="86"/>
      <c r="T219" s="86"/>
      <c r="U219" s="86"/>
    </row>
    <row r="220">
      <c r="O220" s="86"/>
      <c r="P220" s="86"/>
      <c r="Q220" s="86"/>
      <c r="R220" s="86"/>
      <c r="S220" s="86"/>
      <c r="T220" s="86"/>
      <c r="U220" s="86"/>
    </row>
    <row r="221">
      <c r="O221" s="86"/>
      <c r="P221" s="86"/>
      <c r="Q221" s="86"/>
      <c r="R221" s="86"/>
      <c r="S221" s="86"/>
      <c r="T221" s="86"/>
      <c r="U221" s="86"/>
    </row>
    <row r="222">
      <c r="O222" s="86"/>
      <c r="P222" s="86"/>
      <c r="Q222" s="86"/>
      <c r="R222" s="86"/>
      <c r="S222" s="86"/>
      <c r="T222" s="86"/>
      <c r="U222" s="86"/>
    </row>
    <row r="223">
      <c r="O223" s="86"/>
      <c r="P223" s="86"/>
      <c r="Q223" s="86"/>
      <c r="R223" s="86"/>
      <c r="S223" s="86"/>
      <c r="T223" s="86"/>
      <c r="U223" s="86"/>
    </row>
    <row r="224">
      <c r="O224" s="86"/>
      <c r="P224" s="86"/>
      <c r="Q224" s="86"/>
      <c r="R224" s="86"/>
      <c r="S224" s="86"/>
      <c r="T224" s="86"/>
      <c r="U224" s="86"/>
    </row>
    <row r="225">
      <c r="O225" s="86"/>
      <c r="P225" s="86"/>
      <c r="Q225" s="86"/>
      <c r="R225" s="86"/>
      <c r="S225" s="86"/>
      <c r="T225" s="86"/>
      <c r="U225" s="86"/>
    </row>
    <row r="226">
      <c r="O226" s="86"/>
      <c r="P226" s="86"/>
      <c r="Q226" s="86"/>
      <c r="R226" s="86"/>
      <c r="S226" s="86"/>
      <c r="T226" s="86"/>
      <c r="U226" s="86"/>
    </row>
    <row r="227">
      <c r="O227" s="86"/>
      <c r="P227" s="86"/>
      <c r="Q227" s="86"/>
      <c r="R227" s="86"/>
      <c r="S227" s="86"/>
      <c r="T227" s="86"/>
      <c r="U227" s="86"/>
    </row>
    <row r="228">
      <c r="O228" s="86"/>
      <c r="P228" s="86"/>
      <c r="Q228" s="86"/>
      <c r="R228" s="86"/>
      <c r="S228" s="86"/>
      <c r="T228" s="86"/>
      <c r="U228" s="86"/>
    </row>
    <row r="229">
      <c r="O229" s="86"/>
      <c r="P229" s="86"/>
      <c r="Q229" s="86"/>
      <c r="R229" s="86"/>
      <c r="S229" s="86"/>
      <c r="T229" s="86"/>
      <c r="U229" s="86"/>
    </row>
    <row r="230">
      <c r="O230" s="86"/>
      <c r="P230" s="86"/>
      <c r="Q230" s="86"/>
      <c r="R230" s="86"/>
      <c r="S230" s="86"/>
      <c r="T230" s="86"/>
      <c r="U230" s="86"/>
    </row>
    <row r="231">
      <c r="O231" s="86"/>
      <c r="P231" s="86"/>
      <c r="Q231" s="86"/>
      <c r="R231" s="86"/>
      <c r="S231" s="86"/>
      <c r="T231" s="86"/>
      <c r="U231" s="86"/>
    </row>
    <row r="232">
      <c r="O232" s="86"/>
      <c r="P232" s="86"/>
      <c r="Q232" s="86"/>
      <c r="R232" s="86"/>
      <c r="S232" s="86"/>
      <c r="T232" s="86"/>
      <c r="U232" s="86"/>
    </row>
    <row r="233">
      <c r="O233" s="86"/>
      <c r="P233" s="86"/>
      <c r="Q233" s="86"/>
      <c r="R233" s="86"/>
      <c r="S233" s="86"/>
      <c r="T233" s="86"/>
      <c r="U233" s="86"/>
    </row>
    <row r="234">
      <c r="O234" s="86"/>
      <c r="P234" s="86"/>
      <c r="Q234" s="86"/>
      <c r="R234" s="86"/>
      <c r="S234" s="86"/>
      <c r="T234" s="86"/>
      <c r="U234" s="86"/>
    </row>
    <row r="235">
      <c r="O235" s="86"/>
      <c r="P235" s="86"/>
      <c r="Q235" s="86"/>
      <c r="R235" s="86"/>
      <c r="S235" s="86"/>
      <c r="T235" s="86"/>
      <c r="U235" s="86"/>
    </row>
    <row r="236">
      <c r="O236" s="86"/>
      <c r="P236" s="86"/>
      <c r="Q236" s="86"/>
      <c r="R236" s="86"/>
      <c r="S236" s="86"/>
      <c r="T236" s="86"/>
      <c r="U236" s="86"/>
    </row>
    <row r="237">
      <c r="O237" s="86"/>
      <c r="P237" s="86"/>
      <c r="Q237" s="86"/>
      <c r="R237" s="86"/>
      <c r="S237" s="86"/>
      <c r="T237" s="86"/>
      <c r="U237" s="86"/>
    </row>
    <row r="238">
      <c r="O238" s="86"/>
      <c r="P238" s="86"/>
      <c r="Q238" s="86"/>
      <c r="R238" s="86"/>
      <c r="S238" s="86"/>
      <c r="T238" s="86"/>
      <c r="U238" s="86"/>
    </row>
    <row r="239">
      <c r="O239" s="86"/>
      <c r="P239" s="86"/>
      <c r="Q239" s="86"/>
      <c r="R239" s="86"/>
      <c r="S239" s="86"/>
      <c r="T239" s="86"/>
      <c r="U239" s="86"/>
    </row>
    <row r="240">
      <c r="O240" s="86"/>
      <c r="P240" s="86"/>
      <c r="Q240" s="86"/>
      <c r="R240" s="86"/>
      <c r="S240" s="86"/>
      <c r="T240" s="86"/>
      <c r="U240" s="86"/>
    </row>
    <row r="241">
      <c r="O241" s="86"/>
      <c r="P241" s="86"/>
      <c r="Q241" s="86"/>
      <c r="R241" s="86"/>
      <c r="S241" s="86"/>
      <c r="T241" s="86"/>
      <c r="U241" s="86"/>
    </row>
    <row r="242">
      <c r="O242" s="86"/>
      <c r="P242" s="86"/>
      <c r="Q242" s="86"/>
      <c r="R242" s="86"/>
      <c r="S242" s="86"/>
      <c r="T242" s="86"/>
      <c r="U242" s="86"/>
    </row>
    <row r="243">
      <c r="O243" s="86"/>
      <c r="P243" s="86"/>
      <c r="Q243" s="86"/>
      <c r="R243" s="86"/>
      <c r="S243" s="86"/>
      <c r="T243" s="86"/>
      <c r="U243" s="86"/>
    </row>
    <row r="244">
      <c r="O244" s="86"/>
      <c r="P244" s="86"/>
      <c r="Q244" s="86"/>
      <c r="R244" s="86"/>
      <c r="S244" s="86"/>
      <c r="T244" s="86"/>
      <c r="U244" s="86"/>
    </row>
    <row r="245">
      <c r="O245" s="86"/>
      <c r="P245" s="86"/>
      <c r="Q245" s="86"/>
      <c r="R245" s="86"/>
      <c r="S245" s="86"/>
      <c r="T245" s="86"/>
      <c r="U245" s="86"/>
    </row>
    <row r="246">
      <c r="O246" s="86"/>
      <c r="P246" s="86"/>
      <c r="Q246" s="86"/>
      <c r="R246" s="86"/>
      <c r="S246" s="86"/>
      <c r="T246" s="86"/>
      <c r="U246" s="86"/>
    </row>
    <row r="247">
      <c r="O247" s="86"/>
      <c r="P247" s="86"/>
      <c r="Q247" s="86"/>
      <c r="R247" s="86"/>
      <c r="S247" s="86"/>
      <c r="T247" s="86"/>
      <c r="U247" s="86"/>
    </row>
    <row r="248">
      <c r="O248" s="86"/>
      <c r="P248" s="86"/>
      <c r="Q248" s="86"/>
      <c r="R248" s="86"/>
      <c r="S248" s="86"/>
      <c r="T248" s="86"/>
      <c r="U248" s="86"/>
    </row>
    <row r="249">
      <c r="O249" s="86"/>
      <c r="P249" s="86"/>
      <c r="Q249" s="86"/>
      <c r="R249" s="86"/>
      <c r="S249" s="86"/>
      <c r="T249" s="86"/>
      <c r="U249" s="86"/>
    </row>
    <row r="250">
      <c r="O250" s="86"/>
      <c r="P250" s="86"/>
      <c r="Q250" s="86"/>
      <c r="R250" s="86"/>
      <c r="S250" s="86"/>
      <c r="T250" s="86"/>
      <c r="U250" s="86"/>
    </row>
    <row r="251">
      <c r="O251" s="86"/>
      <c r="P251" s="86"/>
      <c r="Q251" s="86"/>
      <c r="R251" s="86"/>
      <c r="S251" s="86"/>
      <c r="T251" s="86"/>
      <c r="U251" s="86"/>
    </row>
    <row r="252">
      <c r="O252" s="86"/>
      <c r="P252" s="86"/>
      <c r="Q252" s="86"/>
      <c r="R252" s="86"/>
      <c r="S252" s="86"/>
      <c r="T252" s="86"/>
      <c r="U252" s="86"/>
    </row>
    <row r="253">
      <c r="O253" s="86"/>
      <c r="P253" s="86"/>
      <c r="Q253" s="86"/>
      <c r="R253" s="86"/>
      <c r="S253" s="86"/>
      <c r="T253" s="86"/>
      <c r="U253" s="86"/>
    </row>
    <row r="254">
      <c r="O254" s="86"/>
      <c r="P254" s="86"/>
      <c r="Q254" s="86"/>
      <c r="R254" s="86"/>
      <c r="S254" s="86"/>
      <c r="T254" s="86"/>
      <c r="U254" s="86"/>
    </row>
    <row r="255">
      <c r="O255" s="86"/>
      <c r="P255" s="86"/>
      <c r="Q255" s="86"/>
      <c r="R255" s="86"/>
      <c r="S255" s="86"/>
      <c r="T255" s="86"/>
      <c r="U255" s="86"/>
    </row>
    <row r="256">
      <c r="O256" s="86"/>
      <c r="P256" s="86"/>
      <c r="Q256" s="86"/>
      <c r="R256" s="86"/>
      <c r="S256" s="86"/>
      <c r="T256" s="86"/>
      <c r="U256" s="86"/>
    </row>
    <row r="257">
      <c r="O257" s="86"/>
      <c r="P257" s="86"/>
      <c r="Q257" s="86"/>
      <c r="R257" s="86"/>
      <c r="S257" s="86"/>
      <c r="T257" s="86"/>
      <c r="U257" s="86"/>
    </row>
    <row r="258">
      <c r="O258" s="86"/>
      <c r="P258" s="86"/>
      <c r="Q258" s="86"/>
      <c r="R258" s="86"/>
      <c r="S258" s="86"/>
      <c r="T258" s="86"/>
      <c r="U258" s="86"/>
    </row>
    <row r="259">
      <c r="O259" s="86"/>
      <c r="P259" s="86"/>
      <c r="Q259" s="86"/>
      <c r="R259" s="86"/>
      <c r="S259" s="86"/>
      <c r="T259" s="86"/>
      <c r="U259" s="86"/>
    </row>
    <row r="260">
      <c r="O260" s="86"/>
      <c r="P260" s="86"/>
      <c r="Q260" s="86"/>
      <c r="R260" s="86"/>
      <c r="S260" s="86"/>
      <c r="T260" s="86"/>
      <c r="U260" s="86"/>
    </row>
    <row r="261">
      <c r="O261" s="86"/>
      <c r="P261" s="86"/>
      <c r="Q261" s="86"/>
      <c r="R261" s="86"/>
      <c r="S261" s="86"/>
      <c r="T261" s="86"/>
      <c r="U261" s="86"/>
    </row>
    <row r="262">
      <c r="O262" s="86"/>
      <c r="P262" s="86"/>
      <c r="Q262" s="86"/>
      <c r="R262" s="86"/>
      <c r="S262" s="86"/>
      <c r="T262" s="86"/>
      <c r="U262" s="86"/>
    </row>
    <row r="263">
      <c r="O263" s="86"/>
      <c r="P263" s="86"/>
      <c r="Q263" s="86"/>
      <c r="R263" s="86"/>
      <c r="S263" s="86"/>
      <c r="T263" s="86"/>
      <c r="U263" s="86"/>
    </row>
    <row r="264">
      <c r="O264" s="86"/>
      <c r="P264" s="86"/>
      <c r="Q264" s="86"/>
      <c r="R264" s="86"/>
      <c r="S264" s="86"/>
      <c r="T264" s="86"/>
      <c r="U264" s="86"/>
    </row>
    <row r="265">
      <c r="O265" s="86"/>
      <c r="P265" s="86"/>
      <c r="Q265" s="86"/>
      <c r="R265" s="86"/>
      <c r="S265" s="86"/>
      <c r="T265" s="86"/>
      <c r="U265" s="86"/>
    </row>
    <row r="266">
      <c r="O266" s="86"/>
      <c r="P266" s="86"/>
      <c r="Q266" s="86"/>
      <c r="R266" s="86"/>
      <c r="S266" s="86"/>
      <c r="T266" s="86"/>
      <c r="U266" s="86"/>
    </row>
    <row r="267">
      <c r="O267" s="86"/>
      <c r="P267" s="86"/>
      <c r="Q267" s="86"/>
      <c r="R267" s="86"/>
      <c r="S267" s="86"/>
      <c r="T267" s="86"/>
      <c r="U267" s="86"/>
    </row>
    <row r="268">
      <c r="O268" s="86"/>
      <c r="P268" s="86"/>
      <c r="Q268" s="86"/>
      <c r="R268" s="86"/>
      <c r="S268" s="86"/>
      <c r="T268" s="86"/>
      <c r="U268" s="86"/>
    </row>
    <row r="269">
      <c r="O269" s="86"/>
      <c r="P269" s="86"/>
      <c r="Q269" s="86"/>
      <c r="R269" s="86"/>
      <c r="S269" s="86"/>
      <c r="T269" s="86"/>
      <c r="U269" s="86"/>
    </row>
    <row r="270">
      <c r="O270" s="86"/>
      <c r="P270" s="86"/>
      <c r="Q270" s="86"/>
      <c r="R270" s="86"/>
      <c r="S270" s="86"/>
      <c r="T270" s="86"/>
      <c r="U270" s="86"/>
    </row>
    <row r="271">
      <c r="O271" s="86"/>
      <c r="P271" s="86"/>
      <c r="Q271" s="86"/>
      <c r="R271" s="86"/>
      <c r="S271" s="86"/>
      <c r="T271" s="86"/>
      <c r="U271" s="86"/>
    </row>
    <row r="272">
      <c r="O272" s="86"/>
      <c r="P272" s="86"/>
      <c r="Q272" s="86"/>
      <c r="R272" s="86"/>
      <c r="S272" s="86"/>
      <c r="T272" s="86"/>
      <c r="U272" s="86"/>
    </row>
    <row r="273">
      <c r="O273" s="86"/>
      <c r="P273" s="86"/>
      <c r="Q273" s="86"/>
      <c r="R273" s="86"/>
      <c r="S273" s="86"/>
      <c r="T273" s="86"/>
      <c r="U273" s="86"/>
    </row>
    <row r="274">
      <c r="O274" s="86"/>
      <c r="P274" s="86"/>
      <c r="Q274" s="86"/>
      <c r="R274" s="86"/>
      <c r="S274" s="86"/>
      <c r="T274" s="86"/>
      <c r="U274" s="86"/>
    </row>
    <row r="275">
      <c r="O275" s="86"/>
      <c r="P275" s="86"/>
      <c r="Q275" s="86"/>
      <c r="R275" s="86"/>
      <c r="S275" s="86"/>
      <c r="T275" s="86"/>
      <c r="U275" s="86"/>
    </row>
    <row r="276">
      <c r="O276" s="86"/>
      <c r="P276" s="86"/>
      <c r="Q276" s="86"/>
      <c r="R276" s="86"/>
      <c r="S276" s="86"/>
      <c r="T276" s="86"/>
      <c r="U276" s="86"/>
    </row>
    <row r="277">
      <c r="O277" s="86"/>
      <c r="P277" s="86"/>
      <c r="Q277" s="86"/>
      <c r="R277" s="86"/>
      <c r="S277" s="86"/>
      <c r="T277" s="86"/>
      <c r="U277" s="86"/>
    </row>
    <row r="278">
      <c r="O278" s="86"/>
      <c r="P278" s="86"/>
      <c r="Q278" s="86"/>
      <c r="R278" s="86"/>
      <c r="S278" s="86"/>
      <c r="T278" s="86"/>
      <c r="U278" s="86"/>
    </row>
    <row r="279">
      <c r="O279" s="86"/>
      <c r="P279" s="86"/>
      <c r="Q279" s="86"/>
      <c r="R279" s="86"/>
      <c r="S279" s="86"/>
      <c r="T279" s="86"/>
      <c r="U279" s="86"/>
    </row>
    <row r="280">
      <c r="O280" s="86"/>
      <c r="P280" s="86"/>
      <c r="Q280" s="86"/>
      <c r="R280" s="86"/>
      <c r="S280" s="86"/>
      <c r="T280" s="86"/>
      <c r="U280" s="86"/>
    </row>
    <row r="281">
      <c r="O281" s="86"/>
      <c r="P281" s="86"/>
      <c r="Q281" s="86"/>
      <c r="R281" s="86"/>
      <c r="S281" s="86"/>
      <c r="T281" s="86"/>
      <c r="U281" s="86"/>
    </row>
    <row r="282">
      <c r="O282" s="86"/>
      <c r="P282" s="86"/>
      <c r="Q282" s="86"/>
      <c r="R282" s="86"/>
      <c r="S282" s="86"/>
      <c r="T282" s="86"/>
      <c r="U282" s="86"/>
    </row>
    <row r="283">
      <c r="O283" s="86"/>
      <c r="P283" s="86"/>
      <c r="Q283" s="86"/>
      <c r="R283" s="86"/>
      <c r="S283" s="86"/>
      <c r="T283" s="86"/>
      <c r="U283" s="86"/>
    </row>
    <row r="284">
      <c r="O284" s="86"/>
      <c r="P284" s="86"/>
      <c r="Q284" s="86"/>
      <c r="R284" s="86"/>
      <c r="S284" s="86"/>
      <c r="T284" s="86"/>
      <c r="U284" s="86"/>
    </row>
    <row r="285">
      <c r="O285" s="86"/>
      <c r="P285" s="86"/>
      <c r="Q285" s="86"/>
      <c r="R285" s="86"/>
      <c r="S285" s="86"/>
      <c r="T285" s="86"/>
      <c r="U285" s="86"/>
    </row>
    <row r="286">
      <c r="O286" s="86"/>
      <c r="P286" s="86"/>
      <c r="Q286" s="86"/>
      <c r="R286" s="86"/>
      <c r="S286" s="86"/>
      <c r="T286" s="86"/>
      <c r="U286" s="86"/>
    </row>
    <row r="287">
      <c r="O287" s="86"/>
      <c r="P287" s="86"/>
      <c r="Q287" s="86"/>
      <c r="R287" s="86"/>
      <c r="S287" s="86"/>
      <c r="T287" s="86"/>
      <c r="U287" s="86"/>
    </row>
    <row r="288">
      <c r="O288" s="86"/>
      <c r="P288" s="86"/>
      <c r="Q288" s="86"/>
      <c r="R288" s="86"/>
      <c r="S288" s="86"/>
      <c r="T288" s="86"/>
      <c r="U288" s="86"/>
    </row>
    <row r="289">
      <c r="O289" s="86"/>
      <c r="P289" s="86"/>
      <c r="Q289" s="86"/>
      <c r="R289" s="86"/>
      <c r="S289" s="86"/>
      <c r="T289" s="86"/>
      <c r="U289" s="86"/>
    </row>
    <row r="290">
      <c r="O290" s="86"/>
      <c r="P290" s="86"/>
      <c r="Q290" s="86"/>
      <c r="R290" s="86"/>
      <c r="S290" s="86"/>
      <c r="T290" s="86"/>
      <c r="U290" s="86"/>
    </row>
    <row r="291">
      <c r="O291" s="86"/>
      <c r="P291" s="86"/>
      <c r="Q291" s="86"/>
      <c r="R291" s="86"/>
      <c r="S291" s="86"/>
      <c r="T291" s="86"/>
      <c r="U291" s="86"/>
    </row>
    <row r="292">
      <c r="O292" s="86"/>
      <c r="P292" s="86"/>
      <c r="Q292" s="86"/>
      <c r="R292" s="86"/>
      <c r="S292" s="86"/>
      <c r="T292" s="86"/>
      <c r="U292" s="86"/>
    </row>
    <row r="293">
      <c r="O293" s="86"/>
      <c r="P293" s="86"/>
      <c r="Q293" s="86"/>
      <c r="R293" s="86"/>
      <c r="S293" s="86"/>
      <c r="T293" s="86"/>
      <c r="U293" s="86"/>
    </row>
    <row r="294">
      <c r="O294" s="86"/>
      <c r="P294" s="86"/>
      <c r="Q294" s="86"/>
      <c r="R294" s="86"/>
      <c r="S294" s="86"/>
      <c r="T294" s="86"/>
      <c r="U294" s="86"/>
    </row>
    <row r="295">
      <c r="O295" s="86"/>
      <c r="P295" s="86"/>
      <c r="Q295" s="86"/>
      <c r="R295" s="86"/>
      <c r="S295" s="86"/>
      <c r="T295" s="86"/>
      <c r="U295" s="86"/>
    </row>
    <row r="296">
      <c r="O296" s="86"/>
      <c r="P296" s="86"/>
      <c r="Q296" s="86"/>
      <c r="R296" s="86"/>
      <c r="S296" s="86"/>
      <c r="T296" s="86"/>
      <c r="U296" s="86"/>
    </row>
    <row r="297">
      <c r="O297" s="86"/>
      <c r="P297" s="86"/>
      <c r="Q297" s="86"/>
      <c r="R297" s="86"/>
      <c r="S297" s="86"/>
      <c r="T297" s="86"/>
      <c r="U297" s="86"/>
    </row>
    <row r="298">
      <c r="O298" s="86"/>
      <c r="P298" s="86"/>
      <c r="Q298" s="86"/>
      <c r="R298" s="86"/>
      <c r="S298" s="86"/>
      <c r="T298" s="86"/>
      <c r="U298" s="86"/>
    </row>
    <row r="299">
      <c r="O299" s="86"/>
      <c r="P299" s="86"/>
      <c r="Q299" s="86"/>
      <c r="R299" s="86"/>
      <c r="S299" s="86"/>
      <c r="T299" s="86"/>
      <c r="U299" s="86"/>
    </row>
    <row r="300">
      <c r="O300" s="86"/>
      <c r="P300" s="86"/>
      <c r="Q300" s="86"/>
      <c r="R300" s="86"/>
      <c r="S300" s="86"/>
      <c r="T300" s="86"/>
      <c r="U300" s="86"/>
    </row>
    <row r="301">
      <c r="O301" s="86"/>
      <c r="P301" s="86"/>
      <c r="Q301" s="86"/>
      <c r="R301" s="86"/>
      <c r="S301" s="86"/>
      <c r="T301" s="86"/>
      <c r="U301" s="86"/>
    </row>
    <row r="302">
      <c r="O302" s="86"/>
      <c r="P302" s="86"/>
      <c r="Q302" s="86"/>
      <c r="R302" s="86"/>
      <c r="S302" s="86"/>
      <c r="T302" s="86"/>
      <c r="U302" s="86"/>
    </row>
    <row r="303">
      <c r="O303" s="86"/>
      <c r="P303" s="86"/>
      <c r="Q303" s="86"/>
      <c r="R303" s="86"/>
      <c r="S303" s="86"/>
      <c r="T303" s="86"/>
      <c r="U303" s="86"/>
    </row>
    <row r="304">
      <c r="O304" s="86"/>
      <c r="P304" s="86"/>
      <c r="Q304" s="86"/>
      <c r="R304" s="86"/>
      <c r="S304" s="86"/>
      <c r="T304" s="86"/>
      <c r="U304" s="86"/>
    </row>
    <row r="305">
      <c r="O305" s="86"/>
      <c r="P305" s="86"/>
      <c r="Q305" s="86"/>
      <c r="R305" s="86"/>
      <c r="S305" s="86"/>
      <c r="T305" s="86"/>
      <c r="U305" s="86"/>
    </row>
    <row r="306">
      <c r="O306" s="86"/>
      <c r="P306" s="86"/>
      <c r="Q306" s="86"/>
      <c r="R306" s="86"/>
      <c r="S306" s="86"/>
      <c r="T306" s="86"/>
      <c r="U306" s="86"/>
    </row>
    <row r="307">
      <c r="O307" s="86"/>
      <c r="P307" s="86"/>
      <c r="Q307" s="86"/>
      <c r="R307" s="86"/>
      <c r="S307" s="86"/>
      <c r="T307" s="86"/>
      <c r="U307" s="86"/>
    </row>
    <row r="308">
      <c r="O308" s="86"/>
      <c r="P308" s="86"/>
      <c r="Q308" s="86"/>
      <c r="R308" s="86"/>
      <c r="S308" s="86"/>
      <c r="T308" s="86"/>
      <c r="U308" s="86"/>
    </row>
    <row r="309">
      <c r="O309" s="86"/>
      <c r="P309" s="86"/>
      <c r="Q309" s="86"/>
      <c r="R309" s="86"/>
      <c r="S309" s="86"/>
      <c r="T309" s="86"/>
      <c r="U309" s="86"/>
    </row>
    <row r="310">
      <c r="O310" s="86"/>
      <c r="P310" s="86"/>
      <c r="Q310" s="86"/>
      <c r="R310" s="86"/>
      <c r="S310" s="86"/>
      <c r="T310" s="86"/>
      <c r="U310" s="86"/>
    </row>
    <row r="311">
      <c r="O311" s="86"/>
      <c r="P311" s="86"/>
      <c r="Q311" s="86"/>
      <c r="R311" s="86"/>
      <c r="S311" s="86"/>
      <c r="T311" s="86"/>
      <c r="U311" s="86"/>
    </row>
    <row r="312">
      <c r="O312" s="86"/>
      <c r="P312" s="86"/>
      <c r="Q312" s="86"/>
      <c r="R312" s="86"/>
      <c r="S312" s="86"/>
      <c r="T312" s="86"/>
      <c r="U312" s="86"/>
    </row>
    <row r="313">
      <c r="O313" s="86"/>
      <c r="P313" s="86"/>
      <c r="Q313" s="86"/>
      <c r="R313" s="86"/>
      <c r="S313" s="86"/>
      <c r="T313" s="86"/>
      <c r="U313" s="86"/>
    </row>
    <row r="314">
      <c r="O314" s="86"/>
      <c r="P314" s="86"/>
      <c r="Q314" s="86"/>
      <c r="R314" s="86"/>
      <c r="S314" s="86"/>
      <c r="T314" s="86"/>
      <c r="U314" s="86"/>
    </row>
    <row r="315">
      <c r="O315" s="86"/>
      <c r="P315" s="86"/>
      <c r="Q315" s="86"/>
      <c r="R315" s="86"/>
      <c r="S315" s="86"/>
      <c r="T315" s="86"/>
      <c r="U315" s="86"/>
    </row>
    <row r="316">
      <c r="O316" s="86"/>
      <c r="P316" s="86"/>
      <c r="Q316" s="86"/>
      <c r="R316" s="86"/>
      <c r="S316" s="86"/>
      <c r="T316" s="86"/>
      <c r="U316" s="86"/>
    </row>
    <row r="317">
      <c r="O317" s="86"/>
      <c r="P317" s="86"/>
      <c r="Q317" s="86"/>
      <c r="R317" s="86"/>
      <c r="S317" s="86"/>
      <c r="T317" s="86"/>
      <c r="U317" s="86"/>
    </row>
    <row r="318">
      <c r="O318" s="86"/>
      <c r="P318" s="86"/>
      <c r="Q318" s="86"/>
      <c r="R318" s="86"/>
      <c r="S318" s="86"/>
      <c r="T318" s="86"/>
      <c r="U318" s="86"/>
    </row>
    <row r="319">
      <c r="O319" s="86"/>
      <c r="P319" s="86"/>
      <c r="Q319" s="86"/>
      <c r="R319" s="86"/>
      <c r="S319" s="86"/>
      <c r="T319" s="86"/>
      <c r="U319" s="86"/>
    </row>
    <row r="320">
      <c r="O320" s="86"/>
      <c r="P320" s="86"/>
      <c r="Q320" s="86"/>
      <c r="R320" s="86"/>
      <c r="S320" s="86"/>
      <c r="T320" s="86"/>
      <c r="U320" s="86"/>
    </row>
    <row r="321">
      <c r="O321" s="86"/>
      <c r="P321" s="86"/>
      <c r="Q321" s="86"/>
      <c r="R321" s="86"/>
      <c r="S321" s="86"/>
      <c r="T321" s="86"/>
      <c r="U321" s="86"/>
    </row>
    <row r="322">
      <c r="O322" s="86"/>
      <c r="P322" s="86"/>
      <c r="Q322" s="86"/>
      <c r="R322" s="86"/>
      <c r="S322" s="86"/>
      <c r="T322" s="86"/>
      <c r="U322" s="86"/>
    </row>
    <row r="323">
      <c r="O323" s="86"/>
      <c r="P323" s="86"/>
      <c r="Q323" s="86"/>
      <c r="R323" s="86"/>
      <c r="S323" s="86"/>
      <c r="T323" s="86"/>
      <c r="U323" s="86"/>
    </row>
    <row r="324">
      <c r="O324" s="86"/>
      <c r="P324" s="86"/>
      <c r="Q324" s="86"/>
      <c r="R324" s="86"/>
      <c r="S324" s="86"/>
      <c r="T324" s="86"/>
      <c r="U324" s="86"/>
    </row>
    <row r="325">
      <c r="O325" s="86"/>
      <c r="P325" s="86"/>
      <c r="Q325" s="86"/>
      <c r="R325" s="86"/>
      <c r="S325" s="86"/>
      <c r="T325" s="86"/>
      <c r="U325" s="86"/>
    </row>
    <row r="326">
      <c r="O326" s="86"/>
      <c r="P326" s="86"/>
      <c r="Q326" s="86"/>
      <c r="R326" s="86"/>
      <c r="S326" s="86"/>
      <c r="T326" s="86"/>
      <c r="U326" s="86"/>
    </row>
    <row r="327">
      <c r="O327" s="86"/>
      <c r="P327" s="86"/>
      <c r="Q327" s="86"/>
      <c r="R327" s="86"/>
      <c r="S327" s="86"/>
      <c r="T327" s="86"/>
      <c r="U327" s="86"/>
    </row>
    <row r="328">
      <c r="O328" s="86"/>
      <c r="P328" s="86"/>
      <c r="Q328" s="86"/>
      <c r="R328" s="86"/>
      <c r="S328" s="86"/>
      <c r="T328" s="86"/>
      <c r="U328" s="86"/>
    </row>
    <row r="329">
      <c r="O329" s="86"/>
      <c r="P329" s="86"/>
      <c r="Q329" s="86"/>
      <c r="R329" s="86"/>
      <c r="S329" s="86"/>
      <c r="T329" s="86"/>
      <c r="U329" s="86"/>
    </row>
    <row r="330">
      <c r="O330" s="86"/>
      <c r="P330" s="86"/>
      <c r="Q330" s="86"/>
      <c r="R330" s="86"/>
      <c r="S330" s="86"/>
      <c r="T330" s="86"/>
      <c r="U330" s="86"/>
    </row>
    <row r="331">
      <c r="O331" s="86"/>
      <c r="P331" s="86"/>
      <c r="Q331" s="86"/>
      <c r="R331" s="86"/>
      <c r="S331" s="86"/>
      <c r="T331" s="86"/>
      <c r="U331" s="86"/>
    </row>
    <row r="332">
      <c r="O332" s="86"/>
      <c r="P332" s="86"/>
      <c r="Q332" s="86"/>
      <c r="R332" s="86"/>
      <c r="S332" s="86"/>
      <c r="T332" s="86"/>
      <c r="U332" s="86"/>
    </row>
    <row r="333">
      <c r="O333" s="86"/>
      <c r="P333" s="86"/>
      <c r="Q333" s="86"/>
      <c r="R333" s="86"/>
      <c r="S333" s="86"/>
      <c r="T333" s="86"/>
      <c r="U333" s="86"/>
    </row>
    <row r="334">
      <c r="O334" s="86"/>
      <c r="P334" s="86"/>
      <c r="Q334" s="86"/>
      <c r="R334" s="86"/>
      <c r="S334" s="86"/>
      <c r="T334" s="86"/>
      <c r="U334" s="86"/>
    </row>
    <row r="335">
      <c r="O335" s="86"/>
      <c r="P335" s="86"/>
      <c r="Q335" s="86"/>
      <c r="R335" s="86"/>
      <c r="S335" s="86"/>
      <c r="T335" s="86"/>
      <c r="U335" s="86"/>
    </row>
    <row r="336">
      <c r="O336" s="86"/>
      <c r="P336" s="86"/>
      <c r="Q336" s="86"/>
      <c r="R336" s="86"/>
      <c r="S336" s="86"/>
      <c r="T336" s="86"/>
      <c r="U336" s="86"/>
    </row>
    <row r="337">
      <c r="O337" s="86"/>
      <c r="P337" s="86"/>
      <c r="Q337" s="86"/>
      <c r="R337" s="86"/>
      <c r="S337" s="86"/>
      <c r="T337" s="86"/>
      <c r="U337" s="86"/>
    </row>
    <row r="338">
      <c r="O338" s="86"/>
      <c r="P338" s="86"/>
      <c r="Q338" s="86"/>
      <c r="R338" s="86"/>
      <c r="S338" s="86"/>
      <c r="T338" s="86"/>
      <c r="U338" s="86"/>
    </row>
    <row r="339">
      <c r="O339" s="86"/>
      <c r="P339" s="86"/>
      <c r="Q339" s="86"/>
      <c r="R339" s="86"/>
      <c r="S339" s="86"/>
      <c r="T339" s="86"/>
      <c r="U339" s="86"/>
    </row>
    <row r="340">
      <c r="O340" s="86"/>
      <c r="P340" s="86"/>
      <c r="Q340" s="86"/>
      <c r="R340" s="86"/>
      <c r="S340" s="86"/>
      <c r="T340" s="86"/>
      <c r="U340" s="86"/>
    </row>
    <row r="341">
      <c r="O341" s="86"/>
      <c r="P341" s="86"/>
      <c r="Q341" s="86"/>
      <c r="R341" s="86"/>
      <c r="S341" s="86"/>
      <c r="T341" s="86"/>
      <c r="U341" s="86"/>
    </row>
    <row r="342">
      <c r="O342" s="86"/>
      <c r="P342" s="86"/>
      <c r="Q342" s="86"/>
      <c r="R342" s="86"/>
      <c r="S342" s="86"/>
      <c r="T342" s="86"/>
      <c r="U342" s="86"/>
    </row>
    <row r="343">
      <c r="O343" s="86"/>
      <c r="P343" s="86"/>
      <c r="Q343" s="86"/>
      <c r="R343" s="86"/>
      <c r="S343" s="86"/>
      <c r="T343" s="86"/>
      <c r="U343" s="86"/>
    </row>
    <row r="344">
      <c r="O344" s="86"/>
      <c r="P344" s="86"/>
      <c r="Q344" s="86"/>
      <c r="R344" s="86"/>
      <c r="S344" s="86"/>
      <c r="T344" s="86"/>
      <c r="U344" s="86"/>
    </row>
    <row r="345">
      <c r="O345" s="86"/>
      <c r="P345" s="86"/>
      <c r="Q345" s="86"/>
      <c r="R345" s="86"/>
      <c r="S345" s="86"/>
      <c r="T345" s="86"/>
      <c r="U345" s="86"/>
    </row>
    <row r="346">
      <c r="O346" s="86"/>
      <c r="P346" s="86"/>
      <c r="Q346" s="86"/>
      <c r="R346" s="86"/>
      <c r="S346" s="86"/>
      <c r="T346" s="86"/>
      <c r="U346" s="86"/>
    </row>
    <row r="347">
      <c r="O347" s="86"/>
      <c r="P347" s="86"/>
      <c r="Q347" s="86"/>
      <c r="R347" s="86"/>
      <c r="S347" s="86"/>
      <c r="T347" s="86"/>
      <c r="U347" s="86"/>
    </row>
    <row r="348">
      <c r="O348" s="86"/>
      <c r="P348" s="86"/>
      <c r="Q348" s="86"/>
      <c r="R348" s="86"/>
      <c r="S348" s="86"/>
      <c r="T348" s="86"/>
      <c r="U348" s="86"/>
    </row>
    <row r="349">
      <c r="O349" s="86"/>
      <c r="P349" s="86"/>
      <c r="Q349" s="86"/>
      <c r="R349" s="86"/>
      <c r="S349" s="86"/>
      <c r="T349" s="86"/>
      <c r="U349" s="86"/>
    </row>
    <row r="350">
      <c r="O350" s="86"/>
      <c r="P350" s="86"/>
      <c r="Q350" s="86"/>
      <c r="R350" s="86"/>
      <c r="S350" s="86"/>
      <c r="T350" s="86"/>
      <c r="U350" s="86"/>
    </row>
    <row r="351">
      <c r="O351" s="86"/>
      <c r="P351" s="86"/>
      <c r="Q351" s="86"/>
      <c r="R351" s="86"/>
      <c r="S351" s="86"/>
      <c r="T351" s="86"/>
      <c r="U351" s="86"/>
    </row>
    <row r="352">
      <c r="O352" s="86"/>
      <c r="P352" s="86"/>
      <c r="Q352" s="86"/>
      <c r="R352" s="86"/>
      <c r="S352" s="86"/>
      <c r="T352" s="86"/>
      <c r="U352" s="86"/>
    </row>
    <row r="353">
      <c r="O353" s="86"/>
      <c r="P353" s="86"/>
      <c r="Q353" s="86"/>
      <c r="R353" s="86"/>
      <c r="S353" s="86"/>
      <c r="T353" s="86"/>
      <c r="U353" s="86"/>
    </row>
    <row r="354">
      <c r="O354" s="86"/>
      <c r="P354" s="86"/>
      <c r="Q354" s="86"/>
      <c r="R354" s="86"/>
      <c r="S354" s="86"/>
      <c r="T354" s="86"/>
      <c r="U354" s="86"/>
    </row>
    <row r="355">
      <c r="O355" s="86"/>
      <c r="P355" s="86"/>
      <c r="Q355" s="86"/>
      <c r="R355" s="86"/>
      <c r="S355" s="86"/>
      <c r="T355" s="86"/>
      <c r="U355" s="86"/>
    </row>
    <row r="356">
      <c r="O356" s="86"/>
      <c r="P356" s="86"/>
      <c r="Q356" s="86"/>
      <c r="R356" s="86"/>
      <c r="S356" s="86"/>
      <c r="T356" s="86"/>
      <c r="U356" s="86"/>
    </row>
    <row r="357">
      <c r="O357" s="86"/>
      <c r="P357" s="86"/>
      <c r="Q357" s="86"/>
      <c r="R357" s="86"/>
      <c r="S357" s="86"/>
      <c r="T357" s="86"/>
      <c r="U357" s="86"/>
    </row>
    <row r="358">
      <c r="O358" s="86"/>
      <c r="P358" s="86"/>
      <c r="Q358" s="86"/>
      <c r="R358" s="86"/>
      <c r="S358" s="86"/>
      <c r="T358" s="86"/>
      <c r="U358" s="86"/>
    </row>
    <row r="359">
      <c r="O359" s="86"/>
      <c r="P359" s="86"/>
      <c r="Q359" s="86"/>
      <c r="R359" s="86"/>
      <c r="S359" s="86"/>
      <c r="T359" s="86"/>
      <c r="U359" s="86"/>
    </row>
    <row r="360">
      <c r="O360" s="86"/>
      <c r="P360" s="86"/>
      <c r="Q360" s="86"/>
      <c r="R360" s="86"/>
      <c r="S360" s="86"/>
      <c r="T360" s="86"/>
      <c r="U360" s="86"/>
    </row>
    <row r="361">
      <c r="O361" s="86"/>
      <c r="P361" s="86"/>
      <c r="Q361" s="86"/>
      <c r="R361" s="86"/>
      <c r="S361" s="86"/>
      <c r="T361" s="86"/>
      <c r="U361" s="86"/>
    </row>
    <row r="362">
      <c r="O362" s="86"/>
      <c r="P362" s="86"/>
      <c r="Q362" s="86"/>
      <c r="R362" s="86"/>
      <c r="S362" s="86"/>
      <c r="T362" s="86"/>
      <c r="U362" s="86"/>
    </row>
    <row r="363">
      <c r="O363" s="86"/>
      <c r="P363" s="86"/>
      <c r="Q363" s="86"/>
      <c r="R363" s="86"/>
      <c r="S363" s="86"/>
      <c r="T363" s="86"/>
      <c r="U363" s="86"/>
    </row>
    <row r="364">
      <c r="O364" s="86"/>
      <c r="P364" s="86"/>
      <c r="Q364" s="86"/>
      <c r="R364" s="86"/>
      <c r="S364" s="86"/>
      <c r="T364" s="86"/>
      <c r="U364" s="86"/>
    </row>
    <row r="365">
      <c r="O365" s="86"/>
      <c r="P365" s="86"/>
      <c r="Q365" s="86"/>
      <c r="R365" s="86"/>
      <c r="S365" s="86"/>
      <c r="T365" s="86"/>
      <c r="U365" s="86"/>
    </row>
    <row r="366">
      <c r="O366" s="86"/>
      <c r="P366" s="86"/>
      <c r="Q366" s="86"/>
      <c r="R366" s="86"/>
      <c r="S366" s="86"/>
      <c r="T366" s="86"/>
      <c r="U366" s="86"/>
    </row>
    <row r="367">
      <c r="O367" s="86"/>
      <c r="P367" s="86"/>
      <c r="Q367" s="86"/>
      <c r="R367" s="86"/>
      <c r="S367" s="86"/>
      <c r="T367" s="86"/>
      <c r="U367" s="86"/>
    </row>
    <row r="368">
      <c r="O368" s="86"/>
      <c r="P368" s="86"/>
      <c r="Q368" s="86"/>
      <c r="R368" s="86"/>
      <c r="S368" s="86"/>
      <c r="T368" s="86"/>
      <c r="U368" s="86"/>
    </row>
    <row r="369">
      <c r="O369" s="86"/>
      <c r="P369" s="86"/>
      <c r="Q369" s="86"/>
      <c r="R369" s="86"/>
      <c r="S369" s="86"/>
      <c r="T369" s="86"/>
      <c r="U369" s="86"/>
    </row>
    <row r="370">
      <c r="O370" s="86"/>
      <c r="P370" s="86"/>
      <c r="Q370" s="86"/>
      <c r="R370" s="86"/>
      <c r="S370" s="86"/>
      <c r="T370" s="86"/>
      <c r="U370" s="86"/>
    </row>
    <row r="371">
      <c r="O371" s="86"/>
      <c r="P371" s="86"/>
      <c r="Q371" s="86"/>
      <c r="R371" s="86"/>
      <c r="S371" s="86"/>
      <c r="T371" s="86"/>
      <c r="U371" s="86"/>
    </row>
    <row r="372">
      <c r="O372" s="86"/>
      <c r="P372" s="86"/>
      <c r="Q372" s="86"/>
      <c r="R372" s="86"/>
      <c r="S372" s="86"/>
      <c r="T372" s="86"/>
      <c r="U372" s="86"/>
    </row>
    <row r="373">
      <c r="O373" s="86"/>
      <c r="P373" s="86"/>
      <c r="Q373" s="86"/>
      <c r="R373" s="86"/>
      <c r="S373" s="86"/>
      <c r="T373" s="86"/>
      <c r="U373" s="86"/>
    </row>
    <row r="374">
      <c r="O374" s="86"/>
      <c r="P374" s="86"/>
      <c r="Q374" s="86"/>
      <c r="R374" s="86"/>
      <c r="S374" s="86"/>
      <c r="T374" s="86"/>
      <c r="U374" s="86"/>
    </row>
    <row r="375">
      <c r="O375" s="86"/>
      <c r="P375" s="86"/>
      <c r="Q375" s="86"/>
      <c r="R375" s="86"/>
      <c r="S375" s="86"/>
      <c r="T375" s="86"/>
      <c r="U375" s="86"/>
    </row>
    <row r="376">
      <c r="O376" s="86"/>
      <c r="P376" s="86"/>
      <c r="Q376" s="86"/>
      <c r="R376" s="86"/>
      <c r="S376" s="86"/>
      <c r="T376" s="86"/>
      <c r="U376" s="86"/>
    </row>
    <row r="377">
      <c r="O377" s="86"/>
      <c r="P377" s="86"/>
      <c r="Q377" s="86"/>
      <c r="R377" s="86"/>
      <c r="S377" s="86"/>
      <c r="T377" s="86"/>
      <c r="U377" s="86"/>
    </row>
    <row r="378">
      <c r="O378" s="86"/>
      <c r="P378" s="86"/>
      <c r="Q378" s="86"/>
      <c r="R378" s="86"/>
      <c r="S378" s="86"/>
      <c r="T378" s="86"/>
      <c r="U378" s="86"/>
    </row>
    <row r="379">
      <c r="O379" s="86"/>
      <c r="P379" s="86"/>
      <c r="Q379" s="86"/>
      <c r="R379" s="86"/>
      <c r="S379" s="86"/>
      <c r="T379" s="86"/>
      <c r="U379" s="86"/>
    </row>
    <row r="380">
      <c r="O380" s="86"/>
      <c r="P380" s="86"/>
      <c r="Q380" s="86"/>
      <c r="R380" s="86"/>
      <c r="S380" s="86"/>
      <c r="T380" s="86"/>
      <c r="U380" s="86"/>
    </row>
    <row r="381">
      <c r="O381" s="86"/>
      <c r="P381" s="86"/>
      <c r="Q381" s="86"/>
      <c r="R381" s="86"/>
      <c r="S381" s="86"/>
      <c r="T381" s="86"/>
      <c r="U381" s="86"/>
    </row>
    <row r="382">
      <c r="O382" s="86"/>
      <c r="P382" s="86"/>
      <c r="Q382" s="86"/>
      <c r="R382" s="86"/>
      <c r="S382" s="86"/>
      <c r="T382" s="86"/>
      <c r="U382" s="86"/>
    </row>
    <row r="383">
      <c r="O383" s="86"/>
      <c r="P383" s="86"/>
      <c r="Q383" s="86"/>
      <c r="R383" s="86"/>
      <c r="S383" s="86"/>
      <c r="T383" s="86"/>
      <c r="U383" s="86"/>
    </row>
    <row r="384">
      <c r="O384" s="86"/>
      <c r="P384" s="86"/>
      <c r="Q384" s="86"/>
      <c r="R384" s="86"/>
      <c r="S384" s="86"/>
      <c r="T384" s="86"/>
      <c r="U384" s="86"/>
    </row>
    <row r="385">
      <c r="O385" s="86"/>
      <c r="P385" s="86"/>
      <c r="Q385" s="86"/>
      <c r="R385" s="86"/>
      <c r="S385" s="86"/>
      <c r="T385" s="86"/>
      <c r="U385" s="86"/>
    </row>
    <row r="386">
      <c r="O386" s="86"/>
      <c r="P386" s="86"/>
      <c r="Q386" s="86"/>
      <c r="R386" s="86"/>
      <c r="S386" s="86"/>
      <c r="T386" s="86"/>
      <c r="U386" s="86"/>
    </row>
    <row r="387">
      <c r="O387" s="86"/>
      <c r="P387" s="86"/>
      <c r="Q387" s="86"/>
      <c r="R387" s="86"/>
      <c r="S387" s="86"/>
      <c r="T387" s="86"/>
      <c r="U387" s="86"/>
    </row>
    <row r="388">
      <c r="O388" s="86"/>
      <c r="P388" s="86"/>
      <c r="Q388" s="86"/>
      <c r="R388" s="86"/>
      <c r="S388" s="86"/>
      <c r="T388" s="86"/>
      <c r="U388" s="86"/>
    </row>
    <row r="389">
      <c r="O389" s="86"/>
      <c r="P389" s="86"/>
      <c r="Q389" s="86"/>
      <c r="R389" s="86"/>
      <c r="S389" s="86"/>
      <c r="T389" s="86"/>
      <c r="U389" s="86"/>
    </row>
    <row r="390">
      <c r="O390" s="86"/>
      <c r="P390" s="86"/>
      <c r="Q390" s="86"/>
      <c r="R390" s="86"/>
      <c r="S390" s="86"/>
      <c r="T390" s="86"/>
      <c r="U390" s="86"/>
    </row>
    <row r="391">
      <c r="O391" s="86"/>
      <c r="P391" s="86"/>
      <c r="Q391" s="86"/>
      <c r="R391" s="86"/>
      <c r="S391" s="86"/>
      <c r="T391" s="86"/>
      <c r="U391" s="86"/>
    </row>
    <row r="392">
      <c r="O392" s="86"/>
      <c r="P392" s="86"/>
      <c r="Q392" s="86"/>
      <c r="R392" s="86"/>
      <c r="S392" s="86"/>
      <c r="T392" s="86"/>
      <c r="U392" s="86"/>
    </row>
    <row r="393">
      <c r="O393" s="86"/>
      <c r="P393" s="86"/>
      <c r="Q393" s="86"/>
      <c r="R393" s="86"/>
      <c r="S393" s="86"/>
      <c r="T393" s="86"/>
      <c r="U393" s="86"/>
    </row>
    <row r="394">
      <c r="O394" s="86"/>
      <c r="P394" s="86"/>
      <c r="Q394" s="86"/>
      <c r="R394" s="86"/>
      <c r="S394" s="86"/>
      <c r="T394" s="86"/>
      <c r="U394" s="86"/>
    </row>
    <row r="395">
      <c r="O395" s="86"/>
      <c r="P395" s="86"/>
      <c r="Q395" s="86"/>
      <c r="R395" s="86"/>
      <c r="S395" s="86"/>
      <c r="T395" s="86"/>
      <c r="U395" s="86"/>
    </row>
    <row r="396">
      <c r="O396" s="86"/>
      <c r="P396" s="86"/>
      <c r="Q396" s="86"/>
      <c r="R396" s="86"/>
      <c r="S396" s="86"/>
      <c r="T396" s="86"/>
      <c r="U396" s="86"/>
    </row>
    <row r="397">
      <c r="O397" s="86"/>
      <c r="P397" s="86"/>
      <c r="Q397" s="86"/>
      <c r="R397" s="86"/>
      <c r="S397" s="86"/>
      <c r="T397" s="86"/>
      <c r="U397" s="86"/>
    </row>
    <row r="398">
      <c r="O398" s="86"/>
      <c r="P398" s="86"/>
      <c r="Q398" s="86"/>
      <c r="R398" s="86"/>
      <c r="S398" s="86"/>
      <c r="T398" s="86"/>
      <c r="U398" s="86"/>
    </row>
    <row r="399">
      <c r="O399" s="86"/>
      <c r="P399" s="86"/>
      <c r="Q399" s="86"/>
      <c r="R399" s="86"/>
      <c r="S399" s="86"/>
      <c r="T399" s="86"/>
      <c r="U399" s="86"/>
    </row>
    <row r="400">
      <c r="O400" s="86"/>
      <c r="P400" s="86"/>
      <c r="Q400" s="86"/>
      <c r="R400" s="86"/>
      <c r="S400" s="86"/>
      <c r="T400" s="86"/>
      <c r="U400" s="86"/>
    </row>
    <row r="401">
      <c r="O401" s="86"/>
      <c r="P401" s="86"/>
      <c r="Q401" s="86"/>
      <c r="R401" s="86"/>
      <c r="S401" s="86"/>
      <c r="T401" s="86"/>
      <c r="U401" s="86"/>
    </row>
    <row r="402">
      <c r="O402" s="86"/>
      <c r="P402" s="86"/>
      <c r="Q402" s="86"/>
      <c r="R402" s="86"/>
      <c r="S402" s="86"/>
      <c r="T402" s="86"/>
      <c r="U402" s="86"/>
    </row>
    <row r="403">
      <c r="O403" s="86"/>
      <c r="P403" s="86"/>
      <c r="Q403" s="86"/>
      <c r="R403" s="86"/>
      <c r="S403" s="86"/>
      <c r="T403" s="86"/>
      <c r="U403" s="86"/>
    </row>
    <row r="404">
      <c r="O404" s="86"/>
      <c r="P404" s="86"/>
      <c r="Q404" s="86"/>
      <c r="R404" s="86"/>
      <c r="S404" s="86"/>
      <c r="T404" s="86"/>
      <c r="U404" s="86"/>
    </row>
    <row r="405">
      <c r="O405" s="86"/>
      <c r="P405" s="86"/>
      <c r="Q405" s="86"/>
      <c r="R405" s="86"/>
      <c r="S405" s="86"/>
      <c r="T405" s="86"/>
      <c r="U405" s="86"/>
    </row>
    <row r="406">
      <c r="O406" s="86"/>
      <c r="P406" s="86"/>
      <c r="Q406" s="86"/>
      <c r="R406" s="86"/>
      <c r="S406" s="86"/>
      <c r="T406" s="86"/>
      <c r="U406" s="86"/>
    </row>
    <row r="407">
      <c r="O407" s="86"/>
      <c r="P407" s="86"/>
      <c r="Q407" s="86"/>
      <c r="R407" s="86"/>
      <c r="S407" s="86"/>
      <c r="T407" s="86"/>
      <c r="U407" s="86"/>
    </row>
    <row r="408">
      <c r="O408" s="86"/>
      <c r="P408" s="86"/>
      <c r="Q408" s="86"/>
      <c r="R408" s="86"/>
      <c r="S408" s="86"/>
      <c r="T408" s="86"/>
      <c r="U408" s="86"/>
    </row>
    <row r="409">
      <c r="O409" s="86"/>
      <c r="P409" s="86"/>
      <c r="Q409" s="86"/>
      <c r="R409" s="86"/>
      <c r="S409" s="86"/>
      <c r="T409" s="86"/>
      <c r="U409" s="86"/>
    </row>
    <row r="410">
      <c r="O410" s="86"/>
      <c r="P410" s="86"/>
      <c r="Q410" s="86"/>
      <c r="R410" s="86"/>
      <c r="S410" s="86"/>
      <c r="T410" s="86"/>
      <c r="U410" s="86"/>
    </row>
    <row r="411">
      <c r="O411" s="86"/>
      <c r="P411" s="86"/>
      <c r="Q411" s="86"/>
      <c r="R411" s="86"/>
      <c r="S411" s="86"/>
      <c r="T411" s="86"/>
      <c r="U411" s="86"/>
    </row>
    <row r="412">
      <c r="O412" s="86"/>
      <c r="P412" s="86"/>
      <c r="Q412" s="86"/>
      <c r="R412" s="86"/>
      <c r="S412" s="86"/>
      <c r="T412" s="86"/>
      <c r="U412" s="86"/>
    </row>
    <row r="413">
      <c r="O413" s="86"/>
      <c r="P413" s="86"/>
      <c r="Q413" s="86"/>
      <c r="R413" s="86"/>
      <c r="S413" s="86"/>
      <c r="T413" s="86"/>
      <c r="U413" s="86"/>
    </row>
    <row r="414">
      <c r="O414" s="86"/>
      <c r="P414" s="86"/>
      <c r="Q414" s="86"/>
      <c r="R414" s="86"/>
      <c r="S414" s="86"/>
      <c r="T414" s="86"/>
      <c r="U414" s="86"/>
    </row>
    <row r="415">
      <c r="O415" s="86"/>
      <c r="P415" s="86"/>
      <c r="Q415" s="86"/>
      <c r="R415" s="86"/>
      <c r="S415" s="86"/>
      <c r="T415" s="86"/>
      <c r="U415" s="86"/>
    </row>
    <row r="416">
      <c r="O416" s="86"/>
      <c r="P416" s="86"/>
      <c r="Q416" s="86"/>
      <c r="R416" s="86"/>
      <c r="S416" s="86"/>
      <c r="T416" s="86"/>
      <c r="U416" s="86"/>
    </row>
    <row r="417">
      <c r="O417" s="86"/>
      <c r="P417" s="86"/>
      <c r="Q417" s="86"/>
      <c r="R417" s="86"/>
      <c r="S417" s="86"/>
      <c r="T417" s="86"/>
      <c r="U417" s="86"/>
    </row>
    <row r="418">
      <c r="O418" s="86"/>
      <c r="P418" s="86"/>
      <c r="Q418" s="86"/>
      <c r="R418" s="86"/>
      <c r="S418" s="86"/>
      <c r="T418" s="86"/>
      <c r="U418" s="86"/>
    </row>
    <row r="419">
      <c r="O419" s="86"/>
      <c r="P419" s="86"/>
      <c r="Q419" s="86"/>
      <c r="R419" s="86"/>
      <c r="S419" s="86"/>
      <c r="T419" s="86"/>
      <c r="U419" s="86"/>
    </row>
    <row r="420">
      <c r="O420" s="86"/>
      <c r="P420" s="86"/>
      <c r="Q420" s="86"/>
      <c r="R420" s="86"/>
      <c r="S420" s="86"/>
      <c r="T420" s="86"/>
      <c r="U420" s="86"/>
    </row>
    <row r="421">
      <c r="O421" s="86"/>
      <c r="P421" s="86"/>
      <c r="Q421" s="86"/>
      <c r="R421" s="86"/>
      <c r="S421" s="86"/>
      <c r="T421" s="86"/>
      <c r="U421" s="86"/>
    </row>
    <row r="422">
      <c r="O422" s="86"/>
      <c r="P422" s="86"/>
      <c r="Q422" s="86"/>
      <c r="R422" s="86"/>
      <c r="S422" s="86"/>
      <c r="T422" s="86"/>
      <c r="U422" s="86"/>
    </row>
    <row r="423">
      <c r="O423" s="86"/>
      <c r="P423" s="86"/>
      <c r="Q423" s="86"/>
      <c r="R423" s="86"/>
      <c r="S423" s="86"/>
      <c r="T423" s="86"/>
      <c r="U423" s="86"/>
    </row>
    <row r="424">
      <c r="O424" s="86"/>
      <c r="P424" s="86"/>
      <c r="Q424" s="86"/>
      <c r="R424" s="86"/>
      <c r="S424" s="86"/>
      <c r="T424" s="86"/>
      <c r="U424" s="86"/>
    </row>
    <row r="425">
      <c r="O425" s="86"/>
      <c r="P425" s="86"/>
      <c r="Q425" s="86"/>
      <c r="R425" s="86"/>
      <c r="S425" s="86"/>
      <c r="T425" s="86"/>
      <c r="U425" s="86"/>
    </row>
    <row r="426">
      <c r="O426" s="86"/>
      <c r="P426" s="86"/>
      <c r="Q426" s="86"/>
      <c r="R426" s="86"/>
      <c r="S426" s="86"/>
      <c r="T426" s="86"/>
      <c r="U426" s="86"/>
    </row>
    <row r="427">
      <c r="O427" s="86"/>
      <c r="P427" s="86"/>
      <c r="Q427" s="86"/>
      <c r="R427" s="86"/>
      <c r="S427" s="86"/>
      <c r="T427" s="86"/>
      <c r="U427" s="86"/>
    </row>
    <row r="428">
      <c r="O428" s="86"/>
      <c r="P428" s="86"/>
      <c r="Q428" s="86"/>
      <c r="R428" s="86"/>
      <c r="S428" s="86"/>
      <c r="T428" s="86"/>
      <c r="U428" s="86"/>
    </row>
    <row r="429">
      <c r="O429" s="86"/>
      <c r="P429" s="86"/>
      <c r="Q429" s="86"/>
      <c r="R429" s="86"/>
      <c r="S429" s="86"/>
      <c r="T429" s="86"/>
      <c r="U429" s="86"/>
    </row>
    <row r="430">
      <c r="O430" s="86"/>
      <c r="P430" s="86"/>
      <c r="Q430" s="86"/>
      <c r="R430" s="86"/>
      <c r="S430" s="86"/>
      <c r="T430" s="86"/>
      <c r="U430" s="86"/>
    </row>
    <row r="431">
      <c r="O431" s="86"/>
      <c r="P431" s="86"/>
      <c r="Q431" s="86"/>
      <c r="R431" s="86"/>
      <c r="S431" s="86"/>
      <c r="T431" s="86"/>
      <c r="U431" s="86"/>
    </row>
    <row r="432">
      <c r="O432" s="86"/>
      <c r="P432" s="86"/>
      <c r="Q432" s="86"/>
      <c r="R432" s="86"/>
      <c r="S432" s="86"/>
      <c r="T432" s="86"/>
      <c r="U432" s="86"/>
    </row>
    <row r="433">
      <c r="O433" s="86"/>
      <c r="P433" s="86"/>
      <c r="Q433" s="86"/>
      <c r="R433" s="86"/>
      <c r="S433" s="86"/>
      <c r="T433" s="86"/>
      <c r="U433" s="86"/>
    </row>
    <row r="434">
      <c r="O434" s="86"/>
      <c r="P434" s="86"/>
      <c r="Q434" s="86"/>
      <c r="R434" s="86"/>
      <c r="S434" s="86"/>
      <c r="T434" s="86"/>
      <c r="U434" s="86"/>
    </row>
    <row r="435">
      <c r="O435" s="86"/>
      <c r="P435" s="86"/>
      <c r="Q435" s="86"/>
      <c r="R435" s="86"/>
      <c r="S435" s="86"/>
      <c r="T435" s="86"/>
      <c r="U435" s="86"/>
    </row>
    <row r="436">
      <c r="O436" s="86"/>
      <c r="P436" s="86"/>
      <c r="Q436" s="86"/>
      <c r="R436" s="86"/>
      <c r="S436" s="86"/>
      <c r="T436" s="86"/>
      <c r="U436" s="86"/>
    </row>
    <row r="437">
      <c r="O437" s="86"/>
      <c r="P437" s="86"/>
      <c r="Q437" s="86"/>
      <c r="R437" s="86"/>
      <c r="S437" s="86"/>
      <c r="T437" s="86"/>
      <c r="U437" s="86"/>
    </row>
    <row r="438">
      <c r="O438" s="86"/>
      <c r="P438" s="86"/>
      <c r="Q438" s="86"/>
      <c r="R438" s="86"/>
      <c r="S438" s="86"/>
      <c r="T438" s="86"/>
      <c r="U438" s="86"/>
    </row>
    <row r="439">
      <c r="O439" s="86"/>
      <c r="P439" s="86"/>
      <c r="Q439" s="86"/>
      <c r="R439" s="86"/>
      <c r="S439" s="86"/>
      <c r="T439" s="86"/>
      <c r="U439" s="86"/>
    </row>
    <row r="440">
      <c r="O440" s="86"/>
      <c r="P440" s="86"/>
      <c r="Q440" s="86"/>
      <c r="R440" s="86"/>
      <c r="S440" s="86"/>
      <c r="T440" s="86"/>
      <c r="U440" s="86"/>
    </row>
    <row r="441">
      <c r="O441" s="86"/>
      <c r="P441" s="86"/>
      <c r="Q441" s="86"/>
      <c r="R441" s="86"/>
      <c r="S441" s="86"/>
      <c r="T441" s="86"/>
      <c r="U441" s="86"/>
    </row>
    <row r="442">
      <c r="O442" s="86"/>
      <c r="P442" s="86"/>
      <c r="Q442" s="86"/>
      <c r="R442" s="86"/>
      <c r="S442" s="86"/>
      <c r="T442" s="86"/>
      <c r="U442" s="86"/>
    </row>
    <row r="443">
      <c r="O443" s="86"/>
      <c r="P443" s="86"/>
      <c r="Q443" s="86"/>
      <c r="R443" s="86"/>
      <c r="S443" s="86"/>
      <c r="T443" s="86"/>
      <c r="U443" s="86"/>
    </row>
    <row r="444">
      <c r="O444" s="86"/>
      <c r="P444" s="86"/>
      <c r="Q444" s="86"/>
      <c r="R444" s="86"/>
      <c r="S444" s="86"/>
      <c r="T444" s="86"/>
      <c r="U444" s="86"/>
    </row>
    <row r="445">
      <c r="O445" s="86"/>
      <c r="P445" s="86"/>
      <c r="Q445" s="86"/>
      <c r="R445" s="86"/>
      <c r="S445" s="86"/>
      <c r="T445" s="86"/>
      <c r="U445" s="86"/>
    </row>
    <row r="446">
      <c r="O446" s="86"/>
      <c r="P446" s="86"/>
      <c r="Q446" s="86"/>
      <c r="R446" s="86"/>
      <c r="S446" s="86"/>
      <c r="T446" s="86"/>
      <c r="U446" s="86"/>
    </row>
    <row r="447">
      <c r="O447" s="86"/>
      <c r="P447" s="86"/>
      <c r="Q447" s="86"/>
      <c r="R447" s="86"/>
      <c r="S447" s="86"/>
      <c r="T447" s="86"/>
      <c r="U447" s="86"/>
    </row>
    <row r="448">
      <c r="O448" s="86"/>
      <c r="P448" s="86"/>
      <c r="Q448" s="86"/>
      <c r="R448" s="86"/>
      <c r="S448" s="86"/>
      <c r="T448" s="86"/>
      <c r="U448" s="86"/>
    </row>
    <row r="449">
      <c r="O449" s="86"/>
      <c r="P449" s="86"/>
      <c r="Q449" s="86"/>
      <c r="R449" s="86"/>
      <c r="S449" s="86"/>
      <c r="T449" s="86"/>
      <c r="U449" s="86"/>
    </row>
    <row r="450">
      <c r="O450" s="86"/>
      <c r="P450" s="86"/>
      <c r="Q450" s="86"/>
      <c r="R450" s="86"/>
      <c r="S450" s="86"/>
      <c r="T450" s="86"/>
      <c r="U450" s="86"/>
    </row>
    <row r="451">
      <c r="O451" s="86"/>
      <c r="P451" s="86"/>
      <c r="Q451" s="86"/>
      <c r="R451" s="86"/>
      <c r="S451" s="86"/>
      <c r="T451" s="86"/>
      <c r="U451" s="86"/>
    </row>
    <row r="452">
      <c r="O452" s="86"/>
      <c r="P452" s="86"/>
      <c r="Q452" s="86"/>
      <c r="R452" s="86"/>
      <c r="S452" s="86"/>
      <c r="T452" s="86"/>
      <c r="U452" s="86"/>
    </row>
    <row r="453">
      <c r="O453" s="86"/>
      <c r="P453" s="86"/>
      <c r="Q453" s="86"/>
      <c r="R453" s="86"/>
      <c r="S453" s="86"/>
      <c r="T453" s="86"/>
      <c r="U453" s="86"/>
    </row>
    <row r="454">
      <c r="O454" s="86"/>
      <c r="P454" s="86"/>
      <c r="Q454" s="86"/>
      <c r="R454" s="86"/>
      <c r="S454" s="86"/>
      <c r="T454" s="86"/>
      <c r="U454" s="86"/>
    </row>
    <row r="455">
      <c r="O455" s="86"/>
      <c r="P455" s="86"/>
      <c r="Q455" s="86"/>
      <c r="R455" s="86"/>
      <c r="S455" s="86"/>
      <c r="T455" s="86"/>
      <c r="U455" s="86"/>
    </row>
    <row r="456">
      <c r="O456" s="86"/>
      <c r="P456" s="86"/>
      <c r="Q456" s="86"/>
      <c r="R456" s="86"/>
      <c r="S456" s="86"/>
      <c r="T456" s="86"/>
      <c r="U456" s="86"/>
    </row>
    <row r="457">
      <c r="O457" s="86"/>
      <c r="P457" s="86"/>
      <c r="Q457" s="86"/>
      <c r="R457" s="86"/>
      <c r="S457" s="86"/>
      <c r="T457" s="86"/>
      <c r="U457" s="86"/>
    </row>
    <row r="458">
      <c r="O458" s="86"/>
      <c r="P458" s="86"/>
      <c r="Q458" s="86"/>
      <c r="R458" s="86"/>
      <c r="S458" s="86"/>
      <c r="T458" s="86"/>
      <c r="U458" s="86"/>
    </row>
    <row r="459">
      <c r="O459" s="86"/>
      <c r="P459" s="86"/>
      <c r="Q459" s="86"/>
      <c r="R459" s="86"/>
      <c r="S459" s="86"/>
      <c r="T459" s="86"/>
      <c r="U459" s="86"/>
    </row>
    <row r="460">
      <c r="O460" s="86"/>
      <c r="P460" s="86"/>
      <c r="Q460" s="86"/>
      <c r="R460" s="86"/>
      <c r="S460" s="86"/>
      <c r="T460" s="86"/>
      <c r="U460" s="86"/>
    </row>
    <row r="461">
      <c r="O461" s="86"/>
      <c r="P461" s="86"/>
      <c r="Q461" s="86"/>
      <c r="R461" s="86"/>
      <c r="S461" s="86"/>
      <c r="T461" s="86"/>
      <c r="U461" s="86"/>
    </row>
    <row r="462">
      <c r="O462" s="86"/>
      <c r="P462" s="86"/>
      <c r="Q462" s="86"/>
      <c r="R462" s="86"/>
      <c r="S462" s="86"/>
      <c r="T462" s="86"/>
      <c r="U462" s="86"/>
    </row>
    <row r="463">
      <c r="O463" s="86"/>
      <c r="P463" s="86"/>
      <c r="Q463" s="86"/>
      <c r="R463" s="86"/>
      <c r="S463" s="86"/>
      <c r="T463" s="86"/>
      <c r="U463" s="86"/>
    </row>
    <row r="464">
      <c r="O464" s="86"/>
      <c r="P464" s="86"/>
      <c r="Q464" s="86"/>
      <c r="R464" s="86"/>
      <c r="S464" s="86"/>
      <c r="T464" s="86"/>
      <c r="U464" s="86"/>
    </row>
    <row r="465">
      <c r="O465" s="86"/>
      <c r="P465" s="86"/>
      <c r="Q465" s="86"/>
      <c r="R465" s="86"/>
      <c r="S465" s="86"/>
      <c r="T465" s="86"/>
      <c r="U465" s="86"/>
    </row>
    <row r="466">
      <c r="O466" s="86"/>
      <c r="P466" s="86"/>
      <c r="Q466" s="86"/>
      <c r="R466" s="86"/>
      <c r="S466" s="86"/>
      <c r="T466" s="86"/>
      <c r="U466" s="86"/>
    </row>
    <row r="467">
      <c r="O467" s="86"/>
      <c r="P467" s="86"/>
      <c r="Q467" s="86"/>
      <c r="R467" s="86"/>
      <c r="S467" s="86"/>
      <c r="T467" s="86"/>
      <c r="U467" s="86"/>
    </row>
    <row r="468">
      <c r="O468" s="86"/>
      <c r="P468" s="86"/>
      <c r="Q468" s="86"/>
      <c r="R468" s="86"/>
      <c r="S468" s="86"/>
      <c r="T468" s="86"/>
      <c r="U468" s="86"/>
    </row>
    <row r="469">
      <c r="O469" s="86"/>
      <c r="P469" s="86"/>
      <c r="Q469" s="86"/>
      <c r="R469" s="86"/>
      <c r="S469" s="86"/>
      <c r="T469" s="86"/>
      <c r="U469" s="86"/>
    </row>
    <row r="470">
      <c r="O470" s="86"/>
      <c r="P470" s="86"/>
      <c r="Q470" s="86"/>
      <c r="R470" s="86"/>
      <c r="S470" s="86"/>
      <c r="T470" s="86"/>
      <c r="U470" s="86"/>
    </row>
    <row r="471">
      <c r="O471" s="86"/>
      <c r="P471" s="86"/>
      <c r="Q471" s="86"/>
      <c r="R471" s="86"/>
      <c r="S471" s="86"/>
      <c r="T471" s="86"/>
      <c r="U471" s="86"/>
    </row>
    <row r="472">
      <c r="O472" s="86"/>
      <c r="P472" s="86"/>
      <c r="Q472" s="86"/>
      <c r="R472" s="86"/>
      <c r="S472" s="86"/>
      <c r="T472" s="86"/>
      <c r="U472" s="86"/>
    </row>
    <row r="473">
      <c r="O473" s="86"/>
      <c r="P473" s="86"/>
      <c r="Q473" s="86"/>
      <c r="R473" s="86"/>
      <c r="S473" s="86"/>
      <c r="T473" s="86"/>
      <c r="U473" s="86"/>
    </row>
    <row r="474">
      <c r="O474" s="86"/>
      <c r="P474" s="86"/>
      <c r="Q474" s="86"/>
      <c r="R474" s="86"/>
      <c r="S474" s="86"/>
      <c r="T474" s="86"/>
      <c r="U474" s="86"/>
    </row>
    <row r="475">
      <c r="O475" s="86"/>
      <c r="P475" s="86"/>
      <c r="Q475" s="86"/>
      <c r="R475" s="86"/>
      <c r="S475" s="86"/>
      <c r="T475" s="86"/>
      <c r="U475" s="86"/>
    </row>
    <row r="476">
      <c r="O476" s="86"/>
      <c r="P476" s="86"/>
      <c r="Q476" s="86"/>
      <c r="R476" s="86"/>
      <c r="S476" s="86"/>
      <c r="T476" s="86"/>
      <c r="U476" s="86"/>
    </row>
    <row r="477">
      <c r="O477" s="86"/>
      <c r="P477" s="86"/>
      <c r="Q477" s="86"/>
      <c r="R477" s="86"/>
      <c r="S477" s="86"/>
      <c r="T477" s="86"/>
      <c r="U477" s="86"/>
    </row>
    <row r="478">
      <c r="O478" s="86"/>
      <c r="P478" s="86"/>
      <c r="Q478" s="86"/>
      <c r="R478" s="86"/>
      <c r="S478" s="86"/>
      <c r="T478" s="86"/>
      <c r="U478" s="86"/>
    </row>
    <row r="479">
      <c r="O479" s="86"/>
      <c r="P479" s="86"/>
      <c r="Q479" s="86"/>
      <c r="R479" s="86"/>
      <c r="S479" s="86"/>
      <c r="T479" s="86"/>
      <c r="U479" s="86"/>
    </row>
    <row r="480">
      <c r="O480" s="86"/>
      <c r="P480" s="86"/>
      <c r="Q480" s="86"/>
      <c r="R480" s="86"/>
      <c r="S480" s="86"/>
      <c r="T480" s="86"/>
      <c r="U480" s="86"/>
    </row>
    <row r="481">
      <c r="O481" s="86"/>
      <c r="P481" s="86"/>
      <c r="Q481" s="86"/>
      <c r="R481" s="86"/>
      <c r="S481" s="86"/>
      <c r="T481" s="86"/>
      <c r="U481" s="86"/>
    </row>
    <row r="482">
      <c r="O482" s="86"/>
      <c r="P482" s="86"/>
      <c r="Q482" s="86"/>
      <c r="R482" s="86"/>
      <c r="S482" s="86"/>
      <c r="T482" s="86"/>
      <c r="U482" s="86"/>
    </row>
    <row r="483">
      <c r="O483" s="86"/>
      <c r="P483" s="86"/>
      <c r="Q483" s="86"/>
      <c r="R483" s="86"/>
      <c r="S483" s="86"/>
      <c r="T483" s="86"/>
      <c r="U483" s="86"/>
    </row>
    <row r="484">
      <c r="O484" s="86"/>
      <c r="P484" s="86"/>
      <c r="Q484" s="86"/>
      <c r="R484" s="86"/>
      <c r="S484" s="86"/>
      <c r="T484" s="86"/>
      <c r="U484" s="86"/>
    </row>
    <row r="485">
      <c r="O485" s="86"/>
      <c r="P485" s="86"/>
      <c r="Q485" s="86"/>
      <c r="R485" s="86"/>
      <c r="S485" s="86"/>
      <c r="T485" s="86"/>
      <c r="U485" s="86"/>
    </row>
    <row r="486">
      <c r="O486" s="86"/>
      <c r="P486" s="86"/>
      <c r="Q486" s="86"/>
      <c r="R486" s="86"/>
      <c r="S486" s="86"/>
      <c r="T486" s="86"/>
      <c r="U486" s="86"/>
    </row>
    <row r="487">
      <c r="O487" s="86"/>
      <c r="P487" s="86"/>
      <c r="Q487" s="86"/>
      <c r="R487" s="86"/>
      <c r="S487" s="86"/>
      <c r="T487" s="86"/>
      <c r="U487" s="86"/>
    </row>
    <row r="488">
      <c r="O488" s="86"/>
      <c r="P488" s="86"/>
      <c r="Q488" s="86"/>
      <c r="R488" s="86"/>
      <c r="S488" s="86"/>
      <c r="T488" s="86"/>
      <c r="U488" s="86"/>
    </row>
    <row r="489">
      <c r="O489" s="86"/>
      <c r="P489" s="86"/>
      <c r="Q489" s="86"/>
      <c r="R489" s="86"/>
      <c r="S489" s="86"/>
      <c r="T489" s="86"/>
      <c r="U489" s="86"/>
    </row>
    <row r="490">
      <c r="O490" s="86"/>
      <c r="P490" s="86"/>
      <c r="Q490" s="86"/>
      <c r="R490" s="86"/>
      <c r="S490" s="86"/>
      <c r="T490" s="86"/>
      <c r="U490" s="86"/>
    </row>
    <row r="491">
      <c r="O491" s="86"/>
      <c r="P491" s="86"/>
      <c r="Q491" s="86"/>
      <c r="R491" s="86"/>
      <c r="S491" s="86"/>
      <c r="T491" s="86"/>
      <c r="U491" s="86"/>
    </row>
    <row r="492">
      <c r="O492" s="86"/>
      <c r="P492" s="86"/>
      <c r="Q492" s="86"/>
      <c r="R492" s="86"/>
      <c r="S492" s="86"/>
      <c r="T492" s="86"/>
      <c r="U492" s="86"/>
    </row>
    <row r="493">
      <c r="O493" s="86"/>
      <c r="P493" s="86"/>
      <c r="Q493" s="86"/>
      <c r="R493" s="86"/>
      <c r="S493" s="86"/>
      <c r="T493" s="86"/>
      <c r="U493" s="86"/>
    </row>
    <row r="494">
      <c r="O494" s="86"/>
      <c r="P494" s="86"/>
      <c r="Q494" s="86"/>
      <c r="R494" s="86"/>
      <c r="S494" s="86"/>
      <c r="T494" s="86"/>
      <c r="U494" s="86"/>
    </row>
    <row r="495">
      <c r="O495" s="86"/>
      <c r="P495" s="86"/>
      <c r="Q495" s="86"/>
      <c r="R495" s="86"/>
      <c r="S495" s="86"/>
      <c r="T495" s="86"/>
      <c r="U495" s="86"/>
    </row>
    <row r="496">
      <c r="O496" s="86"/>
      <c r="P496" s="86"/>
      <c r="Q496" s="86"/>
      <c r="R496" s="86"/>
      <c r="S496" s="86"/>
      <c r="T496" s="86"/>
      <c r="U496" s="86"/>
    </row>
    <row r="497">
      <c r="O497" s="86"/>
      <c r="P497" s="86"/>
      <c r="Q497" s="86"/>
      <c r="R497" s="86"/>
      <c r="S497" s="86"/>
      <c r="T497" s="86"/>
      <c r="U497" s="86"/>
    </row>
    <row r="498">
      <c r="O498" s="86"/>
      <c r="P498" s="86"/>
      <c r="Q498" s="86"/>
      <c r="R498" s="86"/>
      <c r="S498" s="86"/>
      <c r="T498" s="86"/>
      <c r="U498" s="86"/>
    </row>
    <row r="499">
      <c r="O499" s="86"/>
      <c r="P499" s="86"/>
      <c r="Q499" s="86"/>
      <c r="R499" s="86"/>
      <c r="S499" s="86"/>
      <c r="T499" s="86"/>
      <c r="U499" s="86"/>
    </row>
    <row r="500">
      <c r="O500" s="86"/>
      <c r="P500" s="86"/>
      <c r="Q500" s="86"/>
      <c r="R500" s="86"/>
      <c r="S500" s="86"/>
      <c r="T500" s="86"/>
      <c r="U500" s="86"/>
    </row>
    <row r="501">
      <c r="O501" s="86"/>
      <c r="P501" s="86"/>
      <c r="Q501" s="86"/>
      <c r="R501" s="86"/>
      <c r="S501" s="86"/>
      <c r="T501" s="86"/>
      <c r="U501" s="86"/>
    </row>
    <row r="502">
      <c r="O502" s="86"/>
      <c r="P502" s="86"/>
      <c r="Q502" s="86"/>
      <c r="R502" s="86"/>
      <c r="S502" s="86"/>
      <c r="T502" s="86"/>
      <c r="U502" s="86"/>
    </row>
    <row r="503">
      <c r="O503" s="86"/>
      <c r="P503" s="86"/>
      <c r="Q503" s="86"/>
      <c r="R503" s="86"/>
      <c r="S503" s="86"/>
      <c r="T503" s="86"/>
      <c r="U503" s="86"/>
    </row>
    <row r="504">
      <c r="O504" s="86"/>
      <c r="P504" s="86"/>
      <c r="Q504" s="86"/>
      <c r="R504" s="86"/>
      <c r="S504" s="86"/>
      <c r="T504" s="86"/>
      <c r="U504" s="86"/>
    </row>
    <row r="505">
      <c r="O505" s="86"/>
      <c r="P505" s="86"/>
      <c r="Q505" s="86"/>
      <c r="R505" s="86"/>
      <c r="S505" s="86"/>
      <c r="T505" s="86"/>
      <c r="U505" s="86"/>
    </row>
    <row r="506">
      <c r="O506" s="86"/>
      <c r="P506" s="86"/>
      <c r="Q506" s="86"/>
      <c r="R506" s="86"/>
      <c r="S506" s="86"/>
      <c r="T506" s="86"/>
      <c r="U506" s="86"/>
    </row>
    <row r="507">
      <c r="O507" s="86"/>
      <c r="P507" s="86"/>
      <c r="Q507" s="86"/>
      <c r="R507" s="86"/>
      <c r="S507" s="86"/>
      <c r="T507" s="86"/>
      <c r="U507" s="86"/>
    </row>
    <row r="508">
      <c r="O508" s="86"/>
      <c r="P508" s="86"/>
      <c r="Q508" s="86"/>
      <c r="R508" s="86"/>
      <c r="S508" s="86"/>
      <c r="T508" s="86"/>
      <c r="U508" s="86"/>
    </row>
    <row r="509">
      <c r="O509" s="86"/>
      <c r="P509" s="86"/>
      <c r="Q509" s="86"/>
      <c r="R509" s="86"/>
      <c r="S509" s="86"/>
      <c r="T509" s="86"/>
      <c r="U509" s="86"/>
    </row>
    <row r="510">
      <c r="O510" s="86"/>
      <c r="P510" s="86"/>
      <c r="Q510" s="86"/>
      <c r="R510" s="86"/>
      <c r="S510" s="86"/>
      <c r="T510" s="86"/>
      <c r="U510" s="86"/>
    </row>
    <row r="511">
      <c r="O511" s="86"/>
      <c r="P511" s="86"/>
      <c r="Q511" s="86"/>
      <c r="R511" s="86"/>
      <c r="S511" s="86"/>
      <c r="T511" s="86"/>
      <c r="U511" s="86"/>
    </row>
    <row r="512">
      <c r="O512" s="86"/>
      <c r="P512" s="86"/>
      <c r="Q512" s="86"/>
      <c r="R512" s="86"/>
      <c r="S512" s="86"/>
      <c r="T512" s="86"/>
      <c r="U512" s="86"/>
    </row>
    <row r="513">
      <c r="O513" s="86"/>
      <c r="P513" s="86"/>
      <c r="Q513" s="86"/>
      <c r="R513" s="86"/>
      <c r="S513" s="86"/>
      <c r="T513" s="86"/>
      <c r="U513" s="86"/>
    </row>
    <row r="514">
      <c r="O514" s="86"/>
      <c r="P514" s="86"/>
      <c r="Q514" s="86"/>
      <c r="R514" s="86"/>
      <c r="S514" s="86"/>
      <c r="T514" s="86"/>
      <c r="U514" s="86"/>
    </row>
    <row r="515">
      <c r="O515" s="86"/>
      <c r="P515" s="86"/>
      <c r="Q515" s="86"/>
      <c r="R515" s="86"/>
      <c r="S515" s="86"/>
      <c r="T515" s="86"/>
      <c r="U515" s="86"/>
    </row>
    <row r="516">
      <c r="O516" s="86"/>
      <c r="P516" s="86"/>
      <c r="Q516" s="86"/>
      <c r="R516" s="86"/>
      <c r="S516" s="86"/>
      <c r="T516" s="86"/>
      <c r="U516" s="86"/>
    </row>
    <row r="517">
      <c r="O517" s="86"/>
      <c r="P517" s="86"/>
      <c r="Q517" s="86"/>
      <c r="R517" s="86"/>
      <c r="S517" s="86"/>
      <c r="T517" s="86"/>
      <c r="U517" s="86"/>
    </row>
    <row r="518">
      <c r="O518" s="86"/>
      <c r="P518" s="86"/>
      <c r="Q518" s="86"/>
      <c r="R518" s="86"/>
      <c r="S518" s="86"/>
      <c r="T518" s="86"/>
      <c r="U518" s="86"/>
    </row>
    <row r="519">
      <c r="O519" s="86"/>
      <c r="P519" s="86"/>
      <c r="Q519" s="86"/>
      <c r="R519" s="86"/>
      <c r="S519" s="86"/>
      <c r="T519" s="86"/>
      <c r="U519" s="86"/>
    </row>
    <row r="520">
      <c r="O520" s="86"/>
      <c r="P520" s="86"/>
      <c r="Q520" s="86"/>
      <c r="R520" s="86"/>
      <c r="S520" s="86"/>
      <c r="T520" s="86"/>
      <c r="U520" s="86"/>
    </row>
    <row r="521">
      <c r="O521" s="86"/>
      <c r="P521" s="86"/>
      <c r="Q521" s="86"/>
      <c r="R521" s="86"/>
      <c r="S521" s="86"/>
      <c r="T521" s="86"/>
      <c r="U521" s="86"/>
    </row>
    <row r="522">
      <c r="O522" s="86"/>
      <c r="P522" s="86"/>
      <c r="Q522" s="86"/>
      <c r="R522" s="86"/>
      <c r="S522" s="86"/>
      <c r="T522" s="86"/>
      <c r="U522" s="86"/>
    </row>
    <row r="523">
      <c r="O523" s="86"/>
      <c r="P523" s="86"/>
      <c r="Q523" s="86"/>
      <c r="R523" s="86"/>
      <c r="S523" s="86"/>
      <c r="T523" s="86"/>
      <c r="U523" s="86"/>
    </row>
    <row r="524">
      <c r="O524" s="86"/>
      <c r="P524" s="86"/>
      <c r="Q524" s="86"/>
      <c r="R524" s="86"/>
      <c r="S524" s="86"/>
      <c r="T524" s="86"/>
      <c r="U524" s="86"/>
    </row>
    <row r="525">
      <c r="O525" s="86"/>
      <c r="P525" s="86"/>
      <c r="Q525" s="86"/>
      <c r="R525" s="86"/>
      <c r="S525" s="86"/>
      <c r="T525" s="86"/>
      <c r="U525" s="86"/>
    </row>
    <row r="526">
      <c r="O526" s="86"/>
      <c r="P526" s="86"/>
      <c r="Q526" s="86"/>
      <c r="R526" s="86"/>
      <c r="S526" s="86"/>
      <c r="T526" s="86"/>
      <c r="U526" s="86"/>
    </row>
    <row r="527">
      <c r="O527" s="86"/>
      <c r="P527" s="86"/>
      <c r="Q527" s="86"/>
      <c r="R527" s="86"/>
      <c r="S527" s="86"/>
      <c r="T527" s="86"/>
      <c r="U527" s="86"/>
    </row>
    <row r="528">
      <c r="O528" s="86"/>
      <c r="P528" s="86"/>
      <c r="Q528" s="86"/>
      <c r="R528" s="86"/>
      <c r="S528" s="86"/>
      <c r="T528" s="86"/>
      <c r="U528" s="86"/>
    </row>
    <row r="529">
      <c r="O529" s="86"/>
      <c r="P529" s="86"/>
      <c r="Q529" s="86"/>
      <c r="R529" s="86"/>
      <c r="S529" s="86"/>
      <c r="T529" s="86"/>
      <c r="U529" s="86"/>
    </row>
    <row r="530">
      <c r="O530" s="86"/>
      <c r="P530" s="86"/>
      <c r="Q530" s="86"/>
      <c r="R530" s="86"/>
      <c r="S530" s="86"/>
      <c r="T530" s="86"/>
      <c r="U530" s="86"/>
    </row>
    <row r="531">
      <c r="O531" s="86"/>
      <c r="P531" s="86"/>
      <c r="Q531" s="86"/>
      <c r="R531" s="86"/>
      <c r="S531" s="86"/>
      <c r="T531" s="86"/>
      <c r="U531" s="86"/>
    </row>
    <row r="532">
      <c r="O532" s="86"/>
      <c r="P532" s="86"/>
      <c r="Q532" s="86"/>
      <c r="R532" s="86"/>
      <c r="S532" s="86"/>
      <c r="T532" s="86"/>
      <c r="U532" s="86"/>
    </row>
    <row r="533">
      <c r="O533" s="86"/>
      <c r="P533" s="86"/>
      <c r="Q533" s="86"/>
      <c r="R533" s="86"/>
      <c r="S533" s="86"/>
      <c r="T533" s="86"/>
      <c r="U533" s="86"/>
    </row>
    <row r="534">
      <c r="O534" s="86"/>
      <c r="P534" s="86"/>
      <c r="Q534" s="86"/>
      <c r="R534" s="86"/>
      <c r="S534" s="86"/>
      <c r="T534" s="86"/>
      <c r="U534" s="86"/>
    </row>
    <row r="535">
      <c r="O535" s="86"/>
      <c r="P535" s="86"/>
      <c r="Q535" s="86"/>
      <c r="R535" s="86"/>
      <c r="S535" s="86"/>
      <c r="T535" s="86"/>
      <c r="U535" s="86"/>
    </row>
    <row r="536">
      <c r="O536" s="86"/>
      <c r="P536" s="86"/>
      <c r="Q536" s="86"/>
      <c r="R536" s="86"/>
      <c r="S536" s="86"/>
      <c r="T536" s="86"/>
      <c r="U536" s="86"/>
    </row>
    <row r="537">
      <c r="O537" s="86"/>
      <c r="P537" s="86"/>
      <c r="Q537" s="86"/>
      <c r="R537" s="86"/>
      <c r="S537" s="86"/>
      <c r="T537" s="86"/>
      <c r="U537" s="86"/>
    </row>
    <row r="538">
      <c r="O538" s="86"/>
      <c r="P538" s="86"/>
      <c r="Q538" s="86"/>
      <c r="R538" s="86"/>
      <c r="S538" s="86"/>
      <c r="T538" s="86"/>
      <c r="U538" s="86"/>
    </row>
    <row r="539">
      <c r="O539" s="86"/>
      <c r="P539" s="86"/>
      <c r="Q539" s="86"/>
      <c r="R539" s="86"/>
      <c r="S539" s="86"/>
      <c r="T539" s="86"/>
      <c r="U539" s="86"/>
    </row>
    <row r="540">
      <c r="O540" s="86"/>
      <c r="P540" s="86"/>
      <c r="Q540" s="86"/>
      <c r="R540" s="86"/>
      <c r="S540" s="86"/>
      <c r="T540" s="86"/>
      <c r="U540" s="86"/>
    </row>
    <row r="541">
      <c r="O541" s="86"/>
      <c r="P541" s="86"/>
      <c r="Q541" s="86"/>
      <c r="R541" s="86"/>
      <c r="S541" s="86"/>
      <c r="T541" s="86"/>
      <c r="U541" s="86"/>
    </row>
    <row r="542">
      <c r="O542" s="86"/>
      <c r="P542" s="86"/>
      <c r="Q542" s="86"/>
      <c r="R542" s="86"/>
      <c r="S542" s="86"/>
      <c r="T542" s="86"/>
      <c r="U542" s="86"/>
    </row>
    <row r="543">
      <c r="O543" s="86"/>
      <c r="P543" s="86"/>
      <c r="Q543" s="86"/>
      <c r="R543" s="86"/>
      <c r="S543" s="86"/>
      <c r="T543" s="86"/>
      <c r="U543" s="86"/>
    </row>
    <row r="544">
      <c r="O544" s="86"/>
      <c r="P544" s="86"/>
      <c r="Q544" s="86"/>
      <c r="R544" s="86"/>
      <c r="S544" s="86"/>
      <c r="T544" s="86"/>
      <c r="U544" s="86"/>
    </row>
    <row r="545">
      <c r="O545" s="86"/>
      <c r="P545" s="86"/>
      <c r="Q545" s="86"/>
      <c r="R545" s="86"/>
      <c r="S545" s="86"/>
      <c r="T545" s="86"/>
      <c r="U545" s="86"/>
    </row>
    <row r="546">
      <c r="O546" s="86"/>
      <c r="P546" s="86"/>
      <c r="Q546" s="86"/>
      <c r="R546" s="86"/>
      <c r="S546" s="86"/>
      <c r="T546" s="86"/>
      <c r="U546" s="86"/>
    </row>
    <row r="547">
      <c r="O547" s="86"/>
      <c r="P547" s="86"/>
      <c r="Q547" s="86"/>
      <c r="R547" s="86"/>
      <c r="S547" s="86"/>
      <c r="T547" s="86"/>
      <c r="U547" s="86"/>
    </row>
    <row r="548">
      <c r="O548" s="86"/>
      <c r="P548" s="86"/>
      <c r="Q548" s="86"/>
      <c r="R548" s="86"/>
      <c r="S548" s="86"/>
      <c r="T548" s="86"/>
      <c r="U548" s="86"/>
    </row>
    <row r="549">
      <c r="O549" s="86"/>
      <c r="P549" s="86"/>
      <c r="Q549" s="86"/>
      <c r="R549" s="86"/>
      <c r="S549" s="86"/>
      <c r="T549" s="86"/>
      <c r="U549" s="86"/>
    </row>
    <row r="550">
      <c r="O550" s="86"/>
      <c r="P550" s="86"/>
      <c r="Q550" s="86"/>
      <c r="R550" s="86"/>
      <c r="S550" s="86"/>
      <c r="T550" s="86"/>
      <c r="U550" s="86"/>
    </row>
    <row r="551">
      <c r="O551" s="86"/>
      <c r="P551" s="86"/>
      <c r="Q551" s="86"/>
      <c r="R551" s="86"/>
      <c r="S551" s="86"/>
      <c r="T551" s="86"/>
      <c r="U551" s="86"/>
    </row>
    <row r="552">
      <c r="O552" s="86"/>
      <c r="P552" s="86"/>
      <c r="Q552" s="86"/>
      <c r="R552" s="86"/>
      <c r="S552" s="86"/>
      <c r="T552" s="86"/>
      <c r="U552" s="86"/>
    </row>
    <row r="553">
      <c r="O553" s="86"/>
      <c r="P553" s="86"/>
      <c r="Q553" s="86"/>
      <c r="R553" s="86"/>
      <c r="S553" s="86"/>
      <c r="T553" s="86"/>
      <c r="U553" s="86"/>
    </row>
    <row r="554">
      <c r="O554" s="86"/>
      <c r="P554" s="86"/>
      <c r="Q554" s="86"/>
      <c r="R554" s="86"/>
      <c r="S554" s="86"/>
      <c r="T554" s="86"/>
      <c r="U554" s="86"/>
    </row>
    <row r="555">
      <c r="O555" s="86"/>
      <c r="P555" s="86"/>
      <c r="Q555" s="86"/>
      <c r="R555" s="86"/>
      <c r="S555" s="86"/>
      <c r="T555" s="86"/>
      <c r="U555" s="86"/>
    </row>
    <row r="556">
      <c r="O556" s="86"/>
      <c r="P556" s="86"/>
      <c r="Q556" s="86"/>
      <c r="R556" s="86"/>
      <c r="S556" s="86"/>
      <c r="T556" s="86"/>
      <c r="U556" s="86"/>
    </row>
    <row r="557">
      <c r="O557" s="86"/>
      <c r="P557" s="86"/>
      <c r="Q557" s="86"/>
      <c r="R557" s="86"/>
      <c r="S557" s="86"/>
      <c r="T557" s="86"/>
      <c r="U557" s="86"/>
    </row>
    <row r="558">
      <c r="O558" s="86"/>
      <c r="P558" s="86"/>
      <c r="Q558" s="86"/>
      <c r="R558" s="86"/>
      <c r="S558" s="86"/>
      <c r="T558" s="86"/>
      <c r="U558" s="86"/>
    </row>
    <row r="559">
      <c r="O559" s="86"/>
      <c r="P559" s="86"/>
      <c r="Q559" s="86"/>
      <c r="R559" s="86"/>
      <c r="S559" s="86"/>
      <c r="T559" s="86"/>
      <c r="U559" s="86"/>
    </row>
    <row r="560">
      <c r="O560" s="86"/>
      <c r="P560" s="86"/>
      <c r="Q560" s="86"/>
      <c r="R560" s="86"/>
      <c r="S560" s="86"/>
      <c r="T560" s="86"/>
      <c r="U560" s="86"/>
    </row>
    <row r="561">
      <c r="O561" s="86"/>
      <c r="P561" s="86"/>
      <c r="Q561" s="86"/>
      <c r="R561" s="86"/>
      <c r="S561" s="86"/>
      <c r="T561" s="86"/>
      <c r="U561" s="86"/>
    </row>
    <row r="562">
      <c r="O562" s="86"/>
      <c r="P562" s="86"/>
      <c r="Q562" s="86"/>
      <c r="R562" s="86"/>
      <c r="S562" s="86"/>
      <c r="T562" s="86"/>
      <c r="U562" s="86"/>
    </row>
    <row r="563">
      <c r="O563" s="86"/>
      <c r="P563" s="86"/>
      <c r="Q563" s="86"/>
      <c r="R563" s="86"/>
      <c r="S563" s="86"/>
      <c r="T563" s="86"/>
      <c r="U563" s="86"/>
    </row>
    <row r="564">
      <c r="O564" s="86"/>
      <c r="P564" s="86"/>
      <c r="Q564" s="86"/>
      <c r="R564" s="86"/>
      <c r="S564" s="86"/>
      <c r="T564" s="86"/>
      <c r="U564" s="86"/>
    </row>
    <row r="565">
      <c r="O565" s="86"/>
      <c r="P565" s="86"/>
      <c r="Q565" s="86"/>
      <c r="R565" s="86"/>
      <c r="S565" s="86"/>
      <c r="T565" s="86"/>
      <c r="U565" s="86"/>
    </row>
    <row r="566">
      <c r="O566" s="86"/>
      <c r="P566" s="86"/>
      <c r="Q566" s="86"/>
      <c r="R566" s="86"/>
      <c r="S566" s="86"/>
      <c r="T566" s="86"/>
      <c r="U566" s="86"/>
    </row>
    <row r="567">
      <c r="O567" s="86"/>
      <c r="P567" s="86"/>
      <c r="Q567" s="86"/>
      <c r="R567" s="86"/>
      <c r="S567" s="86"/>
      <c r="T567" s="86"/>
      <c r="U567" s="86"/>
    </row>
    <row r="568">
      <c r="O568" s="86"/>
      <c r="P568" s="86"/>
      <c r="Q568" s="86"/>
      <c r="R568" s="86"/>
      <c r="S568" s="86"/>
      <c r="T568" s="86"/>
      <c r="U568" s="86"/>
    </row>
    <row r="569">
      <c r="O569" s="86"/>
      <c r="P569" s="86"/>
      <c r="Q569" s="86"/>
      <c r="R569" s="86"/>
      <c r="S569" s="86"/>
      <c r="T569" s="86"/>
      <c r="U569" s="86"/>
    </row>
    <row r="570">
      <c r="O570" s="86"/>
      <c r="P570" s="86"/>
      <c r="Q570" s="86"/>
      <c r="R570" s="86"/>
      <c r="S570" s="86"/>
      <c r="T570" s="86"/>
      <c r="U570" s="86"/>
    </row>
    <row r="571">
      <c r="O571" s="86"/>
      <c r="P571" s="86"/>
      <c r="Q571" s="86"/>
      <c r="R571" s="86"/>
      <c r="S571" s="86"/>
      <c r="T571" s="86"/>
      <c r="U571" s="86"/>
    </row>
    <row r="572">
      <c r="O572" s="86"/>
      <c r="P572" s="86"/>
      <c r="Q572" s="86"/>
      <c r="R572" s="86"/>
      <c r="S572" s="86"/>
      <c r="T572" s="86"/>
      <c r="U572" s="86"/>
    </row>
    <row r="573">
      <c r="O573" s="86"/>
      <c r="P573" s="86"/>
      <c r="Q573" s="86"/>
      <c r="R573" s="86"/>
      <c r="S573" s="86"/>
      <c r="T573" s="86"/>
      <c r="U573" s="86"/>
    </row>
    <row r="574">
      <c r="O574" s="86"/>
      <c r="P574" s="86"/>
      <c r="Q574" s="86"/>
      <c r="R574" s="86"/>
      <c r="S574" s="86"/>
      <c r="T574" s="86"/>
      <c r="U574" s="86"/>
    </row>
    <row r="575">
      <c r="O575" s="86"/>
      <c r="P575" s="86"/>
      <c r="Q575" s="86"/>
      <c r="R575" s="86"/>
      <c r="S575" s="86"/>
      <c r="T575" s="86"/>
      <c r="U575" s="86"/>
    </row>
    <row r="576">
      <c r="O576" s="86"/>
      <c r="P576" s="86"/>
      <c r="Q576" s="86"/>
      <c r="R576" s="86"/>
      <c r="S576" s="86"/>
      <c r="T576" s="86"/>
      <c r="U576" s="86"/>
    </row>
    <row r="577">
      <c r="O577" s="86"/>
      <c r="P577" s="86"/>
      <c r="Q577" s="86"/>
      <c r="R577" s="86"/>
      <c r="S577" s="86"/>
      <c r="T577" s="86"/>
      <c r="U577" s="86"/>
    </row>
    <row r="578">
      <c r="O578" s="86"/>
      <c r="P578" s="86"/>
      <c r="Q578" s="86"/>
      <c r="R578" s="86"/>
      <c r="S578" s="86"/>
      <c r="T578" s="86"/>
      <c r="U578" s="86"/>
    </row>
    <row r="579">
      <c r="O579" s="86"/>
      <c r="P579" s="86"/>
      <c r="Q579" s="86"/>
      <c r="R579" s="86"/>
      <c r="S579" s="86"/>
      <c r="T579" s="86"/>
      <c r="U579" s="86"/>
    </row>
    <row r="580">
      <c r="O580" s="86"/>
      <c r="P580" s="86"/>
      <c r="Q580" s="86"/>
      <c r="R580" s="86"/>
      <c r="S580" s="86"/>
      <c r="T580" s="86"/>
      <c r="U580" s="86"/>
    </row>
    <row r="581">
      <c r="O581" s="86"/>
      <c r="P581" s="86"/>
      <c r="Q581" s="86"/>
      <c r="R581" s="86"/>
      <c r="S581" s="86"/>
      <c r="T581" s="86"/>
      <c r="U581" s="86"/>
    </row>
    <row r="582">
      <c r="O582" s="86"/>
      <c r="P582" s="86"/>
      <c r="Q582" s="86"/>
      <c r="R582" s="86"/>
      <c r="S582" s="86"/>
      <c r="T582" s="86"/>
      <c r="U582" s="86"/>
    </row>
    <row r="583">
      <c r="O583" s="86"/>
      <c r="P583" s="86"/>
      <c r="Q583" s="86"/>
      <c r="R583" s="86"/>
      <c r="S583" s="86"/>
      <c r="T583" s="86"/>
      <c r="U583" s="86"/>
    </row>
    <row r="584">
      <c r="O584" s="86"/>
      <c r="P584" s="86"/>
      <c r="Q584" s="86"/>
      <c r="R584" s="86"/>
      <c r="S584" s="86"/>
      <c r="T584" s="86"/>
      <c r="U584" s="86"/>
    </row>
    <row r="585">
      <c r="O585" s="86"/>
      <c r="P585" s="86"/>
      <c r="Q585" s="86"/>
      <c r="R585" s="86"/>
      <c r="S585" s="86"/>
      <c r="T585" s="86"/>
      <c r="U585" s="86"/>
    </row>
    <row r="586">
      <c r="O586" s="86"/>
      <c r="P586" s="86"/>
      <c r="Q586" s="86"/>
      <c r="R586" s="86"/>
      <c r="S586" s="86"/>
      <c r="T586" s="86"/>
      <c r="U586" s="86"/>
    </row>
    <row r="587">
      <c r="O587" s="86"/>
      <c r="P587" s="86"/>
      <c r="Q587" s="86"/>
      <c r="R587" s="86"/>
      <c r="S587" s="86"/>
      <c r="T587" s="86"/>
      <c r="U587" s="86"/>
    </row>
    <row r="588">
      <c r="O588" s="86"/>
      <c r="P588" s="86"/>
      <c r="Q588" s="86"/>
      <c r="R588" s="86"/>
      <c r="S588" s="86"/>
      <c r="T588" s="86"/>
      <c r="U588" s="86"/>
    </row>
    <row r="589">
      <c r="O589" s="86"/>
      <c r="P589" s="86"/>
      <c r="Q589" s="86"/>
      <c r="R589" s="86"/>
      <c r="S589" s="86"/>
      <c r="T589" s="86"/>
      <c r="U589" s="86"/>
    </row>
    <row r="590">
      <c r="O590" s="86"/>
      <c r="P590" s="86"/>
      <c r="Q590" s="86"/>
      <c r="R590" s="86"/>
      <c r="S590" s="86"/>
      <c r="T590" s="86"/>
      <c r="U590" s="86"/>
    </row>
    <row r="591">
      <c r="O591" s="86"/>
      <c r="P591" s="86"/>
      <c r="Q591" s="86"/>
      <c r="R591" s="86"/>
      <c r="S591" s="86"/>
      <c r="T591" s="86"/>
      <c r="U591" s="86"/>
    </row>
    <row r="592">
      <c r="O592" s="86"/>
      <c r="P592" s="86"/>
      <c r="Q592" s="86"/>
      <c r="R592" s="86"/>
      <c r="S592" s="86"/>
      <c r="T592" s="86"/>
      <c r="U592" s="86"/>
    </row>
    <row r="593">
      <c r="O593" s="86"/>
      <c r="P593" s="86"/>
      <c r="Q593" s="86"/>
      <c r="R593" s="86"/>
      <c r="S593" s="86"/>
      <c r="T593" s="86"/>
      <c r="U593" s="86"/>
    </row>
    <row r="594">
      <c r="O594" s="86"/>
      <c r="P594" s="86"/>
      <c r="Q594" s="86"/>
      <c r="R594" s="86"/>
      <c r="S594" s="86"/>
      <c r="T594" s="86"/>
      <c r="U594" s="86"/>
    </row>
    <row r="595">
      <c r="O595" s="86"/>
      <c r="P595" s="86"/>
      <c r="Q595" s="86"/>
      <c r="R595" s="86"/>
      <c r="S595" s="86"/>
      <c r="T595" s="86"/>
      <c r="U595" s="86"/>
    </row>
    <row r="596">
      <c r="O596" s="86"/>
      <c r="P596" s="86"/>
      <c r="Q596" s="86"/>
      <c r="R596" s="86"/>
      <c r="S596" s="86"/>
      <c r="T596" s="86"/>
      <c r="U596" s="86"/>
    </row>
    <row r="597">
      <c r="O597" s="86"/>
      <c r="P597" s="86"/>
      <c r="Q597" s="86"/>
      <c r="R597" s="86"/>
      <c r="S597" s="86"/>
      <c r="T597" s="86"/>
      <c r="U597" s="86"/>
    </row>
    <row r="598">
      <c r="O598" s="86"/>
      <c r="P598" s="86"/>
      <c r="Q598" s="86"/>
      <c r="R598" s="86"/>
      <c r="S598" s="86"/>
      <c r="T598" s="86"/>
      <c r="U598" s="86"/>
    </row>
    <row r="599">
      <c r="O599" s="86"/>
      <c r="P599" s="86"/>
      <c r="Q599" s="86"/>
      <c r="R599" s="86"/>
      <c r="S599" s="86"/>
      <c r="T599" s="86"/>
      <c r="U599" s="86"/>
    </row>
    <row r="600">
      <c r="O600" s="86"/>
      <c r="P600" s="86"/>
      <c r="Q600" s="86"/>
      <c r="R600" s="86"/>
      <c r="S600" s="86"/>
      <c r="T600" s="86"/>
      <c r="U600" s="86"/>
    </row>
    <row r="601">
      <c r="O601" s="86"/>
      <c r="P601" s="86"/>
      <c r="Q601" s="86"/>
      <c r="R601" s="86"/>
      <c r="S601" s="86"/>
      <c r="T601" s="86"/>
      <c r="U601" s="86"/>
    </row>
    <row r="602">
      <c r="O602" s="86"/>
      <c r="P602" s="86"/>
      <c r="Q602" s="86"/>
      <c r="R602" s="86"/>
      <c r="S602" s="86"/>
      <c r="T602" s="86"/>
      <c r="U602" s="86"/>
    </row>
    <row r="603">
      <c r="O603" s="86"/>
      <c r="P603" s="86"/>
      <c r="Q603" s="86"/>
      <c r="R603" s="86"/>
      <c r="S603" s="86"/>
      <c r="T603" s="86"/>
      <c r="U603" s="86"/>
    </row>
    <row r="604">
      <c r="O604" s="86"/>
      <c r="P604" s="86"/>
      <c r="Q604" s="86"/>
      <c r="R604" s="86"/>
      <c r="S604" s="86"/>
      <c r="T604" s="86"/>
      <c r="U604" s="86"/>
    </row>
    <row r="605">
      <c r="O605" s="86"/>
      <c r="P605" s="86"/>
      <c r="Q605" s="86"/>
      <c r="R605" s="86"/>
      <c r="S605" s="86"/>
      <c r="T605" s="86"/>
      <c r="U605" s="86"/>
    </row>
    <row r="606">
      <c r="O606" s="86"/>
      <c r="P606" s="86"/>
      <c r="Q606" s="86"/>
      <c r="R606" s="86"/>
      <c r="S606" s="86"/>
      <c r="T606" s="86"/>
      <c r="U606" s="86"/>
    </row>
    <row r="607">
      <c r="O607" s="86"/>
      <c r="P607" s="86"/>
      <c r="Q607" s="86"/>
      <c r="R607" s="86"/>
      <c r="S607" s="86"/>
      <c r="T607" s="86"/>
      <c r="U607" s="86"/>
    </row>
    <row r="608">
      <c r="O608" s="86"/>
      <c r="P608" s="86"/>
      <c r="Q608" s="86"/>
      <c r="R608" s="86"/>
      <c r="S608" s="86"/>
      <c r="T608" s="86"/>
      <c r="U608" s="86"/>
    </row>
    <row r="609">
      <c r="O609" s="86"/>
      <c r="P609" s="86"/>
      <c r="Q609" s="86"/>
      <c r="R609" s="86"/>
      <c r="S609" s="86"/>
      <c r="T609" s="86"/>
      <c r="U609" s="86"/>
    </row>
    <row r="610">
      <c r="O610" s="86"/>
      <c r="P610" s="86"/>
      <c r="Q610" s="86"/>
      <c r="R610" s="86"/>
      <c r="S610" s="86"/>
      <c r="T610" s="86"/>
      <c r="U610" s="86"/>
    </row>
    <row r="611">
      <c r="O611" s="86"/>
      <c r="P611" s="86"/>
      <c r="Q611" s="86"/>
      <c r="R611" s="86"/>
      <c r="S611" s="86"/>
      <c r="T611" s="86"/>
      <c r="U611" s="86"/>
    </row>
    <row r="612">
      <c r="O612" s="86"/>
      <c r="P612" s="86"/>
      <c r="Q612" s="86"/>
      <c r="R612" s="86"/>
      <c r="S612" s="86"/>
      <c r="T612" s="86"/>
      <c r="U612" s="86"/>
    </row>
    <row r="613">
      <c r="O613" s="86"/>
      <c r="P613" s="86"/>
      <c r="Q613" s="86"/>
      <c r="R613" s="86"/>
      <c r="S613" s="86"/>
      <c r="T613" s="86"/>
      <c r="U613" s="86"/>
    </row>
    <row r="614">
      <c r="O614" s="86"/>
      <c r="P614" s="86"/>
      <c r="Q614" s="86"/>
      <c r="R614" s="86"/>
      <c r="S614" s="86"/>
      <c r="T614" s="86"/>
      <c r="U614" s="86"/>
    </row>
    <row r="615">
      <c r="O615" s="86"/>
      <c r="P615" s="86"/>
      <c r="Q615" s="86"/>
      <c r="R615" s="86"/>
      <c r="S615" s="86"/>
      <c r="T615" s="86"/>
      <c r="U615" s="86"/>
    </row>
    <row r="616">
      <c r="O616" s="86"/>
      <c r="P616" s="86"/>
      <c r="Q616" s="86"/>
      <c r="R616" s="86"/>
      <c r="S616" s="86"/>
      <c r="T616" s="86"/>
      <c r="U616" s="86"/>
    </row>
    <row r="617">
      <c r="O617" s="86"/>
      <c r="P617" s="86"/>
      <c r="Q617" s="86"/>
      <c r="R617" s="86"/>
      <c r="S617" s="86"/>
      <c r="T617" s="86"/>
      <c r="U617" s="86"/>
    </row>
    <row r="618">
      <c r="O618" s="86"/>
      <c r="P618" s="86"/>
      <c r="Q618" s="86"/>
      <c r="R618" s="86"/>
      <c r="S618" s="86"/>
      <c r="T618" s="86"/>
      <c r="U618" s="86"/>
    </row>
    <row r="619">
      <c r="O619" s="86"/>
      <c r="P619" s="86"/>
      <c r="Q619" s="86"/>
      <c r="R619" s="86"/>
      <c r="S619" s="86"/>
      <c r="T619" s="86"/>
      <c r="U619" s="86"/>
    </row>
    <row r="620">
      <c r="O620" s="86"/>
      <c r="P620" s="86"/>
      <c r="Q620" s="86"/>
      <c r="R620" s="86"/>
      <c r="S620" s="86"/>
      <c r="T620" s="86"/>
      <c r="U620" s="86"/>
    </row>
    <row r="621">
      <c r="O621" s="86"/>
      <c r="P621" s="86"/>
      <c r="Q621" s="86"/>
      <c r="R621" s="86"/>
      <c r="S621" s="86"/>
      <c r="T621" s="86"/>
      <c r="U621" s="86"/>
    </row>
    <row r="622">
      <c r="O622" s="86"/>
      <c r="P622" s="86"/>
      <c r="Q622" s="86"/>
      <c r="R622" s="86"/>
      <c r="S622" s="86"/>
      <c r="T622" s="86"/>
      <c r="U622" s="86"/>
    </row>
    <row r="623">
      <c r="O623" s="86"/>
      <c r="P623" s="86"/>
      <c r="Q623" s="86"/>
      <c r="R623" s="86"/>
      <c r="S623" s="86"/>
      <c r="T623" s="86"/>
      <c r="U623" s="86"/>
    </row>
    <row r="624">
      <c r="O624" s="86"/>
      <c r="P624" s="86"/>
      <c r="Q624" s="86"/>
      <c r="R624" s="86"/>
      <c r="S624" s="86"/>
      <c r="T624" s="86"/>
      <c r="U624" s="86"/>
    </row>
    <row r="625">
      <c r="O625" s="86"/>
      <c r="P625" s="86"/>
      <c r="Q625" s="86"/>
      <c r="R625" s="86"/>
      <c r="S625" s="86"/>
      <c r="T625" s="86"/>
      <c r="U625" s="86"/>
    </row>
    <row r="626">
      <c r="O626" s="86"/>
      <c r="P626" s="86"/>
      <c r="Q626" s="86"/>
      <c r="R626" s="86"/>
      <c r="S626" s="86"/>
      <c r="T626" s="86"/>
      <c r="U626" s="86"/>
    </row>
    <row r="627">
      <c r="O627" s="86"/>
      <c r="P627" s="86"/>
      <c r="Q627" s="86"/>
      <c r="R627" s="86"/>
      <c r="S627" s="86"/>
      <c r="T627" s="86"/>
      <c r="U627" s="86"/>
    </row>
    <row r="628">
      <c r="O628" s="86"/>
      <c r="P628" s="86"/>
      <c r="Q628" s="86"/>
      <c r="R628" s="86"/>
      <c r="S628" s="86"/>
      <c r="T628" s="86"/>
      <c r="U628" s="86"/>
    </row>
    <row r="629">
      <c r="O629" s="86"/>
      <c r="P629" s="86"/>
      <c r="Q629" s="86"/>
      <c r="R629" s="86"/>
      <c r="S629" s="86"/>
      <c r="T629" s="86"/>
      <c r="U629" s="86"/>
    </row>
    <row r="630">
      <c r="O630" s="86"/>
      <c r="P630" s="86"/>
      <c r="Q630" s="86"/>
      <c r="R630" s="86"/>
      <c r="S630" s="86"/>
      <c r="T630" s="86"/>
      <c r="U630" s="86"/>
    </row>
    <row r="631">
      <c r="O631" s="86"/>
      <c r="P631" s="86"/>
      <c r="Q631" s="86"/>
      <c r="R631" s="86"/>
      <c r="S631" s="86"/>
      <c r="T631" s="86"/>
      <c r="U631" s="86"/>
    </row>
    <row r="632">
      <c r="O632" s="86"/>
      <c r="P632" s="86"/>
      <c r="Q632" s="86"/>
      <c r="R632" s="86"/>
      <c r="S632" s="86"/>
      <c r="T632" s="86"/>
      <c r="U632" s="86"/>
    </row>
    <row r="633">
      <c r="O633" s="86"/>
      <c r="P633" s="86"/>
      <c r="Q633" s="86"/>
      <c r="R633" s="86"/>
      <c r="S633" s="86"/>
      <c r="T633" s="86"/>
      <c r="U633" s="86"/>
    </row>
    <row r="634">
      <c r="O634" s="86"/>
      <c r="P634" s="86"/>
      <c r="Q634" s="86"/>
      <c r="R634" s="86"/>
      <c r="S634" s="86"/>
      <c r="T634" s="86"/>
      <c r="U634" s="86"/>
    </row>
    <row r="635">
      <c r="O635" s="86"/>
      <c r="P635" s="86"/>
      <c r="Q635" s="86"/>
      <c r="R635" s="86"/>
      <c r="S635" s="86"/>
      <c r="T635" s="86"/>
      <c r="U635" s="86"/>
    </row>
    <row r="636">
      <c r="O636" s="86"/>
      <c r="P636" s="86"/>
      <c r="Q636" s="86"/>
      <c r="R636" s="86"/>
      <c r="S636" s="86"/>
      <c r="T636" s="86"/>
      <c r="U636" s="86"/>
    </row>
    <row r="637">
      <c r="O637" s="86"/>
      <c r="P637" s="86"/>
      <c r="Q637" s="86"/>
      <c r="R637" s="86"/>
      <c r="S637" s="86"/>
      <c r="T637" s="86"/>
      <c r="U637" s="86"/>
    </row>
    <row r="638">
      <c r="O638" s="86"/>
      <c r="P638" s="86"/>
      <c r="Q638" s="86"/>
      <c r="R638" s="86"/>
      <c r="S638" s="86"/>
      <c r="T638" s="86"/>
      <c r="U638" s="86"/>
    </row>
    <row r="639">
      <c r="O639" s="86"/>
      <c r="P639" s="86"/>
      <c r="Q639" s="86"/>
      <c r="R639" s="86"/>
      <c r="S639" s="86"/>
      <c r="T639" s="86"/>
      <c r="U639" s="86"/>
    </row>
    <row r="640">
      <c r="O640" s="86"/>
      <c r="P640" s="86"/>
      <c r="Q640" s="86"/>
      <c r="R640" s="86"/>
      <c r="S640" s="86"/>
      <c r="T640" s="86"/>
      <c r="U640" s="86"/>
    </row>
    <row r="641">
      <c r="O641" s="86"/>
      <c r="P641" s="86"/>
      <c r="Q641" s="86"/>
      <c r="R641" s="86"/>
      <c r="S641" s="86"/>
      <c r="T641" s="86"/>
      <c r="U641" s="86"/>
    </row>
    <row r="642">
      <c r="O642" s="86"/>
      <c r="P642" s="86"/>
      <c r="Q642" s="86"/>
      <c r="R642" s="86"/>
      <c r="S642" s="86"/>
      <c r="T642" s="86"/>
      <c r="U642" s="86"/>
    </row>
    <row r="643">
      <c r="O643" s="86"/>
      <c r="P643" s="86"/>
      <c r="Q643" s="86"/>
      <c r="R643" s="86"/>
      <c r="S643" s="86"/>
      <c r="T643" s="86"/>
      <c r="U643" s="86"/>
    </row>
    <row r="644">
      <c r="O644" s="86"/>
      <c r="P644" s="86"/>
      <c r="Q644" s="86"/>
      <c r="R644" s="86"/>
      <c r="S644" s="86"/>
      <c r="T644" s="86"/>
      <c r="U644" s="86"/>
    </row>
    <row r="645">
      <c r="O645" s="86"/>
      <c r="P645" s="86"/>
      <c r="Q645" s="86"/>
      <c r="R645" s="86"/>
      <c r="S645" s="86"/>
      <c r="T645" s="86"/>
      <c r="U645" s="86"/>
    </row>
    <row r="646">
      <c r="O646" s="86"/>
      <c r="P646" s="86"/>
      <c r="Q646" s="86"/>
      <c r="R646" s="86"/>
      <c r="S646" s="86"/>
      <c r="T646" s="86"/>
      <c r="U646" s="86"/>
    </row>
    <row r="647">
      <c r="O647" s="86"/>
      <c r="P647" s="86"/>
      <c r="Q647" s="86"/>
      <c r="R647" s="86"/>
      <c r="S647" s="86"/>
      <c r="T647" s="86"/>
      <c r="U647" s="86"/>
    </row>
    <row r="648">
      <c r="O648" s="86"/>
      <c r="P648" s="86"/>
      <c r="Q648" s="86"/>
      <c r="R648" s="86"/>
      <c r="S648" s="86"/>
      <c r="T648" s="86"/>
      <c r="U648" s="86"/>
    </row>
    <row r="649">
      <c r="O649" s="86"/>
      <c r="P649" s="86"/>
      <c r="Q649" s="86"/>
      <c r="R649" s="86"/>
      <c r="S649" s="86"/>
      <c r="T649" s="86"/>
      <c r="U649" s="86"/>
    </row>
    <row r="650">
      <c r="O650" s="86"/>
      <c r="P650" s="86"/>
      <c r="Q650" s="86"/>
      <c r="R650" s="86"/>
      <c r="S650" s="86"/>
      <c r="T650" s="86"/>
      <c r="U650" s="86"/>
    </row>
    <row r="651">
      <c r="O651" s="86"/>
      <c r="P651" s="86"/>
      <c r="Q651" s="86"/>
      <c r="R651" s="86"/>
      <c r="S651" s="86"/>
      <c r="T651" s="86"/>
      <c r="U651" s="86"/>
    </row>
    <row r="652">
      <c r="O652" s="86"/>
      <c r="P652" s="86"/>
      <c r="Q652" s="86"/>
      <c r="R652" s="86"/>
      <c r="S652" s="86"/>
      <c r="T652" s="86"/>
      <c r="U652" s="86"/>
    </row>
    <row r="653">
      <c r="O653" s="86"/>
      <c r="P653" s="86"/>
      <c r="Q653" s="86"/>
      <c r="R653" s="86"/>
      <c r="S653" s="86"/>
      <c r="T653" s="86"/>
      <c r="U653" s="86"/>
    </row>
    <row r="654">
      <c r="O654" s="86"/>
      <c r="P654" s="86"/>
      <c r="Q654" s="86"/>
      <c r="R654" s="86"/>
      <c r="S654" s="86"/>
      <c r="T654" s="86"/>
      <c r="U654" s="86"/>
    </row>
    <row r="655">
      <c r="O655" s="86"/>
      <c r="P655" s="86"/>
      <c r="Q655" s="86"/>
      <c r="R655" s="86"/>
      <c r="S655" s="86"/>
      <c r="T655" s="86"/>
      <c r="U655" s="86"/>
    </row>
    <row r="656">
      <c r="O656" s="86"/>
      <c r="P656" s="86"/>
      <c r="Q656" s="86"/>
      <c r="R656" s="86"/>
      <c r="S656" s="86"/>
      <c r="T656" s="86"/>
      <c r="U656" s="86"/>
    </row>
    <row r="657">
      <c r="O657" s="86"/>
      <c r="P657" s="86"/>
      <c r="Q657" s="86"/>
      <c r="R657" s="86"/>
      <c r="S657" s="86"/>
      <c r="T657" s="86"/>
      <c r="U657" s="86"/>
    </row>
    <row r="658">
      <c r="O658" s="86"/>
      <c r="P658" s="86"/>
      <c r="Q658" s="86"/>
      <c r="R658" s="86"/>
      <c r="S658" s="86"/>
      <c r="T658" s="86"/>
      <c r="U658" s="86"/>
    </row>
    <row r="659">
      <c r="O659" s="86"/>
      <c r="P659" s="86"/>
      <c r="Q659" s="86"/>
      <c r="R659" s="86"/>
      <c r="S659" s="86"/>
      <c r="T659" s="86"/>
      <c r="U659" s="86"/>
    </row>
    <row r="660">
      <c r="O660" s="86"/>
      <c r="P660" s="86"/>
      <c r="Q660" s="86"/>
      <c r="R660" s="86"/>
      <c r="S660" s="86"/>
      <c r="T660" s="86"/>
      <c r="U660" s="86"/>
    </row>
    <row r="661">
      <c r="O661" s="86"/>
      <c r="P661" s="86"/>
      <c r="Q661" s="86"/>
      <c r="R661" s="86"/>
      <c r="S661" s="86"/>
      <c r="T661" s="86"/>
      <c r="U661" s="86"/>
    </row>
    <row r="662">
      <c r="O662" s="86"/>
      <c r="P662" s="86"/>
      <c r="Q662" s="86"/>
      <c r="R662" s="86"/>
      <c r="S662" s="86"/>
      <c r="T662" s="86"/>
      <c r="U662" s="86"/>
    </row>
    <row r="663">
      <c r="O663" s="86"/>
      <c r="P663" s="86"/>
      <c r="Q663" s="86"/>
      <c r="R663" s="86"/>
      <c r="S663" s="86"/>
      <c r="T663" s="86"/>
      <c r="U663" s="86"/>
    </row>
    <row r="664">
      <c r="O664" s="86"/>
      <c r="P664" s="86"/>
      <c r="Q664" s="86"/>
      <c r="R664" s="86"/>
      <c r="S664" s="86"/>
      <c r="T664" s="86"/>
      <c r="U664" s="86"/>
    </row>
    <row r="665">
      <c r="O665" s="86"/>
      <c r="P665" s="86"/>
      <c r="Q665" s="86"/>
      <c r="R665" s="86"/>
      <c r="S665" s="86"/>
      <c r="T665" s="86"/>
      <c r="U665" s="86"/>
    </row>
    <row r="666">
      <c r="O666" s="86"/>
      <c r="P666" s="86"/>
      <c r="Q666" s="86"/>
      <c r="R666" s="86"/>
      <c r="S666" s="86"/>
      <c r="T666" s="86"/>
      <c r="U666" s="86"/>
    </row>
    <row r="667">
      <c r="O667" s="86"/>
      <c r="P667" s="86"/>
      <c r="Q667" s="86"/>
      <c r="R667" s="86"/>
      <c r="S667" s="86"/>
      <c r="T667" s="86"/>
      <c r="U667" s="86"/>
    </row>
    <row r="668">
      <c r="O668" s="86"/>
      <c r="P668" s="86"/>
      <c r="Q668" s="86"/>
      <c r="R668" s="86"/>
      <c r="S668" s="86"/>
      <c r="T668" s="86"/>
      <c r="U668" s="86"/>
    </row>
    <row r="669">
      <c r="O669" s="86"/>
      <c r="P669" s="86"/>
      <c r="Q669" s="86"/>
      <c r="R669" s="86"/>
      <c r="S669" s="86"/>
      <c r="T669" s="86"/>
      <c r="U669" s="86"/>
    </row>
    <row r="670">
      <c r="O670" s="86"/>
      <c r="P670" s="86"/>
      <c r="Q670" s="86"/>
      <c r="R670" s="86"/>
      <c r="S670" s="86"/>
      <c r="T670" s="86"/>
      <c r="U670" s="86"/>
    </row>
    <row r="671">
      <c r="O671" s="86"/>
      <c r="P671" s="86"/>
      <c r="Q671" s="86"/>
      <c r="R671" s="86"/>
      <c r="S671" s="86"/>
      <c r="T671" s="86"/>
      <c r="U671" s="86"/>
    </row>
    <row r="672">
      <c r="O672" s="86"/>
      <c r="P672" s="86"/>
      <c r="Q672" s="86"/>
      <c r="R672" s="86"/>
      <c r="S672" s="86"/>
      <c r="T672" s="86"/>
      <c r="U672" s="86"/>
    </row>
    <row r="673">
      <c r="O673" s="86"/>
      <c r="P673" s="86"/>
      <c r="Q673" s="86"/>
      <c r="R673" s="86"/>
      <c r="S673" s="86"/>
      <c r="T673" s="86"/>
      <c r="U673" s="86"/>
    </row>
    <row r="674">
      <c r="O674" s="86"/>
      <c r="P674" s="86"/>
      <c r="Q674" s="86"/>
      <c r="R674" s="86"/>
      <c r="S674" s="86"/>
      <c r="T674" s="86"/>
      <c r="U674" s="86"/>
    </row>
    <row r="675">
      <c r="O675" s="86"/>
      <c r="P675" s="86"/>
      <c r="Q675" s="86"/>
      <c r="R675" s="86"/>
      <c r="S675" s="86"/>
      <c r="T675" s="86"/>
      <c r="U675" s="86"/>
    </row>
    <row r="676">
      <c r="O676" s="86"/>
      <c r="P676" s="86"/>
      <c r="Q676" s="86"/>
      <c r="R676" s="86"/>
      <c r="S676" s="86"/>
      <c r="T676" s="86"/>
      <c r="U676" s="86"/>
    </row>
    <row r="677">
      <c r="O677" s="86"/>
      <c r="P677" s="86"/>
      <c r="Q677" s="86"/>
      <c r="R677" s="86"/>
      <c r="S677" s="86"/>
      <c r="T677" s="86"/>
      <c r="U677" s="86"/>
    </row>
    <row r="678">
      <c r="O678" s="86"/>
      <c r="P678" s="86"/>
      <c r="Q678" s="86"/>
      <c r="R678" s="86"/>
      <c r="S678" s="86"/>
      <c r="T678" s="86"/>
      <c r="U678" s="86"/>
    </row>
    <row r="679">
      <c r="O679" s="86"/>
      <c r="P679" s="86"/>
      <c r="Q679" s="86"/>
      <c r="R679" s="86"/>
      <c r="S679" s="86"/>
      <c r="T679" s="86"/>
      <c r="U679" s="86"/>
    </row>
    <row r="680">
      <c r="O680" s="86"/>
      <c r="P680" s="86"/>
      <c r="Q680" s="86"/>
      <c r="R680" s="86"/>
      <c r="S680" s="86"/>
      <c r="T680" s="86"/>
      <c r="U680" s="86"/>
    </row>
    <row r="681">
      <c r="O681" s="86"/>
      <c r="P681" s="86"/>
      <c r="Q681" s="86"/>
      <c r="R681" s="86"/>
      <c r="S681" s="86"/>
      <c r="T681" s="86"/>
      <c r="U681" s="86"/>
    </row>
    <row r="682">
      <c r="O682" s="86"/>
      <c r="P682" s="86"/>
      <c r="Q682" s="86"/>
      <c r="R682" s="86"/>
      <c r="S682" s="86"/>
      <c r="T682" s="86"/>
      <c r="U682" s="86"/>
    </row>
    <row r="683">
      <c r="O683" s="86"/>
      <c r="P683" s="86"/>
      <c r="Q683" s="86"/>
      <c r="R683" s="86"/>
      <c r="S683" s="86"/>
      <c r="T683" s="86"/>
      <c r="U683" s="86"/>
    </row>
    <row r="684">
      <c r="O684" s="86"/>
      <c r="P684" s="86"/>
      <c r="Q684" s="86"/>
      <c r="R684" s="86"/>
      <c r="S684" s="86"/>
      <c r="T684" s="86"/>
      <c r="U684" s="86"/>
    </row>
    <row r="685">
      <c r="O685" s="86"/>
      <c r="P685" s="86"/>
      <c r="Q685" s="86"/>
      <c r="R685" s="86"/>
      <c r="S685" s="86"/>
      <c r="T685" s="86"/>
      <c r="U685" s="86"/>
    </row>
    <row r="686">
      <c r="O686" s="86"/>
      <c r="P686" s="86"/>
      <c r="Q686" s="86"/>
      <c r="R686" s="86"/>
      <c r="S686" s="86"/>
      <c r="T686" s="86"/>
      <c r="U686" s="86"/>
    </row>
    <row r="687">
      <c r="O687" s="86"/>
      <c r="P687" s="86"/>
      <c r="Q687" s="86"/>
      <c r="R687" s="86"/>
      <c r="S687" s="86"/>
      <c r="T687" s="86"/>
      <c r="U687" s="86"/>
    </row>
    <row r="688">
      <c r="O688" s="86"/>
      <c r="P688" s="86"/>
      <c r="Q688" s="86"/>
      <c r="R688" s="86"/>
      <c r="S688" s="86"/>
      <c r="T688" s="86"/>
      <c r="U688" s="86"/>
    </row>
    <row r="689">
      <c r="O689" s="86"/>
      <c r="P689" s="86"/>
      <c r="Q689" s="86"/>
      <c r="R689" s="86"/>
      <c r="S689" s="86"/>
      <c r="T689" s="86"/>
      <c r="U689" s="86"/>
    </row>
    <row r="690">
      <c r="O690" s="86"/>
      <c r="P690" s="86"/>
      <c r="Q690" s="86"/>
      <c r="R690" s="86"/>
      <c r="S690" s="86"/>
      <c r="T690" s="86"/>
      <c r="U690" s="86"/>
    </row>
    <row r="691">
      <c r="O691" s="86"/>
      <c r="P691" s="86"/>
      <c r="Q691" s="86"/>
      <c r="R691" s="86"/>
      <c r="S691" s="86"/>
      <c r="T691" s="86"/>
      <c r="U691" s="86"/>
    </row>
    <row r="692">
      <c r="O692" s="86"/>
      <c r="P692" s="86"/>
      <c r="Q692" s="86"/>
      <c r="R692" s="86"/>
      <c r="S692" s="86"/>
      <c r="T692" s="86"/>
      <c r="U692" s="86"/>
    </row>
    <row r="693">
      <c r="O693" s="86"/>
      <c r="P693" s="86"/>
      <c r="Q693" s="86"/>
      <c r="R693" s="86"/>
      <c r="S693" s="86"/>
      <c r="T693" s="86"/>
      <c r="U693" s="86"/>
    </row>
    <row r="694">
      <c r="O694" s="86"/>
      <c r="P694" s="86"/>
      <c r="Q694" s="86"/>
      <c r="R694" s="86"/>
      <c r="S694" s="86"/>
      <c r="T694" s="86"/>
      <c r="U694" s="86"/>
    </row>
    <row r="695">
      <c r="O695" s="86"/>
      <c r="P695" s="86"/>
      <c r="Q695" s="86"/>
      <c r="R695" s="86"/>
      <c r="S695" s="86"/>
      <c r="T695" s="86"/>
      <c r="U695" s="86"/>
    </row>
    <row r="696">
      <c r="O696" s="86"/>
      <c r="P696" s="86"/>
      <c r="Q696" s="86"/>
      <c r="R696" s="86"/>
      <c r="S696" s="86"/>
      <c r="T696" s="86"/>
      <c r="U696" s="86"/>
    </row>
    <row r="697">
      <c r="O697" s="86"/>
      <c r="P697" s="86"/>
      <c r="Q697" s="86"/>
      <c r="R697" s="86"/>
      <c r="S697" s="86"/>
      <c r="T697" s="86"/>
      <c r="U697" s="86"/>
    </row>
    <row r="698">
      <c r="O698" s="86"/>
      <c r="P698" s="86"/>
      <c r="Q698" s="86"/>
      <c r="R698" s="86"/>
      <c r="S698" s="86"/>
      <c r="T698" s="86"/>
      <c r="U698" s="86"/>
    </row>
    <row r="699">
      <c r="O699" s="86"/>
      <c r="P699" s="86"/>
      <c r="Q699" s="86"/>
      <c r="R699" s="86"/>
      <c r="S699" s="86"/>
      <c r="T699" s="86"/>
      <c r="U699" s="86"/>
    </row>
    <row r="700">
      <c r="O700" s="86"/>
      <c r="P700" s="86"/>
      <c r="Q700" s="86"/>
      <c r="R700" s="86"/>
      <c r="S700" s="86"/>
      <c r="T700" s="86"/>
      <c r="U700" s="86"/>
    </row>
    <row r="701">
      <c r="O701" s="86"/>
      <c r="P701" s="86"/>
      <c r="Q701" s="86"/>
      <c r="R701" s="86"/>
      <c r="S701" s="86"/>
      <c r="T701" s="86"/>
      <c r="U701" s="86"/>
    </row>
    <row r="702">
      <c r="O702" s="86"/>
      <c r="P702" s="86"/>
      <c r="Q702" s="86"/>
      <c r="R702" s="86"/>
      <c r="S702" s="86"/>
      <c r="T702" s="86"/>
      <c r="U702" s="86"/>
    </row>
    <row r="703">
      <c r="O703" s="86"/>
      <c r="P703" s="86"/>
      <c r="Q703" s="86"/>
      <c r="R703" s="86"/>
      <c r="S703" s="86"/>
      <c r="T703" s="86"/>
      <c r="U703" s="86"/>
    </row>
    <row r="704">
      <c r="O704" s="86"/>
      <c r="P704" s="86"/>
      <c r="Q704" s="86"/>
      <c r="R704" s="86"/>
      <c r="S704" s="86"/>
      <c r="T704" s="86"/>
      <c r="U704" s="86"/>
    </row>
    <row r="705">
      <c r="O705" s="86"/>
      <c r="P705" s="86"/>
      <c r="Q705" s="86"/>
      <c r="R705" s="86"/>
      <c r="S705" s="86"/>
      <c r="T705" s="86"/>
      <c r="U705" s="86"/>
    </row>
    <row r="706">
      <c r="O706" s="86"/>
      <c r="P706" s="86"/>
      <c r="Q706" s="86"/>
      <c r="R706" s="86"/>
      <c r="S706" s="86"/>
      <c r="T706" s="86"/>
      <c r="U706" s="86"/>
    </row>
    <row r="707">
      <c r="O707" s="86"/>
      <c r="P707" s="86"/>
      <c r="Q707" s="86"/>
      <c r="R707" s="86"/>
      <c r="S707" s="86"/>
      <c r="T707" s="86"/>
      <c r="U707" s="86"/>
    </row>
    <row r="708">
      <c r="O708" s="86"/>
      <c r="P708" s="86"/>
      <c r="Q708" s="86"/>
      <c r="R708" s="86"/>
      <c r="S708" s="86"/>
      <c r="T708" s="86"/>
      <c r="U708" s="86"/>
    </row>
    <row r="709">
      <c r="O709" s="86"/>
      <c r="P709" s="86"/>
      <c r="Q709" s="86"/>
      <c r="R709" s="86"/>
      <c r="S709" s="86"/>
      <c r="T709" s="86"/>
      <c r="U709" s="86"/>
    </row>
    <row r="710">
      <c r="O710" s="86"/>
      <c r="P710" s="86"/>
      <c r="Q710" s="86"/>
      <c r="R710" s="86"/>
      <c r="S710" s="86"/>
      <c r="T710" s="86"/>
      <c r="U710" s="86"/>
    </row>
    <row r="711">
      <c r="O711" s="86"/>
      <c r="P711" s="86"/>
      <c r="Q711" s="86"/>
      <c r="R711" s="86"/>
      <c r="S711" s="86"/>
      <c r="T711" s="86"/>
      <c r="U711" s="86"/>
    </row>
    <row r="712">
      <c r="O712" s="86"/>
      <c r="P712" s="86"/>
      <c r="Q712" s="86"/>
      <c r="R712" s="86"/>
      <c r="S712" s="86"/>
      <c r="T712" s="86"/>
      <c r="U712" s="86"/>
    </row>
    <row r="713">
      <c r="O713" s="86"/>
      <c r="P713" s="86"/>
      <c r="Q713" s="86"/>
      <c r="R713" s="86"/>
      <c r="S713" s="86"/>
      <c r="T713" s="86"/>
      <c r="U713" s="86"/>
    </row>
    <row r="714">
      <c r="O714" s="86"/>
      <c r="P714" s="86"/>
      <c r="Q714" s="86"/>
      <c r="R714" s="86"/>
      <c r="S714" s="86"/>
      <c r="T714" s="86"/>
      <c r="U714" s="86"/>
    </row>
    <row r="715">
      <c r="O715" s="86"/>
      <c r="P715" s="86"/>
      <c r="Q715" s="86"/>
      <c r="R715" s="86"/>
      <c r="S715" s="86"/>
      <c r="T715" s="86"/>
      <c r="U715" s="86"/>
    </row>
    <row r="716">
      <c r="O716" s="86"/>
      <c r="P716" s="86"/>
      <c r="Q716" s="86"/>
      <c r="R716" s="86"/>
      <c r="S716" s="86"/>
      <c r="T716" s="86"/>
      <c r="U716" s="86"/>
    </row>
    <row r="717">
      <c r="O717" s="86"/>
      <c r="P717" s="86"/>
      <c r="Q717" s="86"/>
      <c r="R717" s="86"/>
      <c r="S717" s="86"/>
      <c r="T717" s="86"/>
      <c r="U717" s="86"/>
    </row>
    <row r="718">
      <c r="O718" s="86"/>
      <c r="P718" s="86"/>
      <c r="Q718" s="86"/>
      <c r="R718" s="86"/>
      <c r="S718" s="86"/>
      <c r="T718" s="86"/>
      <c r="U718" s="86"/>
    </row>
    <row r="719">
      <c r="O719" s="86"/>
      <c r="P719" s="86"/>
      <c r="Q719" s="86"/>
      <c r="R719" s="86"/>
      <c r="S719" s="86"/>
      <c r="T719" s="86"/>
      <c r="U719" s="86"/>
    </row>
    <row r="720">
      <c r="O720" s="86"/>
      <c r="P720" s="86"/>
      <c r="Q720" s="86"/>
      <c r="R720" s="86"/>
      <c r="S720" s="86"/>
      <c r="T720" s="86"/>
      <c r="U720" s="86"/>
    </row>
    <row r="721">
      <c r="O721" s="86"/>
      <c r="P721" s="86"/>
      <c r="Q721" s="86"/>
      <c r="R721" s="86"/>
      <c r="S721" s="86"/>
      <c r="T721" s="86"/>
      <c r="U721" s="86"/>
    </row>
    <row r="722">
      <c r="O722" s="86"/>
      <c r="P722" s="86"/>
      <c r="Q722" s="86"/>
      <c r="R722" s="86"/>
      <c r="S722" s="86"/>
      <c r="T722" s="86"/>
      <c r="U722" s="86"/>
    </row>
    <row r="723">
      <c r="O723" s="86"/>
      <c r="P723" s="86"/>
      <c r="Q723" s="86"/>
      <c r="R723" s="86"/>
      <c r="S723" s="86"/>
      <c r="T723" s="86"/>
      <c r="U723" s="86"/>
    </row>
    <row r="724">
      <c r="O724" s="86"/>
      <c r="P724" s="86"/>
      <c r="Q724" s="86"/>
      <c r="R724" s="86"/>
      <c r="S724" s="86"/>
      <c r="T724" s="86"/>
      <c r="U724" s="86"/>
    </row>
    <row r="725">
      <c r="O725" s="86"/>
      <c r="P725" s="86"/>
      <c r="Q725" s="86"/>
      <c r="R725" s="86"/>
      <c r="S725" s="86"/>
      <c r="T725" s="86"/>
      <c r="U725" s="86"/>
    </row>
    <row r="726">
      <c r="O726" s="86"/>
      <c r="P726" s="86"/>
      <c r="Q726" s="86"/>
      <c r="R726" s="86"/>
      <c r="S726" s="86"/>
      <c r="T726" s="86"/>
      <c r="U726" s="86"/>
    </row>
    <row r="727">
      <c r="O727" s="86"/>
      <c r="P727" s="86"/>
      <c r="Q727" s="86"/>
      <c r="R727" s="86"/>
      <c r="S727" s="86"/>
      <c r="T727" s="86"/>
      <c r="U727" s="86"/>
    </row>
    <row r="728">
      <c r="O728" s="86"/>
      <c r="P728" s="86"/>
      <c r="Q728" s="86"/>
      <c r="R728" s="86"/>
      <c r="S728" s="86"/>
      <c r="T728" s="86"/>
      <c r="U728" s="86"/>
    </row>
    <row r="729">
      <c r="O729" s="86"/>
      <c r="P729" s="86"/>
      <c r="Q729" s="86"/>
      <c r="R729" s="86"/>
      <c r="S729" s="86"/>
      <c r="T729" s="86"/>
      <c r="U729" s="86"/>
    </row>
    <row r="730">
      <c r="O730" s="86"/>
      <c r="P730" s="86"/>
      <c r="Q730" s="86"/>
      <c r="R730" s="86"/>
      <c r="S730" s="86"/>
      <c r="T730" s="86"/>
      <c r="U730" s="86"/>
    </row>
    <row r="731">
      <c r="O731" s="86"/>
      <c r="P731" s="86"/>
      <c r="Q731" s="86"/>
      <c r="R731" s="86"/>
      <c r="S731" s="86"/>
      <c r="T731" s="86"/>
      <c r="U731" s="86"/>
    </row>
    <row r="732">
      <c r="O732" s="86"/>
      <c r="P732" s="86"/>
      <c r="Q732" s="86"/>
      <c r="R732" s="86"/>
      <c r="S732" s="86"/>
      <c r="T732" s="86"/>
      <c r="U732" s="86"/>
    </row>
    <row r="733">
      <c r="O733" s="86"/>
      <c r="P733" s="86"/>
      <c r="Q733" s="86"/>
      <c r="R733" s="86"/>
      <c r="S733" s="86"/>
      <c r="T733" s="86"/>
      <c r="U733" s="86"/>
    </row>
    <row r="734">
      <c r="O734" s="86"/>
      <c r="P734" s="86"/>
      <c r="Q734" s="86"/>
      <c r="R734" s="86"/>
      <c r="S734" s="86"/>
      <c r="T734" s="86"/>
      <c r="U734" s="86"/>
    </row>
    <row r="735">
      <c r="O735" s="86"/>
      <c r="P735" s="86"/>
      <c r="Q735" s="86"/>
      <c r="R735" s="86"/>
      <c r="S735" s="86"/>
      <c r="T735" s="86"/>
      <c r="U735" s="86"/>
    </row>
    <row r="736">
      <c r="O736" s="86"/>
      <c r="P736" s="86"/>
      <c r="Q736" s="86"/>
      <c r="R736" s="86"/>
      <c r="S736" s="86"/>
      <c r="T736" s="86"/>
      <c r="U736" s="86"/>
    </row>
    <row r="737">
      <c r="O737" s="86"/>
      <c r="P737" s="86"/>
      <c r="Q737" s="86"/>
      <c r="R737" s="86"/>
      <c r="S737" s="86"/>
      <c r="T737" s="86"/>
      <c r="U737" s="86"/>
    </row>
    <row r="738">
      <c r="O738" s="86"/>
      <c r="P738" s="86"/>
      <c r="Q738" s="86"/>
      <c r="R738" s="86"/>
      <c r="S738" s="86"/>
      <c r="T738" s="86"/>
      <c r="U738" s="86"/>
    </row>
    <row r="739">
      <c r="O739" s="86"/>
      <c r="P739" s="86"/>
      <c r="Q739" s="86"/>
      <c r="R739" s="86"/>
      <c r="S739" s="86"/>
      <c r="T739" s="86"/>
      <c r="U739" s="86"/>
    </row>
    <row r="740">
      <c r="O740" s="86"/>
      <c r="P740" s="86"/>
      <c r="Q740" s="86"/>
      <c r="R740" s="86"/>
      <c r="S740" s="86"/>
      <c r="T740" s="86"/>
      <c r="U740" s="86"/>
    </row>
    <row r="741">
      <c r="O741" s="86"/>
      <c r="P741" s="86"/>
      <c r="Q741" s="86"/>
      <c r="R741" s="86"/>
      <c r="S741" s="86"/>
      <c r="T741" s="86"/>
      <c r="U741" s="86"/>
    </row>
    <row r="742">
      <c r="O742" s="86"/>
      <c r="P742" s="86"/>
      <c r="Q742" s="86"/>
      <c r="R742" s="86"/>
      <c r="S742" s="86"/>
      <c r="T742" s="86"/>
      <c r="U742" s="86"/>
    </row>
    <row r="743">
      <c r="O743" s="86"/>
      <c r="P743" s="86"/>
      <c r="Q743" s="86"/>
      <c r="R743" s="86"/>
      <c r="S743" s="86"/>
      <c r="T743" s="86"/>
      <c r="U743" s="86"/>
    </row>
    <row r="744">
      <c r="O744" s="86"/>
      <c r="P744" s="86"/>
      <c r="Q744" s="86"/>
      <c r="R744" s="86"/>
      <c r="S744" s="86"/>
      <c r="T744" s="86"/>
      <c r="U744" s="86"/>
    </row>
    <row r="745">
      <c r="O745" s="86"/>
      <c r="P745" s="86"/>
      <c r="Q745" s="86"/>
      <c r="R745" s="86"/>
      <c r="S745" s="86"/>
      <c r="T745" s="86"/>
      <c r="U745" s="86"/>
    </row>
    <row r="746">
      <c r="O746" s="86"/>
      <c r="P746" s="86"/>
      <c r="Q746" s="86"/>
      <c r="R746" s="86"/>
      <c r="S746" s="86"/>
      <c r="T746" s="86"/>
      <c r="U746" s="86"/>
    </row>
    <row r="747">
      <c r="O747" s="86"/>
      <c r="P747" s="86"/>
      <c r="Q747" s="86"/>
      <c r="R747" s="86"/>
      <c r="S747" s="86"/>
      <c r="T747" s="86"/>
      <c r="U747" s="86"/>
    </row>
    <row r="748">
      <c r="O748" s="86"/>
      <c r="P748" s="86"/>
      <c r="Q748" s="86"/>
      <c r="R748" s="86"/>
      <c r="S748" s="86"/>
      <c r="T748" s="86"/>
      <c r="U748" s="86"/>
    </row>
    <row r="749">
      <c r="O749" s="86"/>
      <c r="P749" s="86"/>
      <c r="Q749" s="86"/>
      <c r="R749" s="86"/>
      <c r="S749" s="86"/>
      <c r="T749" s="86"/>
      <c r="U749" s="86"/>
    </row>
    <row r="750">
      <c r="O750" s="86"/>
      <c r="P750" s="86"/>
      <c r="Q750" s="86"/>
      <c r="R750" s="86"/>
      <c r="S750" s="86"/>
      <c r="T750" s="86"/>
      <c r="U750" s="86"/>
    </row>
    <row r="751">
      <c r="O751" s="86"/>
      <c r="P751" s="86"/>
      <c r="Q751" s="86"/>
      <c r="R751" s="86"/>
      <c r="S751" s="86"/>
      <c r="T751" s="86"/>
      <c r="U751" s="86"/>
    </row>
    <row r="752">
      <c r="O752" s="86"/>
      <c r="P752" s="86"/>
      <c r="Q752" s="86"/>
      <c r="R752" s="86"/>
      <c r="S752" s="86"/>
      <c r="T752" s="86"/>
      <c r="U752" s="86"/>
    </row>
    <row r="753">
      <c r="O753" s="86"/>
      <c r="P753" s="86"/>
      <c r="Q753" s="86"/>
      <c r="R753" s="86"/>
      <c r="S753" s="86"/>
      <c r="T753" s="86"/>
      <c r="U753" s="86"/>
    </row>
    <row r="754">
      <c r="O754" s="86"/>
      <c r="P754" s="86"/>
      <c r="Q754" s="86"/>
      <c r="R754" s="86"/>
      <c r="S754" s="86"/>
      <c r="T754" s="86"/>
      <c r="U754" s="86"/>
    </row>
    <row r="755">
      <c r="O755" s="86"/>
      <c r="P755" s="86"/>
      <c r="Q755" s="86"/>
      <c r="R755" s="86"/>
      <c r="S755" s="86"/>
      <c r="T755" s="86"/>
      <c r="U755" s="86"/>
    </row>
    <row r="756">
      <c r="O756" s="86"/>
      <c r="P756" s="86"/>
      <c r="Q756" s="86"/>
      <c r="R756" s="86"/>
      <c r="S756" s="86"/>
      <c r="T756" s="86"/>
      <c r="U756" s="86"/>
    </row>
    <row r="757">
      <c r="O757" s="86"/>
      <c r="P757" s="86"/>
      <c r="Q757" s="86"/>
      <c r="R757" s="86"/>
      <c r="S757" s="86"/>
      <c r="T757" s="86"/>
      <c r="U757" s="86"/>
    </row>
    <row r="758">
      <c r="O758" s="86"/>
      <c r="P758" s="86"/>
      <c r="Q758" s="86"/>
      <c r="R758" s="86"/>
      <c r="S758" s="86"/>
      <c r="T758" s="86"/>
      <c r="U758" s="86"/>
    </row>
    <row r="759">
      <c r="O759" s="86"/>
      <c r="P759" s="86"/>
      <c r="Q759" s="86"/>
      <c r="R759" s="86"/>
      <c r="S759" s="86"/>
      <c r="T759" s="86"/>
      <c r="U759" s="86"/>
    </row>
    <row r="760">
      <c r="O760" s="86"/>
      <c r="P760" s="86"/>
      <c r="Q760" s="86"/>
      <c r="R760" s="86"/>
      <c r="S760" s="86"/>
      <c r="T760" s="86"/>
      <c r="U760" s="86"/>
    </row>
    <row r="761">
      <c r="O761" s="86"/>
      <c r="P761" s="86"/>
      <c r="Q761" s="86"/>
      <c r="R761" s="86"/>
      <c r="S761" s="86"/>
      <c r="T761" s="86"/>
      <c r="U761" s="86"/>
    </row>
    <row r="762">
      <c r="O762" s="86"/>
      <c r="P762" s="86"/>
      <c r="Q762" s="86"/>
      <c r="R762" s="86"/>
      <c r="S762" s="86"/>
      <c r="T762" s="86"/>
      <c r="U762" s="86"/>
    </row>
    <row r="763">
      <c r="O763" s="86"/>
      <c r="P763" s="86"/>
      <c r="Q763" s="86"/>
      <c r="R763" s="86"/>
      <c r="S763" s="86"/>
      <c r="T763" s="86"/>
      <c r="U763" s="86"/>
    </row>
    <row r="764">
      <c r="O764" s="86"/>
      <c r="P764" s="86"/>
      <c r="Q764" s="86"/>
      <c r="R764" s="86"/>
      <c r="S764" s="86"/>
      <c r="T764" s="86"/>
      <c r="U764" s="86"/>
    </row>
    <row r="765">
      <c r="O765" s="86"/>
      <c r="P765" s="86"/>
      <c r="Q765" s="86"/>
      <c r="R765" s="86"/>
      <c r="S765" s="86"/>
      <c r="T765" s="86"/>
      <c r="U765" s="86"/>
    </row>
    <row r="766">
      <c r="O766" s="86"/>
      <c r="P766" s="86"/>
      <c r="Q766" s="86"/>
      <c r="R766" s="86"/>
      <c r="S766" s="86"/>
      <c r="T766" s="86"/>
      <c r="U766" s="86"/>
    </row>
    <row r="767">
      <c r="O767" s="86"/>
      <c r="P767" s="86"/>
      <c r="Q767" s="86"/>
      <c r="R767" s="86"/>
      <c r="S767" s="86"/>
      <c r="T767" s="86"/>
      <c r="U767" s="86"/>
    </row>
    <row r="768">
      <c r="O768" s="86"/>
      <c r="P768" s="86"/>
      <c r="Q768" s="86"/>
      <c r="R768" s="86"/>
      <c r="S768" s="86"/>
      <c r="T768" s="86"/>
      <c r="U768" s="86"/>
    </row>
    <row r="769">
      <c r="O769" s="86"/>
      <c r="P769" s="86"/>
      <c r="Q769" s="86"/>
      <c r="R769" s="86"/>
      <c r="S769" s="86"/>
      <c r="T769" s="86"/>
      <c r="U769" s="86"/>
    </row>
    <row r="770">
      <c r="O770" s="86"/>
      <c r="P770" s="86"/>
      <c r="Q770" s="86"/>
      <c r="R770" s="86"/>
      <c r="S770" s="86"/>
      <c r="T770" s="86"/>
      <c r="U770" s="86"/>
    </row>
    <row r="771">
      <c r="O771" s="86"/>
      <c r="P771" s="86"/>
      <c r="Q771" s="86"/>
      <c r="R771" s="86"/>
      <c r="S771" s="86"/>
      <c r="T771" s="86"/>
      <c r="U771" s="86"/>
    </row>
    <row r="772">
      <c r="O772" s="86"/>
      <c r="P772" s="86"/>
      <c r="Q772" s="86"/>
      <c r="R772" s="86"/>
      <c r="S772" s="86"/>
      <c r="T772" s="86"/>
      <c r="U772" s="86"/>
    </row>
    <row r="773">
      <c r="O773" s="86"/>
      <c r="P773" s="86"/>
      <c r="Q773" s="86"/>
      <c r="R773" s="86"/>
      <c r="S773" s="86"/>
      <c r="T773" s="86"/>
      <c r="U773" s="86"/>
    </row>
    <row r="774">
      <c r="O774" s="86"/>
      <c r="P774" s="86"/>
      <c r="Q774" s="86"/>
      <c r="R774" s="86"/>
      <c r="S774" s="86"/>
      <c r="T774" s="86"/>
      <c r="U774" s="86"/>
    </row>
    <row r="775">
      <c r="O775" s="86"/>
      <c r="P775" s="86"/>
      <c r="Q775" s="86"/>
      <c r="R775" s="86"/>
      <c r="S775" s="86"/>
      <c r="T775" s="86"/>
      <c r="U775" s="86"/>
    </row>
    <row r="776">
      <c r="O776" s="86"/>
      <c r="P776" s="86"/>
      <c r="Q776" s="86"/>
      <c r="R776" s="86"/>
      <c r="S776" s="86"/>
      <c r="T776" s="86"/>
      <c r="U776" s="86"/>
    </row>
    <row r="777">
      <c r="O777" s="86"/>
      <c r="P777" s="86"/>
      <c r="Q777" s="86"/>
      <c r="R777" s="86"/>
      <c r="S777" s="86"/>
      <c r="T777" s="86"/>
      <c r="U777" s="86"/>
    </row>
    <row r="778">
      <c r="O778" s="86"/>
      <c r="P778" s="86"/>
      <c r="Q778" s="86"/>
      <c r="R778" s="86"/>
      <c r="S778" s="86"/>
      <c r="T778" s="86"/>
      <c r="U778" s="86"/>
    </row>
    <row r="779">
      <c r="O779" s="86"/>
      <c r="P779" s="86"/>
      <c r="Q779" s="86"/>
      <c r="R779" s="86"/>
      <c r="S779" s="86"/>
      <c r="T779" s="86"/>
      <c r="U779" s="86"/>
    </row>
    <row r="780">
      <c r="O780" s="86"/>
      <c r="P780" s="86"/>
      <c r="Q780" s="86"/>
      <c r="R780" s="86"/>
      <c r="S780" s="86"/>
      <c r="T780" s="86"/>
      <c r="U780" s="86"/>
    </row>
    <row r="781">
      <c r="O781" s="86"/>
      <c r="P781" s="86"/>
      <c r="Q781" s="86"/>
      <c r="R781" s="86"/>
      <c r="S781" s="86"/>
      <c r="T781" s="86"/>
      <c r="U781" s="86"/>
    </row>
    <row r="782">
      <c r="O782" s="86"/>
      <c r="P782" s="86"/>
      <c r="Q782" s="86"/>
      <c r="R782" s="86"/>
      <c r="S782" s="86"/>
      <c r="T782" s="86"/>
      <c r="U782" s="86"/>
    </row>
    <row r="783">
      <c r="O783" s="86"/>
      <c r="P783" s="86"/>
      <c r="Q783" s="86"/>
      <c r="R783" s="86"/>
      <c r="S783" s="86"/>
      <c r="T783" s="86"/>
      <c r="U783" s="86"/>
    </row>
    <row r="784">
      <c r="O784" s="86"/>
      <c r="P784" s="86"/>
      <c r="Q784" s="86"/>
      <c r="R784" s="86"/>
      <c r="S784" s="86"/>
      <c r="T784" s="86"/>
      <c r="U784" s="86"/>
    </row>
    <row r="785">
      <c r="O785" s="86"/>
      <c r="P785" s="86"/>
      <c r="Q785" s="86"/>
      <c r="R785" s="86"/>
      <c r="S785" s="86"/>
      <c r="T785" s="86"/>
      <c r="U785" s="86"/>
    </row>
    <row r="786">
      <c r="O786" s="86"/>
      <c r="P786" s="86"/>
      <c r="Q786" s="86"/>
      <c r="R786" s="86"/>
      <c r="S786" s="86"/>
      <c r="T786" s="86"/>
      <c r="U786" s="86"/>
    </row>
    <row r="787">
      <c r="O787" s="86"/>
      <c r="P787" s="86"/>
      <c r="Q787" s="86"/>
      <c r="R787" s="86"/>
      <c r="S787" s="86"/>
      <c r="T787" s="86"/>
      <c r="U787" s="86"/>
    </row>
    <row r="788">
      <c r="O788" s="86"/>
      <c r="P788" s="86"/>
      <c r="Q788" s="86"/>
      <c r="R788" s="86"/>
      <c r="S788" s="86"/>
      <c r="T788" s="86"/>
      <c r="U788" s="86"/>
    </row>
    <row r="789">
      <c r="O789" s="86"/>
      <c r="P789" s="86"/>
      <c r="Q789" s="86"/>
      <c r="R789" s="86"/>
      <c r="S789" s="86"/>
      <c r="T789" s="86"/>
      <c r="U789" s="86"/>
    </row>
    <row r="790">
      <c r="O790" s="86"/>
      <c r="P790" s="86"/>
      <c r="Q790" s="86"/>
      <c r="R790" s="86"/>
      <c r="S790" s="86"/>
      <c r="T790" s="86"/>
      <c r="U790" s="86"/>
    </row>
    <row r="791">
      <c r="O791" s="86"/>
      <c r="P791" s="86"/>
      <c r="Q791" s="86"/>
      <c r="R791" s="86"/>
      <c r="S791" s="86"/>
      <c r="T791" s="86"/>
      <c r="U791" s="86"/>
    </row>
    <row r="792">
      <c r="O792" s="86"/>
      <c r="P792" s="86"/>
      <c r="Q792" s="86"/>
      <c r="R792" s="86"/>
      <c r="S792" s="86"/>
      <c r="T792" s="86"/>
      <c r="U792" s="86"/>
    </row>
    <row r="793">
      <c r="O793" s="86"/>
      <c r="P793" s="86"/>
      <c r="Q793" s="86"/>
      <c r="R793" s="86"/>
      <c r="S793" s="86"/>
      <c r="T793" s="86"/>
      <c r="U793" s="86"/>
    </row>
    <row r="794">
      <c r="O794" s="86"/>
      <c r="P794" s="86"/>
      <c r="Q794" s="86"/>
      <c r="R794" s="86"/>
      <c r="S794" s="86"/>
      <c r="T794" s="86"/>
      <c r="U794" s="86"/>
    </row>
    <row r="795">
      <c r="O795" s="86"/>
      <c r="P795" s="86"/>
      <c r="Q795" s="86"/>
      <c r="R795" s="86"/>
      <c r="S795" s="86"/>
      <c r="T795" s="86"/>
      <c r="U795" s="86"/>
    </row>
    <row r="796">
      <c r="O796" s="86"/>
      <c r="P796" s="86"/>
      <c r="Q796" s="86"/>
      <c r="R796" s="86"/>
      <c r="S796" s="86"/>
      <c r="T796" s="86"/>
      <c r="U796" s="86"/>
    </row>
    <row r="797">
      <c r="O797" s="86"/>
      <c r="P797" s="86"/>
      <c r="Q797" s="86"/>
      <c r="R797" s="86"/>
      <c r="S797" s="86"/>
      <c r="T797" s="86"/>
      <c r="U797" s="86"/>
    </row>
    <row r="798">
      <c r="O798" s="86"/>
      <c r="P798" s="86"/>
      <c r="Q798" s="86"/>
      <c r="R798" s="86"/>
      <c r="S798" s="86"/>
      <c r="T798" s="86"/>
      <c r="U798" s="86"/>
    </row>
    <row r="799">
      <c r="O799" s="86"/>
      <c r="P799" s="86"/>
      <c r="Q799" s="86"/>
      <c r="R799" s="86"/>
      <c r="S799" s="86"/>
      <c r="T799" s="86"/>
      <c r="U799" s="86"/>
    </row>
    <row r="800">
      <c r="O800" s="86"/>
      <c r="P800" s="86"/>
      <c r="Q800" s="86"/>
      <c r="R800" s="86"/>
      <c r="S800" s="86"/>
      <c r="T800" s="86"/>
      <c r="U800" s="86"/>
    </row>
    <row r="801">
      <c r="O801" s="86"/>
      <c r="P801" s="86"/>
      <c r="Q801" s="86"/>
      <c r="R801" s="86"/>
      <c r="S801" s="86"/>
      <c r="T801" s="86"/>
      <c r="U801" s="86"/>
    </row>
    <row r="802">
      <c r="O802" s="86"/>
      <c r="P802" s="86"/>
      <c r="Q802" s="86"/>
      <c r="R802" s="86"/>
      <c r="S802" s="86"/>
      <c r="T802" s="86"/>
      <c r="U802" s="86"/>
    </row>
    <row r="803">
      <c r="O803" s="86"/>
      <c r="P803" s="86"/>
      <c r="Q803" s="86"/>
      <c r="R803" s="86"/>
      <c r="S803" s="86"/>
      <c r="T803" s="86"/>
      <c r="U803" s="86"/>
    </row>
    <row r="804">
      <c r="O804" s="86"/>
      <c r="P804" s="86"/>
      <c r="Q804" s="86"/>
      <c r="R804" s="86"/>
      <c r="S804" s="86"/>
      <c r="T804" s="86"/>
      <c r="U804" s="86"/>
    </row>
    <row r="805">
      <c r="O805" s="86"/>
      <c r="P805" s="86"/>
      <c r="Q805" s="86"/>
      <c r="R805" s="86"/>
      <c r="S805" s="86"/>
      <c r="T805" s="86"/>
      <c r="U805" s="86"/>
    </row>
    <row r="806">
      <c r="O806" s="86"/>
      <c r="P806" s="86"/>
      <c r="Q806" s="86"/>
      <c r="R806" s="86"/>
      <c r="S806" s="86"/>
      <c r="T806" s="86"/>
      <c r="U806" s="86"/>
    </row>
    <row r="807">
      <c r="O807" s="86"/>
      <c r="P807" s="86"/>
      <c r="Q807" s="86"/>
      <c r="R807" s="86"/>
      <c r="S807" s="86"/>
      <c r="T807" s="86"/>
      <c r="U807" s="86"/>
    </row>
    <row r="808">
      <c r="O808" s="86"/>
      <c r="P808" s="86"/>
      <c r="Q808" s="86"/>
      <c r="R808" s="86"/>
      <c r="S808" s="86"/>
      <c r="T808" s="86"/>
      <c r="U808" s="86"/>
    </row>
    <row r="809">
      <c r="O809" s="86"/>
      <c r="P809" s="86"/>
      <c r="Q809" s="86"/>
      <c r="R809" s="86"/>
      <c r="S809" s="86"/>
      <c r="T809" s="86"/>
      <c r="U809" s="86"/>
    </row>
    <row r="810">
      <c r="O810" s="86"/>
      <c r="P810" s="86"/>
      <c r="Q810" s="86"/>
      <c r="R810" s="86"/>
      <c r="S810" s="86"/>
      <c r="T810" s="86"/>
      <c r="U810" s="86"/>
    </row>
    <row r="811">
      <c r="O811" s="86"/>
      <c r="P811" s="86"/>
      <c r="Q811" s="86"/>
      <c r="R811" s="86"/>
      <c r="S811" s="86"/>
      <c r="T811" s="86"/>
      <c r="U811" s="86"/>
    </row>
    <row r="812">
      <c r="O812" s="86"/>
      <c r="P812" s="86"/>
      <c r="Q812" s="86"/>
      <c r="R812" s="86"/>
      <c r="S812" s="86"/>
      <c r="T812" s="86"/>
      <c r="U812" s="86"/>
    </row>
    <row r="813">
      <c r="O813" s="86"/>
      <c r="P813" s="86"/>
      <c r="Q813" s="86"/>
      <c r="R813" s="86"/>
      <c r="S813" s="86"/>
      <c r="T813" s="86"/>
      <c r="U813" s="86"/>
    </row>
    <row r="814">
      <c r="O814" s="86"/>
      <c r="P814" s="86"/>
      <c r="Q814" s="86"/>
      <c r="R814" s="86"/>
      <c r="S814" s="86"/>
      <c r="T814" s="86"/>
      <c r="U814" s="86"/>
    </row>
    <row r="815">
      <c r="O815" s="86"/>
      <c r="P815" s="86"/>
      <c r="Q815" s="86"/>
      <c r="R815" s="86"/>
      <c r="S815" s="86"/>
      <c r="T815" s="86"/>
      <c r="U815" s="86"/>
    </row>
    <row r="816">
      <c r="O816" s="86"/>
      <c r="P816" s="86"/>
      <c r="Q816" s="86"/>
      <c r="R816" s="86"/>
      <c r="S816" s="86"/>
      <c r="T816" s="86"/>
      <c r="U816" s="86"/>
    </row>
    <row r="817">
      <c r="O817" s="86"/>
      <c r="P817" s="86"/>
      <c r="Q817" s="86"/>
      <c r="R817" s="86"/>
      <c r="S817" s="86"/>
      <c r="T817" s="86"/>
      <c r="U817" s="86"/>
    </row>
    <row r="818">
      <c r="O818" s="86"/>
      <c r="P818" s="86"/>
      <c r="Q818" s="86"/>
      <c r="R818" s="86"/>
      <c r="S818" s="86"/>
      <c r="T818" s="86"/>
      <c r="U818" s="86"/>
    </row>
    <row r="819">
      <c r="O819" s="86"/>
      <c r="P819" s="86"/>
      <c r="Q819" s="86"/>
      <c r="R819" s="86"/>
      <c r="S819" s="86"/>
      <c r="T819" s="86"/>
      <c r="U819" s="86"/>
    </row>
    <row r="820">
      <c r="O820" s="86"/>
      <c r="P820" s="86"/>
      <c r="Q820" s="86"/>
      <c r="R820" s="86"/>
      <c r="S820" s="86"/>
      <c r="T820" s="86"/>
      <c r="U820" s="86"/>
    </row>
    <row r="821">
      <c r="O821" s="86"/>
      <c r="P821" s="86"/>
      <c r="Q821" s="86"/>
      <c r="R821" s="86"/>
      <c r="S821" s="86"/>
      <c r="T821" s="86"/>
      <c r="U821" s="86"/>
    </row>
    <row r="822">
      <c r="O822" s="86"/>
      <c r="P822" s="86"/>
      <c r="Q822" s="86"/>
      <c r="R822" s="86"/>
      <c r="S822" s="86"/>
      <c r="T822" s="86"/>
      <c r="U822" s="86"/>
    </row>
    <row r="823">
      <c r="O823" s="86"/>
      <c r="P823" s="86"/>
      <c r="Q823" s="86"/>
      <c r="R823" s="86"/>
      <c r="S823" s="86"/>
      <c r="T823" s="86"/>
      <c r="U823" s="86"/>
    </row>
    <row r="824">
      <c r="O824" s="86"/>
      <c r="P824" s="86"/>
      <c r="Q824" s="86"/>
      <c r="R824" s="86"/>
      <c r="S824" s="86"/>
      <c r="T824" s="86"/>
      <c r="U824" s="86"/>
    </row>
    <row r="825">
      <c r="O825" s="86"/>
      <c r="P825" s="86"/>
      <c r="Q825" s="86"/>
      <c r="R825" s="86"/>
      <c r="S825" s="86"/>
      <c r="T825" s="86"/>
      <c r="U825" s="86"/>
    </row>
    <row r="826">
      <c r="O826" s="86"/>
      <c r="P826" s="86"/>
      <c r="Q826" s="86"/>
      <c r="R826" s="86"/>
      <c r="S826" s="86"/>
      <c r="T826" s="86"/>
      <c r="U826" s="86"/>
    </row>
    <row r="827">
      <c r="O827" s="86"/>
      <c r="P827" s="86"/>
      <c r="Q827" s="86"/>
      <c r="R827" s="86"/>
      <c r="S827" s="86"/>
      <c r="T827" s="86"/>
      <c r="U827" s="86"/>
    </row>
    <row r="828">
      <c r="O828" s="86"/>
      <c r="P828" s="86"/>
      <c r="Q828" s="86"/>
      <c r="R828" s="86"/>
      <c r="S828" s="86"/>
      <c r="T828" s="86"/>
      <c r="U828" s="86"/>
    </row>
    <row r="829">
      <c r="O829" s="86"/>
      <c r="P829" s="86"/>
      <c r="Q829" s="86"/>
      <c r="R829" s="86"/>
      <c r="S829" s="86"/>
      <c r="T829" s="86"/>
      <c r="U829" s="86"/>
    </row>
    <row r="830">
      <c r="O830" s="86"/>
      <c r="P830" s="86"/>
      <c r="Q830" s="86"/>
      <c r="R830" s="86"/>
      <c r="S830" s="86"/>
      <c r="T830" s="86"/>
      <c r="U830" s="86"/>
    </row>
    <row r="831">
      <c r="O831" s="86"/>
      <c r="P831" s="86"/>
      <c r="Q831" s="86"/>
      <c r="R831" s="86"/>
      <c r="S831" s="86"/>
      <c r="T831" s="86"/>
      <c r="U831" s="86"/>
    </row>
    <row r="832">
      <c r="O832" s="86"/>
      <c r="P832" s="86"/>
      <c r="Q832" s="86"/>
      <c r="R832" s="86"/>
      <c r="S832" s="86"/>
      <c r="T832" s="86"/>
      <c r="U832" s="86"/>
    </row>
    <row r="833">
      <c r="O833" s="86"/>
      <c r="P833" s="86"/>
      <c r="Q833" s="86"/>
      <c r="R833" s="86"/>
      <c r="S833" s="86"/>
      <c r="T833" s="86"/>
      <c r="U833" s="86"/>
    </row>
    <row r="834">
      <c r="O834" s="86"/>
      <c r="P834" s="86"/>
      <c r="Q834" s="86"/>
      <c r="R834" s="86"/>
      <c r="S834" s="86"/>
      <c r="T834" s="86"/>
      <c r="U834" s="86"/>
    </row>
    <row r="835">
      <c r="O835" s="86"/>
      <c r="P835" s="86"/>
      <c r="Q835" s="86"/>
      <c r="R835" s="86"/>
      <c r="S835" s="86"/>
      <c r="T835" s="86"/>
      <c r="U835" s="86"/>
    </row>
    <row r="836">
      <c r="O836" s="86"/>
      <c r="P836" s="86"/>
      <c r="Q836" s="86"/>
      <c r="R836" s="86"/>
      <c r="S836" s="86"/>
      <c r="T836" s="86"/>
      <c r="U836" s="86"/>
    </row>
    <row r="837">
      <c r="O837" s="86"/>
      <c r="P837" s="86"/>
      <c r="Q837" s="86"/>
      <c r="R837" s="86"/>
      <c r="S837" s="86"/>
      <c r="T837" s="86"/>
      <c r="U837" s="86"/>
    </row>
    <row r="838">
      <c r="O838" s="86"/>
      <c r="P838" s="86"/>
      <c r="Q838" s="86"/>
      <c r="R838" s="86"/>
      <c r="S838" s="86"/>
      <c r="T838" s="86"/>
      <c r="U838" s="86"/>
    </row>
    <row r="839">
      <c r="O839" s="86"/>
      <c r="P839" s="86"/>
      <c r="Q839" s="86"/>
      <c r="R839" s="86"/>
      <c r="S839" s="86"/>
      <c r="T839" s="86"/>
      <c r="U839" s="86"/>
    </row>
    <row r="840">
      <c r="O840" s="86"/>
      <c r="P840" s="86"/>
      <c r="Q840" s="86"/>
      <c r="R840" s="86"/>
      <c r="S840" s="86"/>
      <c r="T840" s="86"/>
      <c r="U840" s="86"/>
    </row>
    <row r="841">
      <c r="O841" s="86"/>
      <c r="P841" s="86"/>
      <c r="Q841" s="86"/>
      <c r="R841" s="86"/>
      <c r="S841" s="86"/>
      <c r="T841" s="86"/>
      <c r="U841" s="86"/>
    </row>
    <row r="842">
      <c r="O842" s="86"/>
      <c r="P842" s="86"/>
      <c r="Q842" s="86"/>
      <c r="R842" s="86"/>
      <c r="S842" s="86"/>
      <c r="T842" s="86"/>
      <c r="U842" s="86"/>
    </row>
    <row r="843">
      <c r="O843" s="86"/>
      <c r="P843" s="86"/>
      <c r="Q843" s="86"/>
      <c r="R843" s="86"/>
      <c r="S843" s="86"/>
      <c r="T843" s="86"/>
      <c r="U843" s="86"/>
    </row>
    <row r="844">
      <c r="O844" s="86"/>
      <c r="P844" s="86"/>
      <c r="Q844" s="86"/>
      <c r="R844" s="86"/>
      <c r="S844" s="86"/>
      <c r="T844" s="86"/>
      <c r="U844" s="86"/>
    </row>
    <row r="845">
      <c r="O845" s="86"/>
      <c r="P845" s="86"/>
      <c r="Q845" s="86"/>
      <c r="R845" s="86"/>
      <c r="S845" s="86"/>
      <c r="T845" s="86"/>
      <c r="U845" s="86"/>
    </row>
    <row r="846">
      <c r="O846" s="86"/>
      <c r="P846" s="86"/>
      <c r="Q846" s="86"/>
      <c r="R846" s="86"/>
      <c r="S846" s="86"/>
      <c r="T846" s="86"/>
      <c r="U846" s="86"/>
    </row>
    <row r="847">
      <c r="O847" s="86"/>
      <c r="P847" s="86"/>
      <c r="Q847" s="86"/>
      <c r="R847" s="86"/>
      <c r="S847" s="86"/>
      <c r="T847" s="86"/>
      <c r="U847" s="86"/>
    </row>
    <row r="848">
      <c r="O848" s="86"/>
      <c r="P848" s="86"/>
      <c r="Q848" s="86"/>
      <c r="R848" s="86"/>
      <c r="S848" s="86"/>
      <c r="T848" s="86"/>
      <c r="U848" s="86"/>
    </row>
    <row r="849">
      <c r="O849" s="86"/>
      <c r="P849" s="86"/>
      <c r="Q849" s="86"/>
      <c r="R849" s="86"/>
      <c r="S849" s="86"/>
      <c r="T849" s="86"/>
      <c r="U849" s="86"/>
    </row>
    <row r="850">
      <c r="O850" s="86"/>
      <c r="P850" s="86"/>
      <c r="Q850" s="86"/>
      <c r="R850" s="86"/>
      <c r="S850" s="86"/>
      <c r="T850" s="86"/>
      <c r="U850" s="86"/>
    </row>
    <row r="851">
      <c r="O851" s="86"/>
      <c r="P851" s="86"/>
      <c r="Q851" s="86"/>
      <c r="R851" s="86"/>
      <c r="S851" s="86"/>
      <c r="T851" s="86"/>
      <c r="U851" s="86"/>
    </row>
    <row r="852">
      <c r="O852" s="86"/>
      <c r="P852" s="86"/>
      <c r="Q852" s="86"/>
      <c r="R852" s="86"/>
      <c r="S852" s="86"/>
      <c r="T852" s="86"/>
      <c r="U852" s="86"/>
    </row>
    <row r="853">
      <c r="O853" s="86"/>
      <c r="P853" s="86"/>
      <c r="Q853" s="86"/>
      <c r="R853" s="86"/>
      <c r="S853" s="86"/>
      <c r="T853" s="86"/>
      <c r="U853" s="86"/>
    </row>
    <row r="854">
      <c r="O854" s="86"/>
      <c r="P854" s="86"/>
      <c r="Q854" s="86"/>
      <c r="R854" s="86"/>
      <c r="S854" s="86"/>
      <c r="T854" s="86"/>
      <c r="U854" s="86"/>
    </row>
    <row r="855">
      <c r="O855" s="86"/>
      <c r="P855" s="86"/>
      <c r="Q855" s="86"/>
      <c r="R855" s="86"/>
      <c r="S855" s="86"/>
      <c r="T855" s="86"/>
      <c r="U855" s="86"/>
    </row>
    <row r="856">
      <c r="O856" s="86"/>
      <c r="P856" s="86"/>
      <c r="Q856" s="86"/>
      <c r="R856" s="86"/>
      <c r="S856" s="86"/>
      <c r="T856" s="86"/>
      <c r="U856" s="86"/>
    </row>
    <row r="857">
      <c r="O857" s="86"/>
      <c r="P857" s="86"/>
      <c r="Q857" s="86"/>
      <c r="R857" s="86"/>
      <c r="S857" s="86"/>
      <c r="T857" s="86"/>
      <c r="U857" s="86"/>
    </row>
    <row r="858">
      <c r="O858" s="86"/>
      <c r="P858" s="86"/>
      <c r="Q858" s="86"/>
      <c r="R858" s="86"/>
      <c r="S858" s="86"/>
      <c r="T858" s="86"/>
      <c r="U858" s="86"/>
    </row>
    <row r="859">
      <c r="O859" s="86"/>
      <c r="P859" s="86"/>
      <c r="Q859" s="86"/>
      <c r="R859" s="86"/>
      <c r="S859" s="86"/>
      <c r="T859" s="86"/>
      <c r="U859" s="86"/>
    </row>
    <row r="860">
      <c r="O860" s="86"/>
      <c r="P860" s="86"/>
      <c r="Q860" s="86"/>
      <c r="R860" s="86"/>
      <c r="S860" s="86"/>
      <c r="T860" s="86"/>
      <c r="U860" s="86"/>
    </row>
    <row r="861">
      <c r="O861" s="86"/>
      <c r="P861" s="86"/>
      <c r="Q861" s="86"/>
      <c r="R861" s="86"/>
      <c r="S861" s="86"/>
      <c r="T861" s="86"/>
      <c r="U861" s="86"/>
    </row>
    <row r="862">
      <c r="O862" s="86"/>
      <c r="P862" s="86"/>
      <c r="Q862" s="86"/>
      <c r="R862" s="86"/>
      <c r="S862" s="86"/>
      <c r="T862" s="86"/>
      <c r="U862" s="86"/>
    </row>
    <row r="863">
      <c r="O863" s="86"/>
      <c r="P863" s="86"/>
      <c r="Q863" s="86"/>
      <c r="R863" s="86"/>
      <c r="S863" s="86"/>
      <c r="T863" s="86"/>
      <c r="U863" s="86"/>
    </row>
    <row r="864">
      <c r="O864" s="86"/>
      <c r="P864" s="86"/>
      <c r="Q864" s="86"/>
      <c r="R864" s="86"/>
      <c r="S864" s="86"/>
      <c r="T864" s="86"/>
      <c r="U864" s="86"/>
    </row>
    <row r="865">
      <c r="O865" s="86"/>
      <c r="P865" s="86"/>
      <c r="Q865" s="86"/>
      <c r="R865" s="86"/>
      <c r="S865" s="86"/>
      <c r="T865" s="86"/>
      <c r="U865" s="86"/>
    </row>
    <row r="866">
      <c r="O866" s="86"/>
      <c r="P866" s="86"/>
      <c r="Q866" s="86"/>
      <c r="R866" s="86"/>
      <c r="S866" s="86"/>
      <c r="T866" s="86"/>
      <c r="U866" s="86"/>
    </row>
    <row r="867">
      <c r="O867" s="86"/>
      <c r="P867" s="86"/>
      <c r="Q867" s="86"/>
      <c r="R867" s="86"/>
      <c r="S867" s="86"/>
      <c r="T867" s="86"/>
      <c r="U867" s="86"/>
    </row>
    <row r="868">
      <c r="O868" s="86"/>
      <c r="P868" s="86"/>
      <c r="Q868" s="86"/>
      <c r="R868" s="86"/>
      <c r="S868" s="86"/>
      <c r="T868" s="86"/>
      <c r="U868" s="86"/>
    </row>
    <row r="869">
      <c r="O869" s="86"/>
      <c r="P869" s="86"/>
      <c r="Q869" s="86"/>
      <c r="R869" s="86"/>
      <c r="S869" s="86"/>
      <c r="T869" s="86"/>
      <c r="U869" s="86"/>
    </row>
    <row r="870">
      <c r="O870" s="86"/>
      <c r="P870" s="86"/>
      <c r="Q870" s="86"/>
      <c r="R870" s="86"/>
      <c r="S870" s="86"/>
      <c r="T870" s="86"/>
      <c r="U870" s="86"/>
    </row>
    <row r="871">
      <c r="O871" s="86"/>
      <c r="P871" s="86"/>
      <c r="Q871" s="86"/>
      <c r="R871" s="86"/>
      <c r="S871" s="86"/>
      <c r="T871" s="86"/>
      <c r="U871" s="86"/>
    </row>
    <row r="872">
      <c r="O872" s="86"/>
      <c r="P872" s="86"/>
      <c r="Q872" s="86"/>
      <c r="R872" s="86"/>
      <c r="S872" s="86"/>
      <c r="T872" s="86"/>
      <c r="U872" s="86"/>
    </row>
    <row r="873">
      <c r="O873" s="86"/>
      <c r="P873" s="86"/>
      <c r="Q873" s="86"/>
      <c r="R873" s="86"/>
      <c r="S873" s="86"/>
      <c r="T873" s="86"/>
      <c r="U873" s="86"/>
    </row>
    <row r="874">
      <c r="O874" s="86"/>
      <c r="P874" s="86"/>
      <c r="Q874" s="86"/>
      <c r="R874" s="86"/>
      <c r="S874" s="86"/>
      <c r="T874" s="86"/>
      <c r="U874" s="86"/>
    </row>
    <row r="875">
      <c r="O875" s="86"/>
      <c r="P875" s="86"/>
      <c r="Q875" s="86"/>
      <c r="R875" s="86"/>
      <c r="S875" s="86"/>
      <c r="T875" s="86"/>
      <c r="U875" s="86"/>
    </row>
    <row r="876">
      <c r="O876" s="86"/>
      <c r="P876" s="86"/>
      <c r="Q876" s="86"/>
      <c r="R876" s="86"/>
      <c r="S876" s="86"/>
      <c r="T876" s="86"/>
      <c r="U876" s="86"/>
    </row>
    <row r="877">
      <c r="O877" s="86"/>
      <c r="P877" s="86"/>
      <c r="Q877" s="86"/>
      <c r="R877" s="86"/>
      <c r="S877" s="86"/>
      <c r="T877" s="86"/>
      <c r="U877" s="86"/>
    </row>
    <row r="878">
      <c r="O878" s="86"/>
      <c r="P878" s="86"/>
      <c r="Q878" s="86"/>
      <c r="R878" s="86"/>
      <c r="S878" s="86"/>
      <c r="T878" s="86"/>
      <c r="U878" s="86"/>
    </row>
    <row r="879">
      <c r="O879" s="86"/>
      <c r="P879" s="86"/>
      <c r="Q879" s="86"/>
      <c r="R879" s="86"/>
      <c r="S879" s="86"/>
      <c r="T879" s="86"/>
      <c r="U879" s="86"/>
    </row>
    <row r="880">
      <c r="O880" s="86"/>
      <c r="P880" s="86"/>
      <c r="Q880" s="86"/>
      <c r="R880" s="86"/>
      <c r="S880" s="86"/>
      <c r="T880" s="86"/>
      <c r="U880" s="86"/>
    </row>
    <row r="881">
      <c r="O881" s="86"/>
      <c r="P881" s="86"/>
      <c r="Q881" s="86"/>
      <c r="R881" s="86"/>
      <c r="S881" s="86"/>
      <c r="T881" s="86"/>
      <c r="U881" s="86"/>
    </row>
    <row r="882">
      <c r="O882" s="86"/>
      <c r="P882" s="86"/>
      <c r="Q882" s="86"/>
      <c r="R882" s="86"/>
      <c r="S882" s="86"/>
      <c r="T882" s="86"/>
      <c r="U882" s="86"/>
    </row>
    <row r="883">
      <c r="O883" s="86"/>
      <c r="P883" s="86"/>
      <c r="Q883" s="86"/>
      <c r="R883" s="86"/>
      <c r="S883" s="86"/>
      <c r="T883" s="86"/>
      <c r="U883" s="86"/>
    </row>
    <row r="884">
      <c r="O884" s="86"/>
      <c r="P884" s="86"/>
      <c r="Q884" s="86"/>
      <c r="R884" s="86"/>
      <c r="S884" s="86"/>
      <c r="T884" s="86"/>
      <c r="U884" s="86"/>
    </row>
    <row r="885">
      <c r="O885" s="86"/>
      <c r="P885" s="86"/>
      <c r="Q885" s="86"/>
      <c r="R885" s="86"/>
      <c r="S885" s="86"/>
      <c r="T885" s="86"/>
      <c r="U885" s="86"/>
    </row>
    <row r="886">
      <c r="O886" s="86"/>
      <c r="P886" s="86"/>
      <c r="Q886" s="86"/>
      <c r="R886" s="86"/>
      <c r="S886" s="86"/>
      <c r="T886" s="86"/>
      <c r="U886" s="86"/>
    </row>
    <row r="887">
      <c r="O887" s="86"/>
      <c r="P887" s="86"/>
      <c r="Q887" s="86"/>
      <c r="R887" s="86"/>
      <c r="S887" s="86"/>
      <c r="T887" s="86"/>
      <c r="U887" s="86"/>
    </row>
    <row r="888">
      <c r="O888" s="86"/>
      <c r="P888" s="86"/>
      <c r="Q888" s="86"/>
      <c r="R888" s="86"/>
      <c r="S888" s="86"/>
      <c r="T888" s="86"/>
      <c r="U888" s="86"/>
    </row>
    <row r="889">
      <c r="O889" s="86"/>
      <c r="P889" s="86"/>
      <c r="Q889" s="86"/>
      <c r="R889" s="86"/>
      <c r="S889" s="86"/>
      <c r="T889" s="86"/>
      <c r="U889" s="86"/>
    </row>
    <row r="890">
      <c r="O890" s="86"/>
      <c r="P890" s="86"/>
      <c r="Q890" s="86"/>
      <c r="R890" s="86"/>
      <c r="S890" s="86"/>
      <c r="T890" s="86"/>
      <c r="U890" s="86"/>
    </row>
    <row r="891">
      <c r="O891" s="86"/>
      <c r="P891" s="86"/>
      <c r="Q891" s="86"/>
      <c r="R891" s="86"/>
      <c r="S891" s="86"/>
      <c r="T891" s="86"/>
      <c r="U891" s="86"/>
    </row>
    <row r="892">
      <c r="O892" s="86"/>
      <c r="P892" s="86"/>
      <c r="Q892" s="86"/>
      <c r="R892" s="86"/>
      <c r="S892" s="86"/>
      <c r="T892" s="86"/>
      <c r="U892" s="86"/>
    </row>
    <row r="893">
      <c r="O893" s="86"/>
      <c r="P893" s="86"/>
      <c r="Q893" s="86"/>
      <c r="R893" s="86"/>
      <c r="S893" s="86"/>
      <c r="T893" s="86"/>
      <c r="U893" s="86"/>
    </row>
    <row r="894">
      <c r="O894" s="86"/>
      <c r="P894" s="86"/>
      <c r="Q894" s="86"/>
      <c r="R894" s="86"/>
      <c r="S894" s="86"/>
      <c r="T894" s="86"/>
      <c r="U894" s="86"/>
    </row>
    <row r="895">
      <c r="O895" s="86"/>
      <c r="P895" s="86"/>
      <c r="Q895" s="86"/>
      <c r="R895" s="86"/>
      <c r="S895" s="86"/>
      <c r="T895" s="86"/>
      <c r="U895" s="86"/>
    </row>
    <row r="896">
      <c r="O896" s="86"/>
      <c r="P896" s="86"/>
      <c r="Q896" s="86"/>
      <c r="R896" s="86"/>
      <c r="S896" s="86"/>
      <c r="T896" s="86"/>
      <c r="U896" s="86"/>
    </row>
    <row r="897">
      <c r="O897" s="86"/>
      <c r="P897" s="86"/>
      <c r="Q897" s="86"/>
      <c r="R897" s="86"/>
      <c r="S897" s="86"/>
      <c r="T897" s="86"/>
      <c r="U897" s="86"/>
    </row>
    <row r="898">
      <c r="O898" s="86"/>
      <c r="P898" s="86"/>
      <c r="Q898" s="86"/>
      <c r="R898" s="86"/>
      <c r="S898" s="86"/>
      <c r="T898" s="86"/>
      <c r="U898" s="86"/>
    </row>
    <row r="899">
      <c r="O899" s="86"/>
      <c r="P899" s="86"/>
      <c r="Q899" s="86"/>
      <c r="R899" s="86"/>
      <c r="S899" s="86"/>
      <c r="T899" s="86"/>
      <c r="U899" s="86"/>
    </row>
    <row r="900">
      <c r="O900" s="86"/>
      <c r="P900" s="86"/>
      <c r="Q900" s="86"/>
      <c r="R900" s="86"/>
      <c r="S900" s="86"/>
      <c r="T900" s="86"/>
      <c r="U900" s="86"/>
    </row>
    <row r="901">
      <c r="O901" s="86"/>
      <c r="P901" s="86"/>
      <c r="Q901" s="86"/>
      <c r="R901" s="86"/>
      <c r="S901" s="86"/>
      <c r="T901" s="86"/>
      <c r="U901" s="86"/>
    </row>
    <row r="902">
      <c r="O902" s="86"/>
      <c r="P902" s="86"/>
      <c r="Q902" s="86"/>
      <c r="R902" s="86"/>
      <c r="S902" s="86"/>
      <c r="T902" s="86"/>
      <c r="U902" s="86"/>
    </row>
    <row r="903">
      <c r="O903" s="86"/>
      <c r="P903" s="86"/>
      <c r="Q903" s="86"/>
      <c r="R903" s="86"/>
      <c r="S903" s="86"/>
      <c r="T903" s="86"/>
      <c r="U903" s="86"/>
    </row>
    <row r="904">
      <c r="O904" s="86"/>
      <c r="P904" s="86"/>
      <c r="Q904" s="86"/>
      <c r="R904" s="86"/>
      <c r="S904" s="86"/>
      <c r="T904" s="86"/>
      <c r="U904" s="86"/>
    </row>
    <row r="905">
      <c r="O905" s="86"/>
      <c r="P905" s="86"/>
      <c r="Q905" s="86"/>
      <c r="R905" s="86"/>
      <c r="S905" s="86"/>
      <c r="T905" s="86"/>
      <c r="U905" s="86"/>
    </row>
    <row r="906">
      <c r="O906" s="86"/>
      <c r="P906" s="86"/>
      <c r="Q906" s="86"/>
      <c r="R906" s="86"/>
      <c r="S906" s="86"/>
      <c r="T906" s="86"/>
      <c r="U906" s="86"/>
    </row>
    <row r="907">
      <c r="O907" s="86"/>
      <c r="P907" s="86"/>
      <c r="Q907" s="86"/>
      <c r="R907" s="86"/>
      <c r="S907" s="86"/>
      <c r="T907" s="86"/>
      <c r="U907" s="86"/>
    </row>
    <row r="908">
      <c r="O908" s="86"/>
      <c r="P908" s="86"/>
      <c r="Q908" s="86"/>
      <c r="R908" s="86"/>
      <c r="S908" s="86"/>
      <c r="T908" s="86"/>
      <c r="U908" s="86"/>
    </row>
    <row r="909">
      <c r="O909" s="86"/>
      <c r="P909" s="86"/>
      <c r="Q909" s="86"/>
      <c r="R909" s="86"/>
      <c r="S909" s="86"/>
      <c r="T909" s="86"/>
      <c r="U909" s="86"/>
    </row>
    <row r="910">
      <c r="O910" s="86"/>
      <c r="P910" s="86"/>
      <c r="Q910" s="86"/>
      <c r="R910" s="86"/>
      <c r="S910" s="86"/>
      <c r="T910" s="86"/>
      <c r="U910" s="86"/>
    </row>
    <row r="911">
      <c r="O911" s="86"/>
      <c r="P911" s="86"/>
      <c r="Q911" s="86"/>
      <c r="R911" s="86"/>
      <c r="S911" s="86"/>
      <c r="T911" s="86"/>
      <c r="U911" s="86"/>
    </row>
    <row r="912">
      <c r="O912" s="86"/>
      <c r="P912" s="86"/>
      <c r="Q912" s="86"/>
      <c r="R912" s="86"/>
      <c r="S912" s="86"/>
      <c r="T912" s="86"/>
      <c r="U912" s="86"/>
    </row>
    <row r="913">
      <c r="O913" s="86"/>
      <c r="P913" s="86"/>
      <c r="Q913" s="86"/>
      <c r="R913" s="86"/>
      <c r="S913" s="86"/>
      <c r="T913" s="86"/>
      <c r="U913" s="86"/>
    </row>
    <row r="914">
      <c r="O914" s="86"/>
      <c r="P914" s="86"/>
      <c r="Q914" s="86"/>
      <c r="R914" s="86"/>
      <c r="S914" s="86"/>
      <c r="T914" s="86"/>
      <c r="U914" s="86"/>
    </row>
    <row r="915">
      <c r="O915" s="86"/>
      <c r="P915" s="86"/>
      <c r="Q915" s="86"/>
      <c r="R915" s="86"/>
      <c r="S915" s="86"/>
      <c r="T915" s="86"/>
      <c r="U915" s="86"/>
    </row>
    <row r="916">
      <c r="O916" s="86"/>
      <c r="P916" s="86"/>
      <c r="Q916" s="86"/>
      <c r="R916" s="86"/>
      <c r="S916" s="86"/>
      <c r="T916" s="86"/>
      <c r="U916" s="86"/>
    </row>
    <row r="917">
      <c r="O917" s="86"/>
      <c r="P917" s="86"/>
      <c r="Q917" s="86"/>
      <c r="R917" s="86"/>
      <c r="S917" s="86"/>
      <c r="T917" s="86"/>
      <c r="U917" s="86"/>
    </row>
    <row r="918">
      <c r="O918" s="86"/>
      <c r="P918" s="86"/>
      <c r="Q918" s="86"/>
      <c r="R918" s="86"/>
      <c r="S918" s="86"/>
      <c r="T918" s="86"/>
      <c r="U918" s="86"/>
    </row>
    <row r="919">
      <c r="O919" s="86"/>
      <c r="P919" s="86"/>
      <c r="Q919" s="86"/>
      <c r="R919" s="86"/>
      <c r="S919" s="86"/>
      <c r="T919" s="86"/>
      <c r="U919" s="86"/>
    </row>
    <row r="920">
      <c r="O920" s="86"/>
      <c r="P920" s="86"/>
      <c r="Q920" s="86"/>
      <c r="R920" s="86"/>
      <c r="S920" s="86"/>
      <c r="T920" s="86"/>
      <c r="U920" s="86"/>
    </row>
    <row r="921">
      <c r="O921" s="86"/>
      <c r="P921" s="86"/>
      <c r="Q921" s="86"/>
      <c r="R921" s="86"/>
      <c r="S921" s="86"/>
      <c r="T921" s="86"/>
      <c r="U921" s="86"/>
    </row>
    <row r="922">
      <c r="O922" s="86"/>
      <c r="P922" s="86"/>
      <c r="Q922" s="86"/>
      <c r="R922" s="86"/>
      <c r="S922" s="86"/>
      <c r="T922" s="86"/>
      <c r="U922" s="86"/>
    </row>
    <row r="923">
      <c r="O923" s="86"/>
      <c r="P923" s="86"/>
      <c r="Q923" s="86"/>
      <c r="R923" s="86"/>
      <c r="S923" s="86"/>
      <c r="T923" s="86"/>
      <c r="U923" s="86"/>
    </row>
    <row r="924">
      <c r="O924" s="86"/>
      <c r="P924" s="86"/>
      <c r="Q924" s="86"/>
      <c r="R924" s="86"/>
      <c r="S924" s="86"/>
      <c r="T924" s="86"/>
      <c r="U924" s="86"/>
    </row>
    <row r="925">
      <c r="O925" s="86"/>
      <c r="P925" s="86"/>
      <c r="Q925" s="86"/>
      <c r="R925" s="86"/>
      <c r="S925" s="86"/>
      <c r="T925" s="86"/>
      <c r="U925" s="86"/>
    </row>
    <row r="926">
      <c r="O926" s="86"/>
      <c r="P926" s="86"/>
      <c r="Q926" s="86"/>
      <c r="R926" s="86"/>
      <c r="S926" s="86"/>
      <c r="T926" s="86"/>
      <c r="U926" s="86"/>
    </row>
    <row r="927">
      <c r="O927" s="86"/>
      <c r="P927" s="86"/>
      <c r="Q927" s="86"/>
      <c r="R927" s="86"/>
      <c r="S927" s="86"/>
      <c r="T927" s="86"/>
      <c r="U927" s="86"/>
    </row>
    <row r="928">
      <c r="O928" s="86"/>
      <c r="P928" s="86"/>
      <c r="Q928" s="86"/>
      <c r="R928" s="86"/>
      <c r="S928" s="86"/>
      <c r="T928" s="86"/>
      <c r="U928" s="86"/>
    </row>
    <row r="929">
      <c r="O929" s="86"/>
      <c r="P929" s="86"/>
      <c r="Q929" s="86"/>
      <c r="R929" s="86"/>
      <c r="S929" s="86"/>
      <c r="T929" s="86"/>
      <c r="U929" s="86"/>
    </row>
    <row r="930">
      <c r="O930" s="86"/>
      <c r="P930" s="86"/>
      <c r="Q930" s="86"/>
      <c r="R930" s="86"/>
      <c r="S930" s="86"/>
      <c r="T930" s="86"/>
      <c r="U930" s="86"/>
    </row>
    <row r="931">
      <c r="O931" s="86"/>
      <c r="P931" s="86"/>
      <c r="Q931" s="86"/>
      <c r="R931" s="86"/>
      <c r="S931" s="86"/>
      <c r="T931" s="86"/>
      <c r="U931" s="86"/>
    </row>
    <row r="932">
      <c r="O932" s="86"/>
      <c r="P932" s="86"/>
      <c r="Q932" s="86"/>
      <c r="R932" s="86"/>
      <c r="S932" s="86"/>
      <c r="T932" s="86"/>
      <c r="U932" s="86"/>
    </row>
    <row r="933">
      <c r="O933" s="86"/>
      <c r="P933" s="86"/>
      <c r="Q933" s="86"/>
      <c r="R933" s="86"/>
      <c r="S933" s="86"/>
      <c r="T933" s="86"/>
      <c r="U933" s="86"/>
    </row>
    <row r="934">
      <c r="O934" s="86"/>
      <c r="P934" s="86"/>
      <c r="Q934" s="86"/>
      <c r="R934" s="86"/>
      <c r="S934" s="86"/>
      <c r="T934" s="86"/>
      <c r="U934" s="86"/>
    </row>
    <row r="935">
      <c r="O935" s="86"/>
      <c r="P935" s="86"/>
      <c r="Q935" s="86"/>
      <c r="R935" s="86"/>
      <c r="S935" s="86"/>
      <c r="T935" s="86"/>
      <c r="U935" s="86"/>
    </row>
    <row r="936">
      <c r="O936" s="86"/>
      <c r="P936" s="86"/>
      <c r="Q936" s="86"/>
      <c r="R936" s="86"/>
      <c r="S936" s="86"/>
      <c r="T936" s="86"/>
      <c r="U936" s="86"/>
    </row>
    <row r="937">
      <c r="O937" s="86"/>
      <c r="P937" s="86"/>
      <c r="Q937" s="86"/>
      <c r="R937" s="86"/>
      <c r="S937" s="86"/>
      <c r="T937" s="86"/>
      <c r="U937" s="86"/>
    </row>
    <row r="938">
      <c r="O938" s="86"/>
      <c r="P938" s="86"/>
      <c r="Q938" s="86"/>
      <c r="R938" s="86"/>
      <c r="S938" s="86"/>
      <c r="T938" s="86"/>
      <c r="U938" s="86"/>
    </row>
    <row r="939">
      <c r="O939" s="86"/>
      <c r="P939" s="86"/>
      <c r="Q939" s="86"/>
      <c r="R939" s="86"/>
      <c r="S939" s="86"/>
      <c r="T939" s="86"/>
      <c r="U939" s="86"/>
    </row>
    <row r="940">
      <c r="O940" s="86"/>
      <c r="P940" s="86"/>
      <c r="Q940" s="86"/>
      <c r="R940" s="86"/>
      <c r="S940" s="86"/>
      <c r="T940" s="86"/>
      <c r="U940" s="86"/>
    </row>
    <row r="941">
      <c r="O941" s="86"/>
      <c r="P941" s="86"/>
      <c r="Q941" s="86"/>
      <c r="R941" s="86"/>
      <c r="S941" s="86"/>
      <c r="T941" s="86"/>
      <c r="U941" s="86"/>
    </row>
    <row r="942">
      <c r="O942" s="86"/>
      <c r="P942" s="86"/>
      <c r="Q942" s="86"/>
      <c r="R942" s="86"/>
      <c r="S942" s="86"/>
      <c r="T942" s="86"/>
      <c r="U942" s="86"/>
    </row>
    <row r="943">
      <c r="O943" s="86"/>
      <c r="P943" s="86"/>
      <c r="Q943" s="86"/>
      <c r="R943" s="86"/>
      <c r="S943" s="86"/>
      <c r="T943" s="86"/>
      <c r="U943" s="86"/>
    </row>
    <row r="944">
      <c r="O944" s="86"/>
      <c r="P944" s="86"/>
      <c r="Q944" s="86"/>
      <c r="R944" s="86"/>
      <c r="S944" s="86"/>
      <c r="T944" s="86"/>
      <c r="U944" s="86"/>
    </row>
    <row r="945">
      <c r="O945" s="86"/>
      <c r="P945" s="86"/>
      <c r="Q945" s="86"/>
      <c r="R945" s="86"/>
      <c r="S945" s="86"/>
      <c r="T945" s="86"/>
      <c r="U945" s="86"/>
    </row>
    <row r="946">
      <c r="O946" s="86"/>
      <c r="P946" s="86"/>
      <c r="Q946" s="86"/>
      <c r="R946" s="86"/>
      <c r="S946" s="86"/>
      <c r="T946" s="86"/>
      <c r="U946" s="86"/>
    </row>
    <row r="947">
      <c r="O947" s="86"/>
      <c r="P947" s="86"/>
      <c r="Q947" s="86"/>
      <c r="R947" s="86"/>
      <c r="S947" s="86"/>
      <c r="T947" s="86"/>
      <c r="U947" s="86"/>
    </row>
    <row r="948">
      <c r="O948" s="86"/>
      <c r="P948" s="86"/>
      <c r="Q948" s="86"/>
      <c r="R948" s="86"/>
      <c r="S948" s="86"/>
      <c r="T948" s="86"/>
      <c r="U948" s="86"/>
    </row>
    <row r="949">
      <c r="O949" s="86"/>
      <c r="P949" s="86"/>
      <c r="Q949" s="86"/>
      <c r="R949" s="86"/>
      <c r="S949" s="86"/>
      <c r="T949" s="86"/>
      <c r="U949" s="86"/>
    </row>
    <row r="950">
      <c r="O950" s="86"/>
      <c r="P950" s="86"/>
      <c r="Q950" s="86"/>
      <c r="R950" s="86"/>
      <c r="S950" s="86"/>
      <c r="T950" s="86"/>
      <c r="U950" s="86"/>
    </row>
    <row r="951">
      <c r="O951" s="86"/>
      <c r="P951" s="86"/>
      <c r="Q951" s="86"/>
      <c r="R951" s="86"/>
      <c r="S951" s="86"/>
      <c r="T951" s="86"/>
      <c r="U951" s="86"/>
    </row>
    <row r="952">
      <c r="O952" s="86"/>
      <c r="P952" s="86"/>
      <c r="Q952" s="86"/>
      <c r="R952" s="86"/>
      <c r="S952" s="86"/>
      <c r="T952" s="86"/>
      <c r="U952" s="86"/>
    </row>
    <row r="953">
      <c r="O953" s="86"/>
      <c r="P953" s="86"/>
      <c r="Q953" s="86"/>
      <c r="R953" s="86"/>
      <c r="S953" s="86"/>
      <c r="T953" s="86"/>
      <c r="U953" s="86"/>
    </row>
    <row r="954">
      <c r="O954" s="86"/>
      <c r="P954" s="86"/>
      <c r="Q954" s="86"/>
      <c r="R954" s="86"/>
      <c r="S954" s="86"/>
      <c r="T954" s="86"/>
      <c r="U954" s="86"/>
    </row>
    <row r="955">
      <c r="O955" s="86"/>
      <c r="P955" s="86"/>
      <c r="Q955" s="86"/>
      <c r="R955" s="86"/>
      <c r="S955" s="86"/>
      <c r="T955" s="86"/>
      <c r="U955" s="86"/>
    </row>
    <row r="956">
      <c r="O956" s="86"/>
      <c r="P956" s="86"/>
      <c r="Q956" s="86"/>
      <c r="R956" s="86"/>
      <c r="S956" s="86"/>
      <c r="T956" s="86"/>
      <c r="U956" s="86"/>
    </row>
    <row r="957">
      <c r="O957" s="86"/>
      <c r="P957" s="86"/>
      <c r="Q957" s="86"/>
      <c r="R957" s="86"/>
      <c r="S957" s="86"/>
      <c r="T957" s="86"/>
      <c r="U957" s="86"/>
    </row>
    <row r="958">
      <c r="O958" s="86"/>
      <c r="P958" s="86"/>
      <c r="Q958" s="86"/>
      <c r="R958" s="86"/>
      <c r="S958" s="86"/>
      <c r="T958" s="86"/>
      <c r="U958" s="86"/>
    </row>
    <row r="959">
      <c r="O959" s="86"/>
      <c r="P959" s="86"/>
      <c r="Q959" s="86"/>
      <c r="R959" s="86"/>
      <c r="S959" s="86"/>
      <c r="T959" s="86"/>
      <c r="U959" s="86"/>
    </row>
    <row r="960">
      <c r="O960" s="86"/>
      <c r="P960" s="86"/>
      <c r="Q960" s="86"/>
      <c r="R960" s="86"/>
      <c r="S960" s="86"/>
      <c r="T960" s="86"/>
      <c r="U960" s="86"/>
    </row>
    <row r="961">
      <c r="O961" s="86"/>
      <c r="P961" s="86"/>
      <c r="Q961" s="86"/>
      <c r="R961" s="86"/>
      <c r="S961" s="86"/>
      <c r="T961" s="86"/>
      <c r="U961" s="86"/>
    </row>
    <row r="962">
      <c r="O962" s="86"/>
      <c r="P962" s="86"/>
      <c r="Q962" s="86"/>
      <c r="R962" s="86"/>
      <c r="S962" s="86"/>
      <c r="T962" s="86"/>
      <c r="U962" s="86"/>
    </row>
    <row r="963">
      <c r="O963" s="86"/>
      <c r="P963" s="86"/>
      <c r="Q963" s="86"/>
      <c r="R963" s="86"/>
      <c r="S963" s="86"/>
      <c r="T963" s="86"/>
      <c r="U963" s="86"/>
    </row>
    <row r="964">
      <c r="O964" s="86"/>
      <c r="P964" s="86"/>
      <c r="Q964" s="86"/>
      <c r="R964" s="86"/>
      <c r="S964" s="86"/>
      <c r="T964" s="86"/>
      <c r="U964" s="86"/>
    </row>
    <row r="965">
      <c r="O965" s="86"/>
      <c r="P965" s="86"/>
      <c r="Q965" s="86"/>
      <c r="R965" s="86"/>
      <c r="S965" s="86"/>
      <c r="T965" s="86"/>
      <c r="U965" s="86"/>
    </row>
    <row r="966">
      <c r="O966" s="86"/>
      <c r="P966" s="86"/>
      <c r="Q966" s="86"/>
      <c r="R966" s="86"/>
      <c r="S966" s="86"/>
      <c r="T966" s="86"/>
      <c r="U966" s="86"/>
    </row>
    <row r="967">
      <c r="O967" s="86"/>
      <c r="P967" s="86"/>
      <c r="Q967" s="86"/>
      <c r="R967" s="86"/>
      <c r="S967" s="86"/>
      <c r="T967" s="86"/>
      <c r="U967" s="86"/>
    </row>
    <row r="968">
      <c r="O968" s="86"/>
      <c r="P968" s="86"/>
      <c r="Q968" s="86"/>
      <c r="R968" s="86"/>
      <c r="S968" s="86"/>
      <c r="T968" s="86"/>
      <c r="U968" s="86"/>
    </row>
    <row r="969">
      <c r="O969" s="86"/>
      <c r="P969" s="86"/>
      <c r="Q969" s="86"/>
      <c r="R969" s="86"/>
      <c r="S969" s="86"/>
      <c r="T969" s="86"/>
      <c r="U969" s="86"/>
    </row>
    <row r="970">
      <c r="O970" s="86"/>
      <c r="P970" s="86"/>
      <c r="Q970" s="86"/>
      <c r="R970" s="86"/>
      <c r="S970" s="86"/>
      <c r="T970" s="86"/>
      <c r="U970" s="86"/>
    </row>
    <row r="971">
      <c r="O971" s="86"/>
      <c r="P971" s="86"/>
      <c r="Q971" s="86"/>
      <c r="R971" s="86"/>
      <c r="S971" s="86"/>
      <c r="T971" s="86"/>
      <c r="U971" s="86"/>
    </row>
    <row r="972">
      <c r="O972" s="86"/>
      <c r="P972" s="86"/>
      <c r="Q972" s="86"/>
      <c r="R972" s="86"/>
      <c r="S972" s="86"/>
      <c r="T972" s="86"/>
      <c r="U972" s="86"/>
    </row>
    <row r="973">
      <c r="O973" s="86"/>
      <c r="P973" s="86"/>
      <c r="Q973" s="86"/>
      <c r="R973" s="86"/>
      <c r="S973" s="86"/>
      <c r="T973" s="86"/>
      <c r="U973" s="86"/>
    </row>
    <row r="974">
      <c r="O974" s="86"/>
      <c r="P974" s="86"/>
      <c r="Q974" s="86"/>
      <c r="R974" s="86"/>
      <c r="S974" s="86"/>
      <c r="T974" s="86"/>
      <c r="U974" s="86"/>
    </row>
    <row r="975">
      <c r="O975" s="86"/>
      <c r="P975" s="86"/>
      <c r="Q975" s="86"/>
      <c r="R975" s="86"/>
      <c r="S975" s="86"/>
      <c r="T975" s="86"/>
      <c r="U975" s="86"/>
    </row>
    <row r="976">
      <c r="O976" s="86"/>
      <c r="P976" s="86"/>
      <c r="Q976" s="86"/>
      <c r="R976" s="86"/>
      <c r="S976" s="86"/>
      <c r="T976" s="86"/>
      <c r="U976" s="86"/>
    </row>
    <row r="977">
      <c r="O977" s="86"/>
      <c r="P977" s="86"/>
      <c r="Q977" s="86"/>
      <c r="R977" s="86"/>
      <c r="S977" s="86"/>
      <c r="T977" s="86"/>
      <c r="U977" s="86"/>
    </row>
    <row r="978">
      <c r="O978" s="86"/>
      <c r="P978" s="86"/>
      <c r="Q978" s="86"/>
      <c r="R978" s="86"/>
      <c r="S978" s="86"/>
      <c r="T978" s="86"/>
      <c r="U978" s="86"/>
    </row>
    <row r="979">
      <c r="O979" s="86"/>
      <c r="P979" s="86"/>
      <c r="Q979" s="86"/>
      <c r="R979" s="86"/>
      <c r="S979" s="86"/>
      <c r="T979" s="86"/>
      <c r="U979" s="86"/>
    </row>
    <row r="980">
      <c r="O980" s="86"/>
      <c r="P980" s="86"/>
      <c r="Q980" s="86"/>
      <c r="R980" s="86"/>
      <c r="S980" s="86"/>
      <c r="T980" s="86"/>
      <c r="U980" s="86"/>
    </row>
    <row r="981">
      <c r="O981" s="86"/>
      <c r="P981" s="86"/>
      <c r="Q981" s="86"/>
      <c r="R981" s="86"/>
      <c r="S981" s="86"/>
      <c r="T981" s="86"/>
      <c r="U981" s="86"/>
    </row>
    <row r="982">
      <c r="O982" s="86"/>
      <c r="P982" s="86"/>
      <c r="Q982" s="86"/>
      <c r="R982" s="86"/>
      <c r="S982" s="86"/>
      <c r="T982" s="86"/>
      <c r="U982" s="86"/>
    </row>
    <row r="983">
      <c r="O983" s="86"/>
      <c r="P983" s="86"/>
      <c r="Q983" s="86"/>
      <c r="R983" s="86"/>
      <c r="S983" s="86"/>
      <c r="T983" s="86"/>
      <c r="U983" s="86"/>
    </row>
    <row r="984">
      <c r="O984" s="86"/>
      <c r="P984" s="86"/>
      <c r="Q984" s="86"/>
      <c r="R984" s="86"/>
      <c r="S984" s="86"/>
      <c r="T984" s="86"/>
      <c r="U984" s="86"/>
    </row>
    <row r="985">
      <c r="O985" s="86"/>
      <c r="P985" s="86"/>
      <c r="Q985" s="86"/>
      <c r="R985" s="86"/>
      <c r="S985" s="86"/>
      <c r="T985" s="86"/>
      <c r="U985" s="86"/>
    </row>
    <row r="986">
      <c r="O986" s="86"/>
      <c r="P986" s="86"/>
      <c r="Q986" s="86"/>
      <c r="R986" s="86"/>
      <c r="S986" s="86"/>
      <c r="T986" s="86"/>
      <c r="U986" s="86"/>
    </row>
    <row r="987">
      <c r="O987" s="86"/>
      <c r="P987" s="86"/>
      <c r="Q987" s="86"/>
      <c r="R987" s="86"/>
      <c r="S987" s="86"/>
      <c r="T987" s="86"/>
      <c r="U987" s="86"/>
    </row>
    <row r="988">
      <c r="O988" s="86"/>
      <c r="P988" s="86"/>
      <c r="Q988" s="86"/>
      <c r="R988" s="86"/>
      <c r="S988" s="86"/>
      <c r="T988" s="86"/>
      <c r="U988" s="86"/>
    </row>
    <row r="989">
      <c r="O989" s="86"/>
      <c r="P989" s="86"/>
      <c r="Q989" s="86"/>
      <c r="R989" s="86"/>
      <c r="S989" s="86"/>
      <c r="T989" s="86"/>
      <c r="U989" s="86"/>
    </row>
    <row r="990">
      <c r="O990" s="86"/>
      <c r="P990" s="86"/>
      <c r="Q990" s="86"/>
      <c r="R990" s="86"/>
      <c r="S990" s="86"/>
      <c r="T990" s="86"/>
      <c r="U990" s="86"/>
    </row>
    <row r="991">
      <c r="O991" s="86"/>
      <c r="P991" s="86"/>
      <c r="Q991" s="86"/>
      <c r="R991" s="86"/>
      <c r="S991" s="86"/>
      <c r="T991" s="86"/>
      <c r="U991" s="86"/>
    </row>
    <row r="992">
      <c r="O992" s="86"/>
      <c r="P992" s="86"/>
      <c r="Q992" s="86"/>
      <c r="R992" s="86"/>
      <c r="S992" s="86"/>
      <c r="T992" s="86"/>
      <c r="U992" s="86"/>
    </row>
    <row r="993">
      <c r="O993" s="86"/>
      <c r="P993" s="86"/>
      <c r="Q993" s="86"/>
      <c r="R993" s="86"/>
      <c r="S993" s="86"/>
      <c r="T993" s="86"/>
      <c r="U993" s="86"/>
    </row>
    <row r="994">
      <c r="O994" s="86"/>
      <c r="P994" s="86"/>
      <c r="Q994" s="86"/>
      <c r="R994" s="86"/>
      <c r="S994" s="86"/>
      <c r="T994" s="86"/>
      <c r="U994" s="86"/>
    </row>
    <row r="995">
      <c r="O995" s="86"/>
      <c r="P995" s="86"/>
      <c r="Q995" s="86"/>
      <c r="R995" s="86"/>
      <c r="S995" s="86"/>
      <c r="T995" s="86"/>
      <c r="U995" s="86"/>
    </row>
    <row r="996">
      <c r="O996" s="86"/>
      <c r="P996" s="86"/>
      <c r="Q996" s="86"/>
      <c r="R996" s="86"/>
      <c r="S996" s="86"/>
      <c r="T996" s="86"/>
      <c r="U996" s="86"/>
    </row>
    <row r="997">
      <c r="O997" s="86"/>
      <c r="P997" s="86"/>
      <c r="Q997" s="86"/>
      <c r="R997" s="86"/>
      <c r="S997" s="86"/>
      <c r="T997" s="86"/>
      <c r="U997" s="86"/>
    </row>
    <row r="998">
      <c r="O998" s="86"/>
      <c r="P998" s="86"/>
      <c r="Q998" s="86"/>
      <c r="R998" s="86"/>
      <c r="S998" s="86"/>
      <c r="T998" s="86"/>
      <c r="U998" s="86"/>
    </row>
    <row r="999">
      <c r="O999" s="86"/>
      <c r="P999" s="86"/>
      <c r="Q999" s="86"/>
      <c r="R999" s="86"/>
      <c r="S999" s="86"/>
      <c r="T999" s="86"/>
      <c r="U999" s="86"/>
    </row>
    <row r="1000">
      <c r="O1000" s="86"/>
      <c r="P1000" s="86"/>
      <c r="Q1000" s="86"/>
      <c r="R1000" s="86"/>
      <c r="S1000" s="86"/>
      <c r="T1000" s="86"/>
      <c r="U1000" s="86"/>
    </row>
    <row r="1001">
      <c r="O1001" s="86"/>
      <c r="P1001" s="86"/>
      <c r="Q1001" s="86"/>
      <c r="R1001" s="86"/>
      <c r="S1001" s="86"/>
      <c r="T1001" s="86"/>
      <c r="U1001" s="86"/>
    </row>
    <row r="1002">
      <c r="O1002" s="86"/>
      <c r="P1002" s="86"/>
      <c r="Q1002" s="86"/>
      <c r="R1002" s="86"/>
      <c r="S1002" s="86"/>
      <c r="T1002" s="86"/>
      <c r="U1002" s="86"/>
    </row>
    <row r="1003">
      <c r="O1003" s="86"/>
      <c r="P1003" s="86"/>
      <c r="Q1003" s="86"/>
      <c r="R1003" s="86"/>
      <c r="S1003" s="86"/>
      <c r="T1003" s="86"/>
      <c r="U1003" s="86"/>
    </row>
    <row r="1004">
      <c r="O1004" s="86"/>
      <c r="P1004" s="86"/>
      <c r="Q1004" s="86"/>
      <c r="R1004" s="86"/>
      <c r="S1004" s="86"/>
      <c r="T1004" s="86"/>
      <c r="U1004" s="86"/>
    </row>
    <row r="1005">
      <c r="O1005" s="86"/>
      <c r="P1005" s="86"/>
      <c r="Q1005" s="86"/>
      <c r="R1005" s="86"/>
      <c r="S1005" s="86"/>
      <c r="T1005" s="86"/>
      <c r="U1005" s="86"/>
    </row>
    <row r="1006">
      <c r="O1006" s="86"/>
      <c r="P1006" s="86"/>
      <c r="Q1006" s="86"/>
      <c r="R1006" s="86"/>
      <c r="S1006" s="86"/>
      <c r="T1006" s="86"/>
      <c r="U1006" s="86"/>
    </row>
    <row r="1007">
      <c r="O1007" s="86"/>
      <c r="P1007" s="86"/>
      <c r="Q1007" s="86"/>
      <c r="R1007" s="86"/>
      <c r="S1007" s="86"/>
      <c r="T1007" s="86"/>
      <c r="U1007" s="86"/>
    </row>
    <row r="1008">
      <c r="O1008" s="86"/>
      <c r="P1008" s="86"/>
      <c r="Q1008" s="86"/>
      <c r="R1008" s="86"/>
      <c r="S1008" s="86"/>
      <c r="T1008" s="86"/>
      <c r="U1008" s="86"/>
    </row>
    <row r="1009">
      <c r="O1009" s="86"/>
      <c r="P1009" s="86"/>
      <c r="Q1009" s="86"/>
      <c r="R1009" s="86"/>
      <c r="S1009" s="86"/>
      <c r="T1009" s="86"/>
      <c r="U1009" s="86"/>
    </row>
    <row r="1010">
      <c r="O1010" s="86"/>
      <c r="P1010" s="86"/>
      <c r="Q1010" s="86"/>
      <c r="R1010" s="86"/>
      <c r="S1010" s="86"/>
      <c r="T1010" s="86"/>
      <c r="U1010" s="86"/>
    </row>
    <row r="1011">
      <c r="O1011" s="86"/>
      <c r="P1011" s="86"/>
      <c r="Q1011" s="86"/>
      <c r="R1011" s="86"/>
      <c r="S1011" s="86"/>
      <c r="T1011" s="86"/>
      <c r="U1011" s="86"/>
    </row>
    <row r="1012">
      <c r="O1012" s="86"/>
      <c r="P1012" s="86"/>
      <c r="Q1012" s="86"/>
      <c r="R1012" s="86"/>
      <c r="S1012" s="86"/>
      <c r="T1012" s="86"/>
      <c r="U1012" s="86"/>
    </row>
    <row r="1013">
      <c r="O1013" s="86"/>
      <c r="P1013" s="86"/>
      <c r="Q1013" s="86"/>
      <c r="R1013" s="86"/>
      <c r="S1013" s="86"/>
      <c r="T1013" s="86"/>
      <c r="U1013" s="86"/>
    </row>
    <row r="1014">
      <c r="O1014" s="86"/>
      <c r="P1014" s="86"/>
      <c r="Q1014" s="86"/>
      <c r="R1014" s="86"/>
      <c r="S1014" s="86"/>
      <c r="T1014" s="86"/>
      <c r="U1014" s="86"/>
    </row>
    <row r="1015">
      <c r="O1015" s="86"/>
      <c r="P1015" s="86"/>
      <c r="Q1015" s="86"/>
      <c r="R1015" s="86"/>
      <c r="S1015" s="86"/>
      <c r="T1015" s="86"/>
      <c r="U1015" s="86"/>
    </row>
    <row r="1016">
      <c r="O1016" s="86"/>
      <c r="P1016" s="86"/>
      <c r="Q1016" s="86"/>
      <c r="R1016" s="86"/>
      <c r="S1016" s="86"/>
      <c r="T1016" s="86"/>
      <c r="U1016" s="86"/>
    </row>
    <row r="1017">
      <c r="O1017" s="86"/>
      <c r="P1017" s="86"/>
      <c r="Q1017" s="86"/>
      <c r="R1017" s="86"/>
      <c r="S1017" s="86"/>
      <c r="T1017" s="86"/>
      <c r="U1017" s="86"/>
    </row>
    <row r="1018">
      <c r="O1018" s="86"/>
      <c r="P1018" s="86"/>
      <c r="Q1018" s="86"/>
      <c r="R1018" s="86"/>
      <c r="S1018" s="86"/>
      <c r="T1018" s="86"/>
      <c r="U1018" s="86"/>
    </row>
    <row r="1019">
      <c r="O1019" s="86"/>
      <c r="P1019" s="86"/>
      <c r="Q1019" s="86"/>
      <c r="R1019" s="86"/>
      <c r="S1019" s="86"/>
      <c r="T1019" s="86"/>
      <c r="U1019" s="86"/>
    </row>
    <row r="1020">
      <c r="O1020" s="86"/>
      <c r="P1020" s="86"/>
      <c r="Q1020" s="86"/>
      <c r="R1020" s="86"/>
      <c r="S1020" s="86"/>
      <c r="T1020" s="86"/>
      <c r="U1020" s="86"/>
    </row>
    <row r="1021">
      <c r="O1021" s="86"/>
      <c r="P1021" s="86"/>
      <c r="Q1021" s="86"/>
      <c r="R1021" s="86"/>
      <c r="S1021" s="86"/>
      <c r="T1021" s="86"/>
      <c r="U1021" s="86"/>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2" max="2" width="15.63"/>
    <col customWidth="1" min="3" max="3" width="25.5"/>
    <col customWidth="1" min="4" max="4" width="13.0"/>
    <col customWidth="1" min="5" max="5" width="7.75"/>
    <col customWidth="1" min="6" max="6" width="6.75"/>
    <col customWidth="1" min="7" max="7" width="6.63"/>
    <col customWidth="1" min="8" max="8" width="7.13"/>
    <col customWidth="1" min="9" max="9" width="6.63"/>
    <col customWidth="1" min="10" max="10" width="22.0"/>
    <col customWidth="1" min="11" max="11" width="23.13"/>
    <col customWidth="1" min="12" max="12" width="23.0"/>
    <col customWidth="1" min="13" max="13" width="28.0"/>
    <col customWidth="1" min="14" max="14" width="18.38"/>
    <col customWidth="1" min="15" max="15" width="5.88"/>
    <col customWidth="1" min="16" max="16" width="24.5"/>
    <col customWidth="1" min="17" max="17" width="5.25"/>
    <col customWidth="1" min="18" max="18" width="25.38"/>
    <col customWidth="1" min="19" max="19" width="5.88"/>
    <col customWidth="1" min="20" max="20" width="20.5"/>
    <col customWidth="1" min="21" max="21" width="6.25"/>
    <col customWidth="1" min="22" max="22" width="4.13"/>
    <col customWidth="1" min="24" max="24" width="23.75"/>
    <col customWidth="1" min="25" max="25" width="11.0"/>
    <col customWidth="1" min="26" max="26" width="4.13"/>
    <col customWidth="1" min="27" max="27" width="18.88"/>
    <col customWidth="1" min="28" max="28" width="30.63"/>
    <col customWidth="1" min="30" max="30" width="6.38"/>
    <col customWidth="1" min="31" max="32" width="24.63"/>
  </cols>
  <sheetData>
    <row r="1">
      <c r="A1" s="1" t="s">
        <v>1932</v>
      </c>
    </row>
    <row r="2">
      <c r="A2" s="2" t="s">
        <v>857</v>
      </c>
      <c r="B2" s="2" t="s">
        <v>1933</v>
      </c>
      <c r="C2" s="3" t="s">
        <v>3</v>
      </c>
      <c r="D2" s="4" t="s">
        <v>4</v>
      </c>
      <c r="E2" s="5">
        <f>SUM(E12:E119)+1</f>
        <v>20</v>
      </c>
      <c r="G2" s="2" t="s">
        <v>1934</v>
      </c>
      <c r="J2" s="7" t="s">
        <v>5</v>
      </c>
      <c r="K2" s="8" t="s">
        <v>6</v>
      </c>
      <c r="L2" s="8" t="s">
        <v>7</v>
      </c>
      <c r="M2" s="8" t="s">
        <v>8</v>
      </c>
      <c r="N2" s="8" t="s">
        <v>1935</v>
      </c>
      <c r="P2" s="9" t="s">
        <v>9</v>
      </c>
      <c r="Q2" s="10"/>
      <c r="R2" s="11"/>
      <c r="S2" s="11"/>
      <c r="T2" s="11"/>
      <c r="U2" s="12"/>
      <c r="W2" s="8" t="s">
        <v>1936</v>
      </c>
      <c r="X2" s="8" t="s">
        <v>860</v>
      </c>
      <c r="Y2" s="8" t="s">
        <v>861</v>
      </c>
      <c r="AA2" s="8" t="s">
        <v>859</v>
      </c>
      <c r="AB2" s="8" t="s">
        <v>860</v>
      </c>
      <c r="AC2" s="8" t="s">
        <v>861</v>
      </c>
      <c r="AE2" s="8" t="s">
        <v>10</v>
      </c>
      <c r="AF2" s="8"/>
    </row>
    <row r="3">
      <c r="A3" s="2" t="s">
        <v>1824</v>
      </c>
      <c r="B3" s="2" t="s">
        <v>1937</v>
      </c>
      <c r="C3" s="15"/>
      <c r="D3" s="16" t="s">
        <v>12</v>
      </c>
      <c r="E3" s="17">
        <f>SUM(H12:H119)+15-SUM(I12:I119)</f>
        <v>76694</v>
      </c>
      <c r="G3" s="2" t="s">
        <v>1938</v>
      </c>
      <c r="K3" s="23" t="s">
        <v>1939</v>
      </c>
      <c r="L3" s="74" t="s">
        <v>785</v>
      </c>
      <c r="M3" s="44" t="s">
        <v>1940</v>
      </c>
      <c r="N3" s="35" t="s">
        <v>541</v>
      </c>
      <c r="P3" s="21" t="s">
        <v>470</v>
      </c>
      <c r="Q3" s="21">
        <v>4.0</v>
      </c>
      <c r="R3" s="22" t="s">
        <v>636</v>
      </c>
      <c r="S3" s="22">
        <v>3.0</v>
      </c>
      <c r="T3" s="21" t="s">
        <v>1663</v>
      </c>
      <c r="U3" s="21">
        <v>2.0</v>
      </c>
      <c r="W3" s="35" t="s">
        <v>1941</v>
      </c>
      <c r="X3" s="35" t="s">
        <v>1942</v>
      </c>
      <c r="Y3" s="112">
        <v>43877.0</v>
      </c>
      <c r="AA3" s="166" t="s">
        <v>867</v>
      </c>
      <c r="AB3" s="35" t="s">
        <v>1943</v>
      </c>
      <c r="AC3" s="112">
        <v>44017.0</v>
      </c>
      <c r="AE3" s="68" t="s">
        <v>1173</v>
      </c>
      <c r="AF3" s="44" t="s">
        <v>1922</v>
      </c>
    </row>
    <row r="4">
      <c r="B4" s="2" t="s">
        <v>1944</v>
      </c>
      <c r="C4" s="26"/>
      <c r="D4" s="27" t="s">
        <v>15</v>
      </c>
      <c r="E4" s="28">
        <f>SUM(F12:F119)-SUM(G12:G119)</f>
        <v>105</v>
      </c>
      <c r="G4" s="2" t="s">
        <v>1945</v>
      </c>
      <c r="K4" s="33" t="s">
        <v>158</v>
      </c>
      <c r="L4" s="167" t="s">
        <v>787</v>
      </c>
      <c r="M4" s="168" t="s">
        <v>1946</v>
      </c>
      <c r="N4" s="32" t="s">
        <v>398</v>
      </c>
      <c r="P4" s="32" t="s">
        <v>104</v>
      </c>
      <c r="Q4" s="32">
        <v>1.0</v>
      </c>
      <c r="R4" s="32" t="s">
        <v>1831</v>
      </c>
      <c r="S4" s="32">
        <v>4.0</v>
      </c>
      <c r="T4" s="32" t="s">
        <v>1662</v>
      </c>
      <c r="U4" s="32">
        <v>1.0</v>
      </c>
      <c r="W4" s="32" t="s">
        <v>1947</v>
      </c>
      <c r="X4" s="32" t="s">
        <v>1942</v>
      </c>
      <c r="Y4" s="113">
        <v>43877.0</v>
      </c>
      <c r="AA4" s="32" t="s">
        <v>1948</v>
      </c>
      <c r="AB4" s="32" t="s">
        <v>1949</v>
      </c>
      <c r="AC4" s="113">
        <v>44079.0</v>
      </c>
      <c r="AE4" s="168" t="s">
        <v>1950</v>
      </c>
      <c r="AF4" s="168"/>
    </row>
    <row r="5">
      <c r="G5" s="2" t="s">
        <v>1951</v>
      </c>
      <c r="K5" s="34" t="s">
        <v>729</v>
      </c>
      <c r="L5" s="74" t="s">
        <v>1882</v>
      </c>
      <c r="M5" s="44" t="s">
        <v>1952</v>
      </c>
      <c r="P5" s="35" t="s">
        <v>1953</v>
      </c>
      <c r="Q5" s="35">
        <v>22.0</v>
      </c>
      <c r="R5" s="35" t="s">
        <v>1832</v>
      </c>
      <c r="S5" s="35">
        <v>5.0</v>
      </c>
      <c r="T5" s="35" t="s">
        <v>937</v>
      </c>
      <c r="U5" s="35">
        <v>2.0</v>
      </c>
      <c r="W5" s="35" t="s">
        <v>1954</v>
      </c>
      <c r="X5" s="35" t="s">
        <v>1955</v>
      </c>
      <c r="Y5" s="112">
        <v>43905.0</v>
      </c>
      <c r="AA5" s="35" t="s">
        <v>1956</v>
      </c>
      <c r="AB5" s="35" t="s">
        <v>1957</v>
      </c>
      <c r="AC5" s="169">
        <v>45407.0</v>
      </c>
      <c r="AE5" s="34" t="s">
        <v>1958</v>
      </c>
    </row>
    <row r="6">
      <c r="A6" s="2"/>
      <c r="B6" s="2"/>
      <c r="G6" s="2" t="s">
        <v>1959</v>
      </c>
      <c r="J6" s="18"/>
      <c r="K6" s="6"/>
      <c r="M6" s="168"/>
      <c r="P6" s="32" t="s">
        <v>1960</v>
      </c>
      <c r="Q6" s="32">
        <v>1.0</v>
      </c>
      <c r="R6" s="32" t="s">
        <v>967</v>
      </c>
      <c r="S6" s="32">
        <v>4.0</v>
      </c>
      <c r="T6" s="32" t="s">
        <v>1158</v>
      </c>
      <c r="U6" s="32">
        <v>1.0</v>
      </c>
      <c r="W6" s="32" t="s">
        <v>1961</v>
      </c>
      <c r="X6" s="32" t="s">
        <v>1955</v>
      </c>
      <c r="Y6" s="113">
        <v>43905.0</v>
      </c>
      <c r="AA6" s="31"/>
      <c r="AB6" s="31"/>
      <c r="AC6" s="31"/>
      <c r="AE6" s="78" t="s">
        <v>1557</v>
      </c>
      <c r="AF6" s="33"/>
    </row>
    <row r="7">
      <c r="A7" s="18"/>
      <c r="B7" s="2"/>
      <c r="C7" s="2"/>
      <c r="P7" s="35" t="s">
        <v>1962</v>
      </c>
      <c r="Q7" s="35">
        <v>8.0</v>
      </c>
      <c r="R7" s="36" t="s">
        <v>1159</v>
      </c>
      <c r="S7" s="36">
        <v>2.0</v>
      </c>
      <c r="T7" s="35" t="s">
        <v>1963</v>
      </c>
      <c r="U7" s="35">
        <v>1.0</v>
      </c>
      <c r="W7" s="35" t="s">
        <v>1964</v>
      </c>
      <c r="X7" s="35" t="s">
        <v>1965</v>
      </c>
      <c r="Y7" s="112">
        <v>44790.0</v>
      </c>
      <c r="AA7" s="20"/>
      <c r="AB7" s="20"/>
      <c r="AC7" s="20"/>
      <c r="AE7" s="44" t="s">
        <v>1579</v>
      </c>
      <c r="AF7" s="44"/>
    </row>
    <row r="8">
      <c r="B8" s="2"/>
      <c r="C8" s="2"/>
      <c r="P8" s="32" t="s">
        <v>1966</v>
      </c>
      <c r="Q8" s="32">
        <v>1.0</v>
      </c>
      <c r="R8" s="32" t="s">
        <v>733</v>
      </c>
      <c r="S8" s="32">
        <v>3.0</v>
      </c>
      <c r="T8" s="32" t="s">
        <v>989</v>
      </c>
      <c r="U8" s="32">
        <v>1.0</v>
      </c>
      <c r="W8" s="31"/>
      <c r="X8" s="31"/>
      <c r="Y8" s="31"/>
      <c r="AA8" s="31"/>
      <c r="AB8" s="31"/>
      <c r="AC8" s="31"/>
      <c r="AE8" s="168" t="s">
        <v>1569</v>
      </c>
      <c r="AF8" s="168"/>
    </row>
    <row r="9">
      <c r="J9" s="7" t="s">
        <v>17</v>
      </c>
      <c r="K9" s="170" t="s">
        <v>1940</v>
      </c>
      <c r="L9" s="44" t="s">
        <v>1946</v>
      </c>
      <c r="M9" s="23" t="s">
        <v>1939</v>
      </c>
      <c r="P9" s="35" t="s">
        <v>1651</v>
      </c>
      <c r="Q9" s="35">
        <v>5.0</v>
      </c>
      <c r="R9" s="35" t="s">
        <v>522</v>
      </c>
      <c r="S9" s="35">
        <v>3.0</v>
      </c>
      <c r="T9" s="35" t="s">
        <v>1967</v>
      </c>
      <c r="U9" s="35">
        <v>2.0</v>
      </c>
      <c r="W9" s="20"/>
      <c r="X9" s="20"/>
      <c r="Y9" s="20"/>
      <c r="AA9" s="20"/>
      <c r="AB9" s="20"/>
      <c r="AC9" s="20"/>
      <c r="AE9" s="74" t="s">
        <v>1968</v>
      </c>
      <c r="AF9" s="74"/>
    </row>
    <row r="10">
      <c r="P10" s="2"/>
      <c r="Q10" s="2"/>
      <c r="R10" s="2"/>
      <c r="S10" s="2"/>
      <c r="T10" s="2"/>
      <c r="U10" s="2"/>
      <c r="AE10" s="127"/>
      <c r="AF10" s="127"/>
    </row>
    <row r="11">
      <c r="A11" s="37" t="s">
        <v>18</v>
      </c>
      <c r="B11" s="37" t="s">
        <v>19</v>
      </c>
      <c r="C11" s="37" t="s">
        <v>20</v>
      </c>
      <c r="D11" s="37" t="s">
        <v>21</v>
      </c>
      <c r="E11" s="37" t="s">
        <v>22</v>
      </c>
      <c r="F11" s="37" t="s">
        <v>23</v>
      </c>
      <c r="G11" s="37" t="s">
        <v>24</v>
      </c>
      <c r="H11" s="37" t="s">
        <v>25</v>
      </c>
      <c r="I11" s="37" t="s">
        <v>26</v>
      </c>
      <c r="J11" s="37" t="s">
        <v>27</v>
      </c>
      <c r="K11" s="37" t="s">
        <v>28</v>
      </c>
      <c r="L11" s="37" t="s">
        <v>29</v>
      </c>
      <c r="M11" s="37" t="s">
        <v>30</v>
      </c>
      <c r="N11" s="38"/>
      <c r="O11" s="38"/>
      <c r="V11" s="38"/>
      <c r="W11" s="38"/>
      <c r="X11" s="38"/>
      <c r="Y11" s="38"/>
      <c r="Z11" s="38"/>
      <c r="AA11" s="38"/>
      <c r="AB11" s="38"/>
      <c r="AC11" s="38"/>
      <c r="AD11" s="38"/>
      <c r="AE11" s="38"/>
      <c r="AF11" s="38"/>
    </row>
    <row r="12">
      <c r="A12" s="39">
        <v>43765.0</v>
      </c>
      <c r="B12" s="2" t="s">
        <v>604</v>
      </c>
      <c r="C12" s="2" t="s">
        <v>605</v>
      </c>
      <c r="D12" s="2" t="s">
        <v>1969</v>
      </c>
      <c r="E12" s="2">
        <v>1.0</v>
      </c>
      <c r="F12" s="2">
        <v>10.0</v>
      </c>
      <c r="H12" s="2">
        <v>80.0</v>
      </c>
    </row>
    <row r="13">
      <c r="A13" s="39">
        <v>43771.0</v>
      </c>
      <c r="B13" s="2" t="s">
        <v>477</v>
      </c>
      <c r="C13" s="2" t="s">
        <v>478</v>
      </c>
      <c r="D13" s="2" t="s">
        <v>1865</v>
      </c>
      <c r="E13" s="2">
        <v>1.0</v>
      </c>
      <c r="F13" s="2">
        <v>10.0</v>
      </c>
      <c r="H13" s="2">
        <v>60.0</v>
      </c>
      <c r="J13" s="2" t="s">
        <v>479</v>
      </c>
    </row>
    <row r="14">
      <c r="A14" s="39">
        <v>43771.0</v>
      </c>
      <c r="B14" s="2" t="s">
        <v>602</v>
      </c>
      <c r="C14" s="2" t="s">
        <v>603</v>
      </c>
      <c r="D14" s="2" t="s">
        <v>448</v>
      </c>
      <c r="E14" s="2">
        <v>1.0</v>
      </c>
      <c r="F14" s="2">
        <v>10.0</v>
      </c>
      <c r="H14" s="2">
        <v>80.0</v>
      </c>
      <c r="J14" s="2" t="s">
        <v>569</v>
      </c>
    </row>
    <row r="15">
      <c r="A15" s="39">
        <v>43771.0</v>
      </c>
      <c r="B15" s="2" t="s">
        <v>472</v>
      </c>
      <c r="C15" s="2" t="s">
        <v>473</v>
      </c>
      <c r="D15" s="2" t="s">
        <v>1970</v>
      </c>
      <c r="E15" s="2">
        <v>1.0</v>
      </c>
      <c r="F15" s="2">
        <v>20.0</v>
      </c>
      <c r="H15" s="2">
        <v>80.0</v>
      </c>
    </row>
    <row r="16">
      <c r="A16" s="39">
        <v>43771.0</v>
      </c>
      <c r="B16" s="2"/>
      <c r="C16" s="2" t="s">
        <v>40</v>
      </c>
      <c r="D16" s="2"/>
      <c r="E16" s="2"/>
      <c r="F16" s="2"/>
      <c r="G16" s="2">
        <v>15.0</v>
      </c>
      <c r="H16" s="2"/>
      <c r="J16" s="2" t="s">
        <v>313</v>
      </c>
      <c r="M16" s="2" t="s">
        <v>1971</v>
      </c>
    </row>
    <row r="17">
      <c r="A17" s="40">
        <v>43776.0</v>
      </c>
      <c r="B17" s="41" t="s">
        <v>1972</v>
      </c>
      <c r="C17" s="41" t="s">
        <v>1973</v>
      </c>
      <c r="D17" s="41" t="s">
        <v>606</v>
      </c>
      <c r="E17" s="41">
        <v>0.0</v>
      </c>
      <c r="F17" s="41">
        <v>0.0</v>
      </c>
      <c r="G17" s="42"/>
      <c r="H17" s="41">
        <v>164.0</v>
      </c>
      <c r="I17" s="41">
        <v>5.0</v>
      </c>
      <c r="J17" s="41" t="s">
        <v>571</v>
      </c>
      <c r="K17" s="42"/>
      <c r="L17" s="41" t="s">
        <v>1974</v>
      </c>
      <c r="M17" s="41" t="s">
        <v>1975</v>
      </c>
      <c r="N17" s="42"/>
      <c r="O17" s="42"/>
      <c r="P17" s="42"/>
      <c r="Q17" s="42"/>
      <c r="R17" s="42"/>
      <c r="S17" s="42"/>
      <c r="T17" s="42"/>
      <c r="U17" s="42"/>
      <c r="V17" s="42"/>
      <c r="W17" s="42"/>
      <c r="X17" s="42"/>
      <c r="Y17" s="42"/>
      <c r="Z17" s="42"/>
      <c r="AA17" s="42"/>
      <c r="AB17" s="42"/>
      <c r="AC17" s="42"/>
      <c r="AD17" s="42"/>
      <c r="AE17" s="42"/>
      <c r="AF17" s="42"/>
    </row>
    <row r="18">
      <c r="A18" s="40">
        <v>43776.0</v>
      </c>
      <c r="B18" s="41" t="s">
        <v>1199</v>
      </c>
      <c r="C18" s="41" t="s">
        <v>1200</v>
      </c>
      <c r="D18" s="41" t="s">
        <v>1758</v>
      </c>
      <c r="E18" s="41">
        <v>1.0</v>
      </c>
      <c r="F18" s="41">
        <v>20.0</v>
      </c>
      <c r="G18" s="42"/>
      <c r="H18" s="41">
        <v>120.0</v>
      </c>
      <c r="I18" s="42"/>
      <c r="J18" s="41" t="s">
        <v>1123</v>
      </c>
      <c r="K18" s="42"/>
      <c r="L18" s="42"/>
      <c r="M18" s="41" t="s">
        <v>1976</v>
      </c>
      <c r="N18" s="42"/>
      <c r="O18" s="42"/>
      <c r="P18" s="42"/>
      <c r="Q18" s="42"/>
      <c r="R18" s="42"/>
      <c r="S18" s="42"/>
      <c r="T18" s="42"/>
      <c r="U18" s="42"/>
      <c r="V18" s="42"/>
      <c r="W18" s="42"/>
      <c r="X18" s="42"/>
      <c r="Y18" s="42"/>
      <c r="Z18" s="42"/>
      <c r="AA18" s="42"/>
      <c r="AB18" s="42"/>
      <c r="AC18" s="42"/>
      <c r="AD18" s="42"/>
      <c r="AE18" s="42"/>
      <c r="AF18" s="42"/>
    </row>
    <row r="19">
      <c r="A19" s="40">
        <v>43778.0</v>
      </c>
      <c r="B19" s="41" t="s">
        <v>1188</v>
      </c>
      <c r="C19" s="41" t="s">
        <v>1189</v>
      </c>
      <c r="D19" s="41" t="s">
        <v>1977</v>
      </c>
      <c r="E19" s="41">
        <v>1.0</v>
      </c>
      <c r="F19" s="41">
        <v>20.0</v>
      </c>
      <c r="G19" s="42"/>
      <c r="H19" s="41">
        <v>120.0</v>
      </c>
      <c r="I19" s="42"/>
      <c r="J19" s="41" t="s">
        <v>1978</v>
      </c>
      <c r="K19" s="42"/>
      <c r="L19" s="42"/>
      <c r="M19" s="41" t="s">
        <v>1979</v>
      </c>
      <c r="N19" s="42"/>
      <c r="O19" s="42"/>
      <c r="P19" s="42"/>
      <c r="Q19" s="42"/>
      <c r="R19" s="42"/>
      <c r="S19" s="42"/>
      <c r="T19" s="42"/>
      <c r="U19" s="42"/>
      <c r="V19" s="42"/>
      <c r="W19" s="42"/>
      <c r="X19" s="42"/>
      <c r="Y19" s="42"/>
      <c r="Z19" s="42"/>
      <c r="AA19" s="42"/>
      <c r="AB19" s="42"/>
      <c r="AC19" s="42"/>
      <c r="AD19" s="42"/>
      <c r="AE19" s="42"/>
      <c r="AF19" s="42"/>
    </row>
    <row r="20">
      <c r="A20" s="40">
        <v>43778.0</v>
      </c>
      <c r="B20" s="41" t="s">
        <v>1980</v>
      </c>
      <c r="C20" s="41" t="s">
        <v>1981</v>
      </c>
      <c r="D20" s="41" t="s">
        <v>1977</v>
      </c>
      <c r="E20" s="41">
        <v>1.0</v>
      </c>
      <c r="F20" s="41">
        <v>20.0</v>
      </c>
      <c r="G20" s="42"/>
      <c r="H20" s="41">
        <v>120.0</v>
      </c>
      <c r="I20" s="42"/>
      <c r="J20" s="41"/>
      <c r="K20" s="42"/>
      <c r="L20" s="42"/>
      <c r="M20" s="42"/>
      <c r="N20" s="42"/>
      <c r="O20" s="42"/>
      <c r="P20" s="42"/>
      <c r="Q20" s="42"/>
      <c r="R20" s="42"/>
      <c r="S20" s="42"/>
      <c r="T20" s="42"/>
      <c r="U20" s="42"/>
      <c r="V20" s="42"/>
      <c r="W20" s="42"/>
      <c r="X20" s="42"/>
      <c r="Y20" s="42"/>
      <c r="Z20" s="42"/>
      <c r="AA20" s="42"/>
      <c r="AB20" s="42"/>
      <c r="AC20" s="42"/>
      <c r="AD20" s="42"/>
      <c r="AE20" s="42"/>
      <c r="AF20" s="42"/>
    </row>
    <row r="21">
      <c r="A21" s="40">
        <v>43779.0</v>
      </c>
      <c r="B21" s="41" t="s">
        <v>1982</v>
      </c>
      <c r="C21" s="41" t="s">
        <v>1983</v>
      </c>
      <c r="D21" s="41" t="s">
        <v>1984</v>
      </c>
      <c r="E21" s="41">
        <v>1.0</v>
      </c>
      <c r="F21" s="41">
        <v>20.0</v>
      </c>
      <c r="G21" s="41"/>
      <c r="H21" s="41">
        <v>120.0</v>
      </c>
      <c r="I21" s="42"/>
      <c r="J21" s="41" t="s">
        <v>1985</v>
      </c>
      <c r="K21" s="42"/>
      <c r="L21" s="42"/>
      <c r="M21" s="41" t="s">
        <v>1986</v>
      </c>
      <c r="N21" s="42"/>
      <c r="O21" s="42"/>
      <c r="P21" s="42"/>
      <c r="Q21" s="42"/>
      <c r="R21" s="42"/>
      <c r="S21" s="42"/>
      <c r="T21" s="42"/>
      <c r="U21" s="42"/>
      <c r="V21" s="42"/>
      <c r="W21" s="42"/>
      <c r="X21" s="42"/>
      <c r="Y21" s="42"/>
      <c r="Z21" s="42"/>
      <c r="AA21" s="42"/>
      <c r="AB21" s="42"/>
      <c r="AC21" s="42"/>
      <c r="AD21" s="42"/>
      <c r="AE21" s="42"/>
      <c r="AF21" s="42"/>
    </row>
    <row r="22">
      <c r="A22" s="40">
        <v>43779.0</v>
      </c>
      <c r="B22" s="41"/>
      <c r="C22" s="41" t="s">
        <v>40</v>
      </c>
      <c r="D22" s="41"/>
      <c r="E22" s="41"/>
      <c r="F22" s="41"/>
      <c r="G22" s="41">
        <v>15.0</v>
      </c>
      <c r="H22" s="41"/>
      <c r="I22" s="42"/>
      <c r="J22" s="41" t="s">
        <v>1406</v>
      </c>
      <c r="K22" s="42"/>
      <c r="L22" s="42"/>
      <c r="M22" s="84" t="s">
        <v>1987</v>
      </c>
      <c r="N22" s="42"/>
      <c r="O22" s="42"/>
      <c r="P22" s="42"/>
      <c r="Q22" s="42"/>
      <c r="R22" s="42"/>
      <c r="S22" s="42"/>
      <c r="T22" s="42"/>
      <c r="U22" s="42"/>
      <c r="V22" s="42"/>
      <c r="W22" s="42"/>
      <c r="X22" s="42"/>
      <c r="Y22" s="42"/>
      <c r="Z22" s="42"/>
      <c r="AA22" s="42"/>
      <c r="AB22" s="42"/>
      <c r="AC22" s="42"/>
      <c r="AD22" s="42"/>
      <c r="AE22" s="42"/>
      <c r="AF22" s="42"/>
    </row>
    <row r="23">
      <c r="A23" s="40">
        <v>43779.0</v>
      </c>
      <c r="B23" s="41" t="s">
        <v>1988</v>
      </c>
      <c r="C23" s="41" t="s">
        <v>1989</v>
      </c>
      <c r="D23" s="41" t="s">
        <v>1990</v>
      </c>
      <c r="E23" s="41">
        <v>1.0</v>
      </c>
      <c r="F23" s="41">
        <v>20.0</v>
      </c>
      <c r="G23" s="42"/>
      <c r="H23" s="41">
        <v>120.0</v>
      </c>
      <c r="I23" s="42"/>
      <c r="J23" s="41"/>
      <c r="K23" s="42"/>
      <c r="L23" s="42"/>
      <c r="M23" s="42"/>
      <c r="N23" s="42"/>
      <c r="O23" s="42"/>
      <c r="P23" s="42"/>
      <c r="Q23" s="42"/>
      <c r="R23" s="42"/>
      <c r="S23" s="42"/>
      <c r="T23" s="42"/>
      <c r="U23" s="42"/>
      <c r="V23" s="42"/>
      <c r="W23" s="42"/>
      <c r="X23" s="42"/>
      <c r="Y23" s="42"/>
      <c r="Z23" s="42"/>
      <c r="AA23" s="42"/>
      <c r="AB23" s="42"/>
      <c r="AC23" s="42"/>
      <c r="AD23" s="42"/>
      <c r="AE23" s="42"/>
      <c r="AF23" s="42"/>
    </row>
    <row r="24">
      <c r="A24" s="40">
        <v>43783.0</v>
      </c>
      <c r="B24" s="41" t="s">
        <v>607</v>
      </c>
      <c r="C24" s="41" t="s">
        <v>608</v>
      </c>
      <c r="D24" s="41" t="s">
        <v>272</v>
      </c>
      <c r="E24" s="41">
        <v>1.0</v>
      </c>
      <c r="F24" s="41">
        <v>20.0</v>
      </c>
      <c r="G24" s="41"/>
      <c r="H24" s="41">
        <v>120.0</v>
      </c>
      <c r="I24" s="42"/>
      <c r="J24" s="41" t="s">
        <v>609</v>
      </c>
      <c r="K24" s="42"/>
      <c r="L24" s="41" t="s">
        <v>610</v>
      </c>
      <c r="M24" s="42"/>
      <c r="N24" s="42"/>
      <c r="O24" s="42"/>
      <c r="P24" s="42"/>
      <c r="Q24" s="42"/>
      <c r="R24" s="42"/>
      <c r="S24" s="42"/>
      <c r="T24" s="42"/>
      <c r="U24" s="42"/>
      <c r="V24" s="42"/>
      <c r="W24" s="42"/>
      <c r="X24" s="42"/>
      <c r="Y24" s="42"/>
      <c r="Z24" s="42"/>
      <c r="AA24" s="42"/>
      <c r="AB24" s="42"/>
      <c r="AC24" s="42"/>
      <c r="AD24" s="42"/>
      <c r="AE24" s="42"/>
      <c r="AF24" s="42"/>
    </row>
    <row r="25">
      <c r="A25" s="39">
        <v>43784.0</v>
      </c>
      <c r="B25" s="2"/>
      <c r="C25" s="2" t="s">
        <v>40</v>
      </c>
      <c r="D25" s="2"/>
      <c r="E25" s="2"/>
      <c r="F25" s="2"/>
      <c r="G25" s="2">
        <v>15.0</v>
      </c>
      <c r="H25" s="2"/>
      <c r="J25" s="2" t="s">
        <v>511</v>
      </c>
      <c r="L25" s="2"/>
      <c r="M25" s="2" t="s">
        <v>1991</v>
      </c>
    </row>
    <row r="26">
      <c r="A26" s="39">
        <v>43785.0</v>
      </c>
      <c r="B26" s="2" t="s">
        <v>1700</v>
      </c>
      <c r="C26" s="2" t="s">
        <v>1442</v>
      </c>
      <c r="D26" s="2" t="s">
        <v>1970</v>
      </c>
      <c r="E26" s="2">
        <v>1.0</v>
      </c>
      <c r="F26" s="2">
        <v>20.0</v>
      </c>
      <c r="G26" s="2">
        <v>60.0</v>
      </c>
      <c r="H26" s="2">
        <v>800.0</v>
      </c>
      <c r="I26" s="2">
        <v>100.0</v>
      </c>
      <c r="J26" s="2" t="s">
        <v>1992</v>
      </c>
      <c r="L26" s="2" t="s">
        <v>1993</v>
      </c>
      <c r="M26" s="2" t="s">
        <v>1994</v>
      </c>
    </row>
    <row r="27">
      <c r="A27" s="39">
        <v>43789.0</v>
      </c>
      <c r="B27" s="2" t="s">
        <v>962</v>
      </c>
      <c r="C27" s="2" t="s">
        <v>963</v>
      </c>
      <c r="D27" s="2" t="s">
        <v>528</v>
      </c>
      <c r="E27" s="2">
        <v>0.0</v>
      </c>
      <c r="F27" s="2">
        <v>0.0</v>
      </c>
      <c r="H27" s="2">
        <v>800.0</v>
      </c>
      <c r="I27" s="2">
        <v>200.0</v>
      </c>
      <c r="M27" s="2" t="s">
        <v>1995</v>
      </c>
    </row>
    <row r="28">
      <c r="A28" s="39">
        <v>43789.0</v>
      </c>
      <c r="B28" s="2"/>
      <c r="C28" s="2" t="s">
        <v>40</v>
      </c>
      <c r="D28" s="2"/>
      <c r="E28" s="2"/>
      <c r="F28" s="2"/>
      <c r="G28" s="2">
        <v>15.0</v>
      </c>
      <c r="H28" s="2"/>
      <c r="I28" s="2"/>
      <c r="J28" s="2" t="s">
        <v>1848</v>
      </c>
      <c r="M28" s="81" t="s">
        <v>1996</v>
      </c>
    </row>
    <row r="29">
      <c r="A29" s="39">
        <v>43789.0</v>
      </c>
      <c r="B29" s="2"/>
      <c r="C29" s="2" t="s">
        <v>40</v>
      </c>
      <c r="D29" s="2"/>
      <c r="E29" s="2"/>
      <c r="F29" s="2"/>
      <c r="G29" s="2">
        <v>15.0</v>
      </c>
      <c r="H29" s="2"/>
      <c r="I29" s="2"/>
      <c r="J29" s="2" t="s">
        <v>77</v>
      </c>
      <c r="M29" s="81" t="s">
        <v>1997</v>
      </c>
    </row>
    <row r="30">
      <c r="A30" s="39" t="s">
        <v>1998</v>
      </c>
      <c r="B30" s="2" t="s">
        <v>1999</v>
      </c>
      <c r="C30" s="2" t="s">
        <v>2000</v>
      </c>
      <c r="D30" s="2" t="s">
        <v>2001</v>
      </c>
      <c r="E30" s="2">
        <v>1.0</v>
      </c>
      <c r="F30" s="2">
        <v>20.0</v>
      </c>
      <c r="H30" s="2">
        <v>800.0</v>
      </c>
      <c r="J30" s="2" t="s">
        <v>2002</v>
      </c>
      <c r="M30" s="2" t="s">
        <v>2003</v>
      </c>
    </row>
    <row r="31">
      <c r="A31" s="39">
        <v>43796.0</v>
      </c>
      <c r="B31" s="2" t="s">
        <v>2004</v>
      </c>
      <c r="C31" s="2" t="s">
        <v>1452</v>
      </c>
      <c r="D31" s="2" t="s">
        <v>2005</v>
      </c>
      <c r="E31" s="2">
        <v>0.0</v>
      </c>
      <c r="F31" s="2">
        <v>0.0</v>
      </c>
      <c r="H31" s="2">
        <v>800.0</v>
      </c>
      <c r="J31" s="2" t="s">
        <v>2006</v>
      </c>
      <c r="M31" s="2" t="s">
        <v>2007</v>
      </c>
    </row>
    <row r="32">
      <c r="A32" s="39">
        <v>43799.0</v>
      </c>
      <c r="B32" s="2" t="s">
        <v>2008</v>
      </c>
      <c r="C32" s="2" t="s">
        <v>2009</v>
      </c>
      <c r="D32" s="2" t="s">
        <v>1970</v>
      </c>
      <c r="E32" s="2">
        <v>1.0</v>
      </c>
      <c r="F32" s="2">
        <v>20.0</v>
      </c>
      <c r="H32" s="2">
        <v>800.0</v>
      </c>
      <c r="J32" s="2" t="s">
        <v>2010</v>
      </c>
    </row>
    <row r="33">
      <c r="A33" s="39">
        <v>43801.0</v>
      </c>
      <c r="B33" s="2"/>
      <c r="C33" s="2" t="s">
        <v>40</v>
      </c>
      <c r="D33" s="2" t="s">
        <v>1716</v>
      </c>
      <c r="E33" s="2"/>
      <c r="F33" s="2"/>
      <c r="G33" s="2">
        <v>15.0</v>
      </c>
      <c r="H33" s="2"/>
      <c r="J33" s="2" t="s">
        <v>259</v>
      </c>
      <c r="M33" s="81" t="s">
        <v>2011</v>
      </c>
    </row>
    <row r="34">
      <c r="A34" s="39">
        <v>43801.0</v>
      </c>
      <c r="B34" s="2"/>
      <c r="C34" s="2" t="s">
        <v>40</v>
      </c>
      <c r="D34" s="2" t="s">
        <v>1716</v>
      </c>
      <c r="E34" s="2"/>
      <c r="F34" s="2"/>
      <c r="G34" s="2">
        <v>15.0</v>
      </c>
      <c r="H34" s="2"/>
      <c r="J34" s="2" t="s">
        <v>1882</v>
      </c>
      <c r="M34" s="81" t="s">
        <v>2012</v>
      </c>
    </row>
    <row r="35">
      <c r="A35" s="39">
        <v>43801.0</v>
      </c>
      <c r="B35" s="2"/>
      <c r="C35" s="2" t="s">
        <v>40</v>
      </c>
      <c r="D35" s="2" t="s">
        <v>2013</v>
      </c>
      <c r="E35" s="2"/>
      <c r="F35" s="2"/>
      <c r="G35" s="2">
        <v>15.0</v>
      </c>
      <c r="H35" s="2"/>
      <c r="J35" s="2" t="s">
        <v>1318</v>
      </c>
      <c r="M35" s="81" t="s">
        <v>2014</v>
      </c>
    </row>
    <row r="36">
      <c r="A36" s="39">
        <v>43806.0</v>
      </c>
      <c r="B36" s="2" t="s">
        <v>2015</v>
      </c>
      <c r="C36" s="2" t="s">
        <v>1082</v>
      </c>
      <c r="D36" s="2" t="s">
        <v>448</v>
      </c>
      <c r="E36" s="2">
        <v>1.0</v>
      </c>
      <c r="F36" s="2">
        <v>20.0</v>
      </c>
      <c r="H36" s="2">
        <v>800.0</v>
      </c>
      <c r="J36" s="2" t="s">
        <v>2016</v>
      </c>
      <c r="M36" s="2" t="s">
        <v>1855</v>
      </c>
    </row>
    <row r="37">
      <c r="A37" s="39">
        <v>43807.0</v>
      </c>
      <c r="B37" s="2"/>
      <c r="C37" s="2" t="s">
        <v>40</v>
      </c>
      <c r="D37" s="2" t="s">
        <v>1716</v>
      </c>
      <c r="E37" s="2"/>
      <c r="F37" s="2"/>
      <c r="G37" s="2">
        <v>15.0</v>
      </c>
      <c r="H37" s="2"/>
      <c r="J37" s="2" t="s">
        <v>2017</v>
      </c>
      <c r="M37" s="81" t="s">
        <v>2018</v>
      </c>
    </row>
    <row r="38">
      <c r="A38" s="39">
        <v>43811.0</v>
      </c>
      <c r="B38" s="2"/>
      <c r="C38" s="2" t="s">
        <v>40</v>
      </c>
      <c r="D38" s="2"/>
      <c r="E38" s="2"/>
      <c r="F38" s="2"/>
      <c r="G38" s="2">
        <v>15.0</v>
      </c>
      <c r="H38" s="2"/>
      <c r="J38" s="2" t="s">
        <v>2019</v>
      </c>
      <c r="M38" s="81" t="s">
        <v>2020</v>
      </c>
    </row>
    <row r="39">
      <c r="A39" s="39">
        <v>43811.0</v>
      </c>
      <c r="B39" s="2" t="s">
        <v>2021</v>
      </c>
      <c r="C39" s="2" t="s">
        <v>2022</v>
      </c>
      <c r="D39" s="2" t="s">
        <v>408</v>
      </c>
      <c r="E39" s="2">
        <v>1.0</v>
      </c>
      <c r="F39" s="2">
        <v>20.0</v>
      </c>
      <c r="H39" s="2">
        <v>800.0</v>
      </c>
      <c r="J39" s="2" t="s">
        <v>2023</v>
      </c>
      <c r="M39" s="2" t="s">
        <v>2024</v>
      </c>
    </row>
    <row r="40">
      <c r="A40" s="39">
        <v>43813.0</v>
      </c>
      <c r="B40" s="2"/>
      <c r="C40" s="2" t="s">
        <v>40</v>
      </c>
      <c r="D40" s="2" t="s">
        <v>1716</v>
      </c>
      <c r="E40" s="2"/>
      <c r="F40" s="2"/>
      <c r="G40" s="2">
        <v>15.0</v>
      </c>
      <c r="H40" s="2"/>
      <c r="J40" s="2" t="s">
        <v>259</v>
      </c>
      <c r="M40" s="81" t="s">
        <v>2025</v>
      </c>
    </row>
    <row r="41">
      <c r="A41" s="39">
        <v>43818.0</v>
      </c>
      <c r="B41" s="2" t="s">
        <v>2026</v>
      </c>
      <c r="C41" s="2" t="s">
        <v>1070</v>
      </c>
      <c r="D41" s="2" t="s">
        <v>1970</v>
      </c>
      <c r="E41" s="2">
        <v>0.0</v>
      </c>
      <c r="F41" s="2">
        <v>0.0</v>
      </c>
      <c r="H41" s="2">
        <v>800.0</v>
      </c>
      <c r="J41" s="2" t="s">
        <v>815</v>
      </c>
      <c r="M41" s="2" t="s">
        <v>2027</v>
      </c>
    </row>
    <row r="42">
      <c r="A42" s="39">
        <v>43820.0</v>
      </c>
      <c r="B42" s="2" t="s">
        <v>2028</v>
      </c>
      <c r="C42" s="2" t="s">
        <v>1789</v>
      </c>
      <c r="D42" s="2" t="s">
        <v>2029</v>
      </c>
      <c r="E42" s="2">
        <v>0.0</v>
      </c>
      <c r="F42" s="2">
        <v>0.0</v>
      </c>
      <c r="H42" s="2">
        <v>800.0</v>
      </c>
      <c r="L42" s="2" t="s">
        <v>1792</v>
      </c>
    </row>
    <row r="43">
      <c r="A43" s="39">
        <v>43820.0</v>
      </c>
      <c r="B43" s="2" t="s">
        <v>2030</v>
      </c>
      <c r="C43" s="2" t="s">
        <v>2031</v>
      </c>
      <c r="D43" s="2" t="s">
        <v>1031</v>
      </c>
      <c r="E43" s="2">
        <v>0.0</v>
      </c>
      <c r="F43" s="2">
        <v>0.0</v>
      </c>
      <c r="H43" s="2">
        <v>0.0</v>
      </c>
      <c r="L43" s="2"/>
    </row>
    <row r="44">
      <c r="A44" s="39">
        <v>43834.0</v>
      </c>
      <c r="B44" s="2" t="s">
        <v>2032</v>
      </c>
      <c r="C44" s="2" t="s">
        <v>1073</v>
      </c>
      <c r="D44" s="2" t="s">
        <v>408</v>
      </c>
      <c r="E44" s="2">
        <v>0.0</v>
      </c>
      <c r="F44" s="2">
        <v>0.0</v>
      </c>
      <c r="H44" s="2">
        <v>0.0</v>
      </c>
      <c r="I44" s="2">
        <v>700.0</v>
      </c>
      <c r="K44" s="2" t="s">
        <v>2033</v>
      </c>
      <c r="L44" s="2" t="s">
        <v>1698</v>
      </c>
      <c r="M44" s="2" t="s">
        <v>2034</v>
      </c>
    </row>
    <row r="45">
      <c r="A45" s="39">
        <v>43834.0</v>
      </c>
      <c r="B45" s="2" t="s">
        <v>2035</v>
      </c>
      <c r="C45" s="2" t="s">
        <v>2036</v>
      </c>
      <c r="D45" s="2" t="s">
        <v>1843</v>
      </c>
      <c r="E45" s="2">
        <v>1.0</v>
      </c>
      <c r="F45" s="2">
        <v>20.0</v>
      </c>
      <c r="G45" s="2"/>
      <c r="H45" s="2">
        <v>0.0</v>
      </c>
      <c r="J45" s="2" t="s">
        <v>2037</v>
      </c>
      <c r="M45" s="2"/>
    </row>
    <row r="46">
      <c r="A46" s="40">
        <v>43838.0</v>
      </c>
      <c r="B46" s="41"/>
      <c r="C46" s="41" t="s">
        <v>40</v>
      </c>
      <c r="D46" s="41"/>
      <c r="E46" s="41"/>
      <c r="F46" s="41"/>
      <c r="G46" s="41">
        <v>15.0</v>
      </c>
      <c r="H46" s="41"/>
      <c r="I46" s="42"/>
      <c r="J46" s="41" t="s">
        <v>1173</v>
      </c>
      <c r="K46" s="42"/>
      <c r="L46" s="42"/>
      <c r="M46" s="84" t="s">
        <v>2038</v>
      </c>
      <c r="N46" s="42"/>
      <c r="O46" s="42"/>
      <c r="P46" s="42"/>
      <c r="Q46" s="42"/>
      <c r="R46" s="42"/>
      <c r="S46" s="42"/>
      <c r="T46" s="42"/>
      <c r="U46" s="42"/>
      <c r="V46" s="42"/>
      <c r="W46" s="42"/>
      <c r="X46" s="42"/>
      <c r="Y46" s="42"/>
      <c r="Z46" s="42"/>
      <c r="AA46" s="42"/>
      <c r="AB46" s="42"/>
      <c r="AC46" s="42"/>
      <c r="AD46" s="42"/>
      <c r="AE46" s="42"/>
      <c r="AF46" s="42"/>
    </row>
    <row r="47">
      <c r="A47" s="40">
        <v>43847.0</v>
      </c>
      <c r="B47" s="41"/>
      <c r="C47" s="41" t="s">
        <v>40</v>
      </c>
      <c r="D47" s="41" t="s">
        <v>2039</v>
      </c>
      <c r="E47" s="41"/>
      <c r="F47" s="41"/>
      <c r="G47" s="41">
        <v>15.0</v>
      </c>
      <c r="H47" s="41"/>
      <c r="I47" s="42"/>
      <c r="J47" s="41" t="s">
        <v>687</v>
      </c>
      <c r="K47" s="42"/>
      <c r="L47" s="42"/>
      <c r="M47" s="84" t="s">
        <v>2040</v>
      </c>
      <c r="N47" s="42"/>
      <c r="O47" s="42"/>
      <c r="P47" s="42"/>
      <c r="Q47" s="42"/>
      <c r="R47" s="42"/>
      <c r="S47" s="42"/>
      <c r="T47" s="42"/>
      <c r="U47" s="42"/>
      <c r="V47" s="42"/>
      <c r="W47" s="42"/>
      <c r="X47" s="42"/>
      <c r="Y47" s="42"/>
      <c r="Z47" s="42"/>
      <c r="AA47" s="42"/>
      <c r="AB47" s="42"/>
      <c r="AC47" s="42"/>
      <c r="AD47" s="42"/>
      <c r="AE47" s="42"/>
      <c r="AF47" s="42"/>
    </row>
    <row r="48">
      <c r="A48" s="40">
        <v>43847.0</v>
      </c>
      <c r="B48" s="41"/>
      <c r="C48" s="41" t="s">
        <v>40</v>
      </c>
      <c r="D48" s="41"/>
      <c r="E48" s="41"/>
      <c r="F48" s="41"/>
      <c r="G48" s="41">
        <v>15.0</v>
      </c>
      <c r="H48" s="41"/>
      <c r="I48" s="42"/>
      <c r="J48" s="41" t="s">
        <v>1191</v>
      </c>
      <c r="K48" s="42"/>
      <c r="L48" s="42"/>
      <c r="M48" s="84" t="s">
        <v>2041</v>
      </c>
      <c r="N48" s="42"/>
      <c r="O48" s="42"/>
      <c r="P48" s="42"/>
      <c r="Q48" s="42"/>
      <c r="R48" s="42"/>
      <c r="S48" s="42"/>
      <c r="T48" s="42"/>
      <c r="U48" s="42"/>
      <c r="V48" s="42"/>
      <c r="W48" s="42"/>
      <c r="X48" s="42"/>
      <c r="Y48" s="42"/>
      <c r="Z48" s="42"/>
      <c r="AA48" s="42"/>
      <c r="AB48" s="42"/>
      <c r="AC48" s="42"/>
      <c r="AD48" s="42"/>
      <c r="AE48" s="42"/>
      <c r="AF48" s="42"/>
    </row>
    <row r="49">
      <c r="A49" s="40">
        <v>43848.0</v>
      </c>
      <c r="B49" s="41" t="s">
        <v>2042</v>
      </c>
      <c r="C49" s="41" t="s">
        <v>2043</v>
      </c>
      <c r="D49" s="41" t="s">
        <v>1924</v>
      </c>
      <c r="E49" s="41">
        <v>1.0</v>
      </c>
      <c r="F49" s="41">
        <v>20.0</v>
      </c>
      <c r="G49" s="42"/>
      <c r="H49" s="41">
        <v>3000.0</v>
      </c>
      <c r="I49" s="42"/>
      <c r="J49" s="41"/>
      <c r="K49" s="42"/>
      <c r="L49" s="42"/>
      <c r="M49" s="42"/>
      <c r="N49" s="42"/>
      <c r="O49" s="42"/>
      <c r="P49" s="42"/>
      <c r="Q49" s="42"/>
      <c r="R49" s="42"/>
      <c r="S49" s="42"/>
      <c r="T49" s="42"/>
      <c r="U49" s="42"/>
      <c r="V49" s="42"/>
      <c r="W49" s="42"/>
      <c r="X49" s="42"/>
      <c r="Y49" s="42"/>
      <c r="Z49" s="42"/>
      <c r="AA49" s="42"/>
      <c r="AB49" s="42"/>
      <c r="AC49" s="42"/>
      <c r="AD49" s="42"/>
      <c r="AE49" s="42"/>
      <c r="AF49" s="42"/>
    </row>
    <row r="50">
      <c r="A50" s="40">
        <v>43877.0</v>
      </c>
      <c r="B50" s="41" t="s">
        <v>2044</v>
      </c>
      <c r="C50" s="41" t="s">
        <v>1911</v>
      </c>
      <c r="D50" s="41" t="s">
        <v>328</v>
      </c>
      <c r="E50" s="41">
        <v>1.0</v>
      </c>
      <c r="F50" s="41">
        <v>20.0</v>
      </c>
      <c r="G50" s="42"/>
      <c r="H50" s="41">
        <v>3000.0</v>
      </c>
      <c r="I50" s="41">
        <v>1150.0</v>
      </c>
      <c r="J50" s="41" t="s">
        <v>2045</v>
      </c>
      <c r="K50" s="41" t="s">
        <v>2046</v>
      </c>
      <c r="L50" s="42"/>
      <c r="M50" s="41" t="s">
        <v>2047</v>
      </c>
      <c r="N50" s="42"/>
      <c r="O50" s="42"/>
      <c r="P50" s="42"/>
      <c r="Q50" s="42"/>
      <c r="R50" s="42"/>
      <c r="S50" s="42"/>
      <c r="T50" s="42"/>
      <c r="U50" s="42"/>
      <c r="V50" s="42"/>
      <c r="W50" s="42"/>
      <c r="X50" s="42"/>
      <c r="Y50" s="42"/>
      <c r="Z50" s="42"/>
      <c r="AA50" s="42"/>
      <c r="AB50" s="42"/>
      <c r="AC50" s="42"/>
      <c r="AD50" s="42"/>
      <c r="AE50" s="42"/>
      <c r="AF50" s="42"/>
    </row>
    <row r="51">
      <c r="A51" s="40">
        <v>43877.0</v>
      </c>
      <c r="B51" s="42"/>
      <c r="C51" s="41" t="s">
        <v>40</v>
      </c>
      <c r="D51" s="42"/>
      <c r="E51" s="42"/>
      <c r="F51" s="42"/>
      <c r="G51" s="41">
        <v>15.0</v>
      </c>
      <c r="H51" s="42"/>
      <c r="I51" s="42"/>
      <c r="J51" s="41" t="s">
        <v>1166</v>
      </c>
      <c r="K51" s="42"/>
      <c r="L51" s="42"/>
      <c r="M51" s="41" t="s">
        <v>2048</v>
      </c>
      <c r="N51" s="42"/>
      <c r="O51" s="42"/>
      <c r="P51" s="42"/>
      <c r="Q51" s="42"/>
      <c r="R51" s="42"/>
      <c r="S51" s="42"/>
      <c r="T51" s="42"/>
      <c r="U51" s="42"/>
      <c r="V51" s="42"/>
      <c r="W51" s="42"/>
      <c r="X51" s="42"/>
      <c r="Y51" s="42"/>
      <c r="Z51" s="42"/>
      <c r="AA51" s="42"/>
      <c r="AB51" s="42"/>
      <c r="AC51" s="42"/>
      <c r="AD51" s="42"/>
      <c r="AE51" s="42"/>
      <c r="AF51" s="42"/>
    </row>
    <row r="52">
      <c r="A52" s="40">
        <v>43878.0</v>
      </c>
      <c r="B52" s="42"/>
      <c r="C52" s="41" t="s">
        <v>40</v>
      </c>
      <c r="D52" s="42"/>
      <c r="E52" s="42"/>
      <c r="F52" s="42"/>
      <c r="G52" s="41">
        <v>15.0</v>
      </c>
      <c r="H52" s="42"/>
      <c r="I52" s="42"/>
      <c r="J52" s="41" t="s">
        <v>1191</v>
      </c>
      <c r="K52" s="42"/>
      <c r="L52" s="42"/>
      <c r="M52" s="41" t="s">
        <v>2049</v>
      </c>
      <c r="N52" s="42"/>
      <c r="O52" s="42"/>
      <c r="P52" s="42"/>
      <c r="Q52" s="42"/>
      <c r="R52" s="42"/>
      <c r="S52" s="42"/>
      <c r="T52" s="42"/>
      <c r="U52" s="42"/>
      <c r="V52" s="42"/>
      <c r="W52" s="42"/>
      <c r="X52" s="42"/>
      <c r="Y52" s="42"/>
      <c r="Z52" s="42"/>
      <c r="AA52" s="42"/>
      <c r="AB52" s="42"/>
      <c r="AC52" s="42"/>
      <c r="AD52" s="42"/>
      <c r="AE52" s="42"/>
      <c r="AF52" s="42"/>
    </row>
    <row r="53">
      <c r="A53" s="40">
        <v>43878.0</v>
      </c>
      <c r="B53" s="42"/>
      <c r="C53" s="41" t="s">
        <v>40</v>
      </c>
      <c r="D53" s="41" t="s">
        <v>2050</v>
      </c>
      <c r="E53" s="42"/>
      <c r="F53" s="42"/>
      <c r="G53" s="41">
        <v>15.0</v>
      </c>
      <c r="H53" s="42"/>
      <c r="I53" s="42"/>
      <c r="J53" s="41" t="s">
        <v>1569</v>
      </c>
      <c r="K53" s="42"/>
      <c r="L53" s="42"/>
      <c r="M53" s="41" t="s">
        <v>2051</v>
      </c>
      <c r="N53" s="42"/>
      <c r="O53" s="42"/>
      <c r="P53" s="42"/>
      <c r="Q53" s="42"/>
      <c r="R53" s="42"/>
      <c r="S53" s="42"/>
      <c r="T53" s="42"/>
      <c r="U53" s="42"/>
      <c r="V53" s="42"/>
      <c r="W53" s="42"/>
      <c r="X53" s="42"/>
      <c r="Y53" s="42"/>
      <c r="Z53" s="42"/>
      <c r="AA53" s="42"/>
      <c r="AB53" s="42"/>
      <c r="AC53" s="42"/>
      <c r="AD53" s="42"/>
      <c r="AE53" s="42"/>
      <c r="AF53" s="42"/>
    </row>
    <row r="54">
      <c r="A54" s="40">
        <v>43878.0</v>
      </c>
      <c r="B54" s="41" t="s">
        <v>2052</v>
      </c>
      <c r="C54" s="41" t="s">
        <v>2053</v>
      </c>
      <c r="D54" s="41" t="s">
        <v>2054</v>
      </c>
      <c r="E54" s="41">
        <v>1.0</v>
      </c>
      <c r="F54" s="41">
        <v>20.0</v>
      </c>
      <c r="G54" s="42"/>
      <c r="H54" s="41">
        <v>3000.0</v>
      </c>
      <c r="I54" s="41">
        <v>2300.0</v>
      </c>
      <c r="J54" s="41" t="s">
        <v>2055</v>
      </c>
      <c r="K54" s="41" t="s">
        <v>2056</v>
      </c>
      <c r="L54" s="42"/>
      <c r="M54" s="41" t="s">
        <v>2057</v>
      </c>
      <c r="N54" s="42"/>
      <c r="O54" s="42"/>
      <c r="P54" s="42"/>
      <c r="Q54" s="42"/>
      <c r="R54" s="42"/>
      <c r="S54" s="42"/>
      <c r="T54" s="42"/>
      <c r="U54" s="42"/>
      <c r="V54" s="42"/>
      <c r="W54" s="42"/>
      <c r="X54" s="42"/>
      <c r="Y54" s="42"/>
      <c r="Z54" s="42"/>
      <c r="AA54" s="42"/>
      <c r="AB54" s="42"/>
      <c r="AC54" s="42"/>
      <c r="AD54" s="42"/>
      <c r="AE54" s="42"/>
      <c r="AF54" s="42"/>
    </row>
    <row r="55">
      <c r="A55" s="40">
        <v>43881.0</v>
      </c>
      <c r="B55" s="42"/>
      <c r="C55" s="41" t="s">
        <v>40</v>
      </c>
      <c r="D55" s="41" t="s">
        <v>670</v>
      </c>
      <c r="E55" s="42"/>
      <c r="F55" s="42"/>
      <c r="G55" s="41">
        <v>15.0</v>
      </c>
      <c r="H55" s="42"/>
      <c r="I55" s="42"/>
      <c r="J55" s="41" t="s">
        <v>158</v>
      </c>
      <c r="K55" s="42"/>
      <c r="L55" s="42"/>
      <c r="M55" s="41" t="s">
        <v>2058</v>
      </c>
      <c r="N55" s="42"/>
      <c r="O55" s="42"/>
      <c r="P55" s="42"/>
      <c r="Q55" s="42"/>
      <c r="R55" s="42"/>
      <c r="S55" s="42"/>
      <c r="T55" s="42"/>
      <c r="U55" s="42"/>
      <c r="V55" s="42"/>
      <c r="W55" s="42"/>
      <c r="X55" s="42"/>
      <c r="Y55" s="42"/>
      <c r="Z55" s="42"/>
      <c r="AA55" s="42"/>
      <c r="AB55" s="42"/>
      <c r="AC55" s="42"/>
      <c r="AD55" s="42"/>
      <c r="AE55" s="42"/>
      <c r="AF55" s="42"/>
    </row>
    <row r="56">
      <c r="A56" s="40">
        <v>43883.0</v>
      </c>
      <c r="B56" s="42"/>
      <c r="C56" s="41" t="s">
        <v>40</v>
      </c>
      <c r="D56" s="41" t="s">
        <v>2059</v>
      </c>
      <c r="E56" s="42"/>
      <c r="F56" s="42"/>
      <c r="G56" s="41">
        <v>15.0</v>
      </c>
      <c r="H56" s="42"/>
      <c r="I56" s="42"/>
      <c r="J56" s="41" t="s">
        <v>787</v>
      </c>
      <c r="K56" s="42"/>
      <c r="L56" s="42"/>
      <c r="M56" s="41" t="s">
        <v>2060</v>
      </c>
      <c r="N56" s="42"/>
      <c r="O56" s="42"/>
      <c r="P56" s="42"/>
      <c r="Q56" s="42"/>
      <c r="R56" s="42"/>
      <c r="S56" s="42"/>
      <c r="T56" s="42"/>
      <c r="U56" s="42"/>
      <c r="V56" s="42"/>
      <c r="W56" s="42"/>
      <c r="X56" s="42"/>
      <c r="Y56" s="42"/>
      <c r="Z56" s="42"/>
      <c r="AA56" s="42"/>
      <c r="AB56" s="42"/>
      <c r="AC56" s="42"/>
      <c r="AD56" s="42"/>
      <c r="AE56" s="42"/>
      <c r="AF56" s="42"/>
    </row>
    <row r="57">
      <c r="A57" s="40">
        <v>43890.0</v>
      </c>
      <c r="B57" s="41" t="s">
        <v>2061</v>
      </c>
      <c r="C57" s="41" t="s">
        <v>1568</v>
      </c>
      <c r="D57" s="41" t="s">
        <v>1865</v>
      </c>
      <c r="E57" s="41">
        <v>0.0</v>
      </c>
      <c r="F57" s="41">
        <v>20.0</v>
      </c>
      <c r="G57" s="42"/>
      <c r="H57" s="41">
        <v>3000.0</v>
      </c>
      <c r="I57" s="41">
        <v>2900.0</v>
      </c>
      <c r="J57" s="41" t="s">
        <v>1569</v>
      </c>
      <c r="K57" s="41" t="s">
        <v>937</v>
      </c>
      <c r="L57" s="42"/>
      <c r="M57" s="42"/>
      <c r="N57" s="42"/>
      <c r="O57" s="42"/>
      <c r="P57" s="42"/>
      <c r="Q57" s="42"/>
      <c r="R57" s="42"/>
      <c r="S57" s="42"/>
      <c r="T57" s="42"/>
      <c r="U57" s="42"/>
      <c r="V57" s="42"/>
      <c r="W57" s="42"/>
      <c r="X57" s="42"/>
      <c r="Y57" s="42"/>
      <c r="Z57" s="42"/>
      <c r="AA57" s="42"/>
      <c r="AB57" s="42"/>
      <c r="AC57" s="42"/>
      <c r="AD57" s="42"/>
      <c r="AE57" s="42"/>
      <c r="AF57" s="42"/>
    </row>
    <row r="58">
      <c r="A58" s="40">
        <v>43890.0</v>
      </c>
      <c r="B58" s="42"/>
      <c r="C58" s="41" t="s">
        <v>40</v>
      </c>
      <c r="D58" s="41" t="s">
        <v>2062</v>
      </c>
      <c r="E58" s="42"/>
      <c r="F58" s="42"/>
      <c r="G58" s="41">
        <v>15.0</v>
      </c>
      <c r="H58" s="42"/>
      <c r="I58" s="42"/>
      <c r="J58" s="41" t="s">
        <v>1589</v>
      </c>
      <c r="K58" s="42"/>
      <c r="L58" s="42"/>
      <c r="M58" s="41" t="s">
        <v>2063</v>
      </c>
      <c r="N58" s="42"/>
      <c r="O58" s="42"/>
      <c r="P58" s="42"/>
      <c r="Q58" s="42"/>
      <c r="R58" s="42"/>
      <c r="S58" s="42"/>
      <c r="T58" s="42"/>
      <c r="U58" s="42"/>
      <c r="V58" s="42"/>
      <c r="W58" s="42"/>
      <c r="X58" s="42"/>
      <c r="Y58" s="42"/>
      <c r="Z58" s="42"/>
      <c r="AA58" s="42"/>
      <c r="AB58" s="42"/>
      <c r="AC58" s="42"/>
      <c r="AD58" s="42"/>
      <c r="AE58" s="42"/>
      <c r="AF58" s="42"/>
    </row>
    <row r="59">
      <c r="A59" s="40">
        <v>43893.0</v>
      </c>
      <c r="B59" s="41"/>
      <c r="C59" s="41" t="s">
        <v>238</v>
      </c>
      <c r="D59" s="42"/>
      <c r="E59" s="41">
        <v>0.0</v>
      </c>
      <c r="F59" s="41">
        <v>20.0</v>
      </c>
      <c r="G59" s="42"/>
      <c r="H59" s="41">
        <v>6000.0</v>
      </c>
      <c r="I59" s="42"/>
      <c r="J59" s="42"/>
      <c r="K59" s="42"/>
      <c r="L59" s="42"/>
      <c r="M59" s="42"/>
      <c r="N59" s="42"/>
      <c r="O59" s="42"/>
      <c r="P59" s="42"/>
      <c r="Q59" s="42"/>
      <c r="R59" s="42"/>
      <c r="S59" s="42"/>
      <c r="T59" s="42"/>
      <c r="U59" s="42"/>
      <c r="V59" s="42"/>
      <c r="W59" s="42"/>
      <c r="X59" s="42"/>
      <c r="Y59" s="42"/>
      <c r="Z59" s="42"/>
      <c r="AA59" s="42"/>
      <c r="AB59" s="42"/>
      <c r="AC59" s="42"/>
      <c r="AD59" s="42"/>
      <c r="AE59" s="42"/>
      <c r="AF59" s="42"/>
    </row>
    <row r="60">
      <c r="A60" s="40">
        <v>43894.0</v>
      </c>
      <c r="B60" s="42"/>
      <c r="C60" s="41" t="s">
        <v>40</v>
      </c>
      <c r="D60" s="41" t="s">
        <v>1716</v>
      </c>
      <c r="E60" s="42"/>
      <c r="F60" s="42"/>
      <c r="G60" s="41">
        <v>15.0</v>
      </c>
      <c r="H60" s="42"/>
      <c r="I60" s="42"/>
      <c r="J60" s="41" t="s">
        <v>1922</v>
      </c>
      <c r="K60" s="42"/>
      <c r="L60" s="42"/>
      <c r="M60" s="41" t="s">
        <v>2064</v>
      </c>
      <c r="N60" s="42"/>
      <c r="O60" s="42"/>
      <c r="P60" s="42"/>
      <c r="Q60" s="42"/>
      <c r="R60" s="42"/>
      <c r="S60" s="42"/>
      <c r="T60" s="42"/>
      <c r="U60" s="42"/>
      <c r="V60" s="42"/>
      <c r="W60" s="42"/>
      <c r="X60" s="42"/>
      <c r="Y60" s="42"/>
      <c r="Z60" s="42"/>
      <c r="AA60" s="42"/>
      <c r="AB60" s="42"/>
      <c r="AC60" s="42"/>
      <c r="AD60" s="42"/>
      <c r="AE60" s="42"/>
      <c r="AF60" s="42"/>
    </row>
    <row r="61">
      <c r="A61" s="40">
        <v>43896.0</v>
      </c>
      <c r="B61" s="41"/>
      <c r="C61" s="41" t="s">
        <v>238</v>
      </c>
      <c r="D61" s="42"/>
      <c r="E61" s="41">
        <v>0.0</v>
      </c>
      <c r="F61" s="41">
        <v>20.0</v>
      </c>
      <c r="G61" s="42"/>
      <c r="H61" s="41">
        <v>6000.0</v>
      </c>
      <c r="I61" s="42"/>
      <c r="J61" s="42"/>
      <c r="K61" s="42"/>
      <c r="L61" s="42"/>
      <c r="M61" s="42"/>
      <c r="N61" s="42"/>
      <c r="O61" s="42"/>
      <c r="P61" s="42"/>
      <c r="Q61" s="42"/>
      <c r="R61" s="42"/>
      <c r="S61" s="42"/>
      <c r="T61" s="42"/>
      <c r="U61" s="42"/>
      <c r="V61" s="42"/>
      <c r="W61" s="42"/>
      <c r="X61" s="42"/>
      <c r="Y61" s="42"/>
      <c r="Z61" s="42"/>
      <c r="AA61" s="42"/>
      <c r="AB61" s="42"/>
      <c r="AC61" s="42"/>
      <c r="AD61" s="42"/>
      <c r="AE61" s="42"/>
      <c r="AF61" s="42"/>
    </row>
    <row r="62">
      <c r="A62" s="40">
        <v>43896.0</v>
      </c>
      <c r="B62" s="42"/>
      <c r="C62" s="41" t="s">
        <v>40</v>
      </c>
      <c r="D62" s="41" t="s">
        <v>2065</v>
      </c>
      <c r="E62" s="42"/>
      <c r="F62" s="42"/>
      <c r="G62" s="41">
        <v>15.0</v>
      </c>
      <c r="H62" s="42"/>
      <c r="I62" s="42"/>
      <c r="J62" s="41" t="s">
        <v>2066</v>
      </c>
      <c r="K62" s="42"/>
      <c r="L62" s="42"/>
      <c r="M62" s="41" t="s">
        <v>2067</v>
      </c>
      <c r="N62" s="42"/>
      <c r="O62" s="42"/>
      <c r="P62" s="42"/>
      <c r="Q62" s="42"/>
      <c r="R62" s="42"/>
      <c r="S62" s="42"/>
      <c r="T62" s="42"/>
      <c r="U62" s="42"/>
      <c r="V62" s="42"/>
      <c r="W62" s="42"/>
      <c r="X62" s="42"/>
      <c r="Y62" s="42"/>
      <c r="Z62" s="42"/>
      <c r="AA62" s="42"/>
      <c r="AB62" s="42"/>
      <c r="AC62" s="42"/>
      <c r="AD62" s="42"/>
      <c r="AE62" s="42"/>
      <c r="AF62" s="42"/>
    </row>
    <row r="63">
      <c r="A63" s="40">
        <v>43896.0</v>
      </c>
      <c r="B63" s="42"/>
      <c r="C63" s="41" t="s">
        <v>40</v>
      </c>
      <c r="D63" s="41" t="s">
        <v>2065</v>
      </c>
      <c r="E63" s="42"/>
      <c r="F63" s="42"/>
      <c r="G63" s="41">
        <v>15.0</v>
      </c>
      <c r="H63" s="42"/>
      <c r="I63" s="42"/>
      <c r="J63" s="41" t="s">
        <v>2068</v>
      </c>
      <c r="K63" s="42"/>
      <c r="L63" s="42"/>
      <c r="M63" s="41" t="s">
        <v>2069</v>
      </c>
      <c r="N63" s="42"/>
      <c r="O63" s="42"/>
      <c r="P63" s="42"/>
      <c r="Q63" s="42"/>
      <c r="R63" s="42"/>
      <c r="S63" s="42"/>
      <c r="T63" s="42"/>
      <c r="U63" s="42"/>
      <c r="V63" s="42"/>
      <c r="W63" s="42"/>
      <c r="X63" s="42"/>
      <c r="Y63" s="42"/>
      <c r="Z63" s="42"/>
      <c r="AA63" s="42"/>
      <c r="AB63" s="42"/>
      <c r="AC63" s="42"/>
      <c r="AD63" s="42"/>
      <c r="AE63" s="42"/>
      <c r="AF63" s="42"/>
    </row>
    <row r="64">
      <c r="A64" s="40">
        <v>43897.0</v>
      </c>
      <c r="B64" s="171" t="s">
        <v>2070</v>
      </c>
      <c r="C64" s="41" t="s">
        <v>2071</v>
      </c>
      <c r="D64" s="41" t="s">
        <v>1865</v>
      </c>
      <c r="E64" s="41">
        <v>0.0</v>
      </c>
      <c r="F64" s="41">
        <v>20.0</v>
      </c>
      <c r="G64" s="42"/>
      <c r="H64" s="41">
        <v>3000.0</v>
      </c>
      <c r="I64" s="42"/>
      <c r="J64" s="41" t="s">
        <v>2072</v>
      </c>
      <c r="K64" s="41" t="s">
        <v>2073</v>
      </c>
      <c r="L64" s="42"/>
      <c r="M64" s="42"/>
      <c r="N64" s="42"/>
      <c r="O64" s="42"/>
      <c r="P64" s="42"/>
      <c r="Q64" s="42"/>
      <c r="R64" s="42"/>
      <c r="S64" s="42"/>
      <c r="T64" s="42"/>
      <c r="U64" s="42"/>
      <c r="V64" s="42"/>
      <c r="W64" s="42"/>
      <c r="X64" s="42"/>
      <c r="Y64" s="42"/>
      <c r="Z64" s="42"/>
      <c r="AA64" s="42"/>
      <c r="AB64" s="42"/>
      <c r="AC64" s="42"/>
      <c r="AD64" s="42"/>
      <c r="AE64" s="42"/>
      <c r="AF64" s="42"/>
    </row>
    <row r="65">
      <c r="A65" s="40">
        <v>43900.0</v>
      </c>
      <c r="B65" s="42"/>
      <c r="C65" s="41" t="s">
        <v>40</v>
      </c>
      <c r="D65" s="41" t="s">
        <v>1716</v>
      </c>
      <c r="E65" s="42"/>
      <c r="F65" s="42"/>
      <c r="G65" s="41">
        <v>15.0</v>
      </c>
      <c r="H65" s="42"/>
      <c r="I65" s="42"/>
      <c r="J65" s="41" t="s">
        <v>1952</v>
      </c>
      <c r="K65" s="42"/>
      <c r="L65" s="42"/>
      <c r="M65" s="41" t="s">
        <v>2074</v>
      </c>
      <c r="N65" s="42"/>
      <c r="O65" s="42"/>
      <c r="P65" s="42"/>
      <c r="Q65" s="42"/>
      <c r="R65" s="42"/>
      <c r="S65" s="42"/>
      <c r="T65" s="42"/>
      <c r="U65" s="42"/>
      <c r="V65" s="42"/>
      <c r="W65" s="42"/>
      <c r="X65" s="42"/>
      <c r="Y65" s="42"/>
      <c r="Z65" s="42"/>
      <c r="AA65" s="42"/>
      <c r="AB65" s="42"/>
      <c r="AC65" s="42"/>
      <c r="AD65" s="42"/>
      <c r="AE65" s="42"/>
      <c r="AF65" s="42"/>
    </row>
    <row r="66">
      <c r="A66" s="40">
        <v>43903.0</v>
      </c>
      <c r="B66" s="41" t="s">
        <v>2075</v>
      </c>
      <c r="C66" s="41" t="s">
        <v>2076</v>
      </c>
      <c r="D66" s="41" t="s">
        <v>408</v>
      </c>
      <c r="E66" s="41">
        <v>0.0</v>
      </c>
      <c r="F66" s="41">
        <v>20.0</v>
      </c>
      <c r="G66" s="42"/>
      <c r="H66" s="41">
        <v>3000.0</v>
      </c>
      <c r="I66" s="42"/>
      <c r="J66" s="41" t="s">
        <v>2077</v>
      </c>
      <c r="K66" s="42"/>
      <c r="L66" s="42"/>
      <c r="M66" s="42"/>
      <c r="N66" s="42"/>
      <c r="O66" s="42"/>
      <c r="P66" s="42"/>
      <c r="Q66" s="42"/>
      <c r="R66" s="42"/>
      <c r="S66" s="42"/>
      <c r="T66" s="42"/>
      <c r="U66" s="42"/>
      <c r="V66" s="42"/>
      <c r="W66" s="42"/>
      <c r="X66" s="42"/>
      <c r="Y66" s="42"/>
      <c r="Z66" s="42"/>
      <c r="AA66" s="42"/>
      <c r="AB66" s="42"/>
      <c r="AC66" s="42"/>
      <c r="AD66" s="42"/>
      <c r="AE66" s="42"/>
      <c r="AF66" s="42"/>
    </row>
    <row r="67">
      <c r="A67" s="40">
        <v>43905.0</v>
      </c>
      <c r="B67" s="42"/>
      <c r="C67" s="41" t="s">
        <v>40</v>
      </c>
      <c r="D67" s="42"/>
      <c r="E67" s="42"/>
      <c r="F67" s="42"/>
      <c r="G67" s="41">
        <v>15.0</v>
      </c>
      <c r="H67" s="42"/>
      <c r="I67" s="42"/>
      <c r="J67" s="41" t="s">
        <v>1870</v>
      </c>
      <c r="K67" s="42"/>
      <c r="L67" s="42"/>
      <c r="M67" s="41" t="s">
        <v>2078</v>
      </c>
      <c r="N67" s="42"/>
      <c r="O67" s="42"/>
      <c r="P67" s="42"/>
      <c r="Q67" s="42"/>
      <c r="R67" s="42"/>
      <c r="S67" s="42"/>
      <c r="T67" s="42"/>
      <c r="U67" s="42"/>
      <c r="V67" s="42"/>
      <c r="W67" s="42"/>
      <c r="X67" s="42"/>
      <c r="Y67" s="42"/>
      <c r="Z67" s="42"/>
      <c r="AA67" s="42"/>
      <c r="AB67" s="42"/>
      <c r="AC67" s="42"/>
      <c r="AD67" s="42"/>
      <c r="AE67" s="42"/>
      <c r="AF67" s="42"/>
    </row>
    <row r="68">
      <c r="A68" s="40">
        <v>43905.0</v>
      </c>
      <c r="B68" s="41" t="s">
        <v>2079</v>
      </c>
      <c r="C68" s="41" t="s">
        <v>1582</v>
      </c>
      <c r="D68" s="41" t="s">
        <v>528</v>
      </c>
      <c r="E68" s="41">
        <v>0.0</v>
      </c>
      <c r="F68" s="41">
        <v>20.0</v>
      </c>
      <c r="G68" s="42"/>
      <c r="H68" s="41">
        <v>3000.0</v>
      </c>
      <c r="I68" s="41">
        <v>6800.0</v>
      </c>
      <c r="J68" s="41" t="s">
        <v>1295</v>
      </c>
      <c r="K68" s="42"/>
      <c r="L68" s="42"/>
      <c r="M68" s="41" t="s">
        <v>2080</v>
      </c>
      <c r="N68" s="42"/>
      <c r="O68" s="42"/>
      <c r="P68" s="42"/>
      <c r="Q68" s="42"/>
      <c r="R68" s="42"/>
      <c r="S68" s="42"/>
      <c r="T68" s="42"/>
      <c r="U68" s="42"/>
      <c r="V68" s="42"/>
      <c r="W68" s="42"/>
      <c r="X68" s="42"/>
      <c r="Y68" s="42"/>
      <c r="Z68" s="42"/>
      <c r="AA68" s="42"/>
      <c r="AB68" s="42"/>
      <c r="AC68" s="42"/>
      <c r="AD68" s="42"/>
      <c r="AE68" s="42"/>
      <c r="AF68" s="42"/>
    </row>
    <row r="69">
      <c r="A69" s="40">
        <v>43925.0</v>
      </c>
      <c r="B69" s="41" t="s">
        <v>2081</v>
      </c>
      <c r="C69" s="41" t="s">
        <v>2082</v>
      </c>
      <c r="D69" s="41" t="s">
        <v>1031</v>
      </c>
      <c r="E69" s="41">
        <v>0.0</v>
      </c>
      <c r="F69" s="41">
        <v>20.0</v>
      </c>
      <c r="G69" s="42"/>
      <c r="H69" s="41">
        <v>3000.0</v>
      </c>
      <c r="I69" s="42"/>
      <c r="J69" s="41" t="s">
        <v>2083</v>
      </c>
      <c r="K69" s="41" t="s">
        <v>2084</v>
      </c>
      <c r="L69" s="42"/>
      <c r="M69" s="41" t="s">
        <v>2085</v>
      </c>
      <c r="N69" s="42"/>
      <c r="O69" s="42"/>
      <c r="P69" s="42"/>
      <c r="Q69" s="42"/>
      <c r="R69" s="42"/>
      <c r="S69" s="42"/>
      <c r="T69" s="42"/>
      <c r="U69" s="42"/>
      <c r="V69" s="42"/>
      <c r="W69" s="42"/>
      <c r="X69" s="42"/>
      <c r="Y69" s="42"/>
      <c r="Z69" s="42"/>
      <c r="AA69" s="42"/>
      <c r="AB69" s="42"/>
      <c r="AC69" s="42"/>
      <c r="AD69" s="42"/>
      <c r="AE69" s="42"/>
      <c r="AF69" s="42"/>
    </row>
    <row r="70">
      <c r="A70" s="40">
        <v>43926.0</v>
      </c>
      <c r="B70" s="42"/>
      <c r="C70" s="41" t="s">
        <v>40</v>
      </c>
      <c r="D70" s="42"/>
      <c r="E70" s="42"/>
      <c r="F70" s="42"/>
      <c r="G70" s="41">
        <v>15.0</v>
      </c>
      <c r="H70" s="42"/>
      <c r="I70" s="42"/>
      <c r="J70" s="41" t="s">
        <v>1882</v>
      </c>
      <c r="K70" s="42"/>
      <c r="L70" s="42"/>
      <c r="M70" s="41" t="s">
        <v>2086</v>
      </c>
      <c r="N70" s="42"/>
      <c r="O70" s="42"/>
      <c r="P70" s="42"/>
      <c r="Q70" s="42"/>
      <c r="R70" s="42"/>
      <c r="S70" s="42"/>
      <c r="T70" s="42"/>
      <c r="U70" s="42"/>
      <c r="V70" s="42"/>
      <c r="W70" s="42"/>
      <c r="X70" s="42"/>
      <c r="Y70" s="42"/>
      <c r="Z70" s="42"/>
      <c r="AA70" s="42"/>
      <c r="AB70" s="42"/>
      <c r="AC70" s="42"/>
      <c r="AD70" s="42"/>
      <c r="AE70" s="42"/>
      <c r="AF70" s="42"/>
    </row>
    <row r="71">
      <c r="A71" s="40">
        <v>43928.0</v>
      </c>
      <c r="B71" s="41"/>
      <c r="C71" s="41" t="s">
        <v>40</v>
      </c>
      <c r="D71" s="41" t="s">
        <v>1342</v>
      </c>
      <c r="E71" s="41"/>
      <c r="F71" s="41"/>
      <c r="G71" s="41">
        <v>15.0</v>
      </c>
      <c r="H71" s="41"/>
      <c r="I71" s="42"/>
      <c r="J71" s="41" t="s">
        <v>289</v>
      </c>
      <c r="K71" s="42"/>
      <c r="L71" s="42"/>
      <c r="M71" s="41" t="s">
        <v>2087</v>
      </c>
      <c r="N71" s="42"/>
      <c r="O71" s="42"/>
      <c r="P71" s="42"/>
      <c r="Q71" s="42"/>
      <c r="R71" s="42"/>
      <c r="S71" s="42"/>
      <c r="T71" s="42"/>
      <c r="U71" s="42"/>
      <c r="V71" s="42"/>
      <c r="W71" s="42"/>
      <c r="X71" s="42"/>
      <c r="Y71" s="42"/>
      <c r="Z71" s="42"/>
      <c r="AA71" s="42"/>
      <c r="AB71" s="42"/>
      <c r="AC71" s="42"/>
      <c r="AD71" s="42"/>
      <c r="AE71" s="42"/>
      <c r="AF71" s="42"/>
    </row>
    <row r="72">
      <c r="A72" s="40">
        <v>43937.0</v>
      </c>
      <c r="B72" s="42"/>
      <c r="C72" s="41" t="s">
        <v>40</v>
      </c>
      <c r="D72" s="42"/>
      <c r="E72" s="42"/>
      <c r="F72" s="42"/>
      <c r="G72" s="41">
        <v>15.0</v>
      </c>
      <c r="H72" s="42"/>
      <c r="I72" s="42"/>
      <c r="J72" s="41" t="s">
        <v>1157</v>
      </c>
      <c r="K72" s="42"/>
      <c r="L72" s="42"/>
      <c r="M72" s="41" t="s">
        <v>2088</v>
      </c>
      <c r="N72" s="42"/>
      <c r="O72" s="42"/>
      <c r="P72" s="42"/>
      <c r="Q72" s="42"/>
      <c r="R72" s="42"/>
      <c r="S72" s="42"/>
      <c r="T72" s="42"/>
      <c r="U72" s="42"/>
      <c r="V72" s="42"/>
      <c r="W72" s="42"/>
      <c r="X72" s="42"/>
      <c r="Y72" s="42"/>
      <c r="Z72" s="42"/>
      <c r="AA72" s="42"/>
      <c r="AB72" s="42"/>
      <c r="AC72" s="42"/>
      <c r="AD72" s="42"/>
      <c r="AE72" s="42"/>
      <c r="AF72" s="42"/>
    </row>
    <row r="73">
      <c r="A73" s="40">
        <v>43939.0</v>
      </c>
      <c r="B73" s="41" t="s">
        <v>2089</v>
      </c>
      <c r="C73" s="41" t="s">
        <v>2090</v>
      </c>
      <c r="D73" s="41" t="s">
        <v>2029</v>
      </c>
      <c r="E73" s="41">
        <v>0.0</v>
      </c>
      <c r="F73" s="41">
        <v>20.0</v>
      </c>
      <c r="G73" s="42"/>
      <c r="H73" s="41">
        <v>3000.0</v>
      </c>
      <c r="I73" s="41">
        <v>400.0</v>
      </c>
      <c r="J73" s="41"/>
      <c r="K73" s="42"/>
      <c r="L73" s="42"/>
      <c r="M73" s="41" t="s">
        <v>2091</v>
      </c>
      <c r="N73" s="42"/>
      <c r="O73" s="42"/>
      <c r="P73" s="42"/>
      <c r="Q73" s="42"/>
      <c r="R73" s="42"/>
      <c r="S73" s="42"/>
      <c r="T73" s="42"/>
      <c r="U73" s="42"/>
      <c r="V73" s="42"/>
      <c r="W73" s="42"/>
      <c r="X73" s="42"/>
      <c r="Y73" s="42"/>
      <c r="Z73" s="42"/>
      <c r="AA73" s="42"/>
      <c r="AB73" s="42"/>
      <c r="AC73" s="42"/>
      <c r="AD73" s="42"/>
      <c r="AE73" s="42"/>
      <c r="AF73" s="42"/>
    </row>
    <row r="74">
      <c r="A74" s="40">
        <v>44008.0</v>
      </c>
      <c r="B74" s="41"/>
      <c r="C74" s="41" t="s">
        <v>238</v>
      </c>
      <c r="D74" s="41"/>
      <c r="E74" s="41"/>
      <c r="F74" s="41"/>
      <c r="G74" s="42"/>
      <c r="H74" s="41"/>
      <c r="I74" s="41"/>
      <c r="J74" s="41" t="s">
        <v>2092</v>
      </c>
      <c r="K74" s="42"/>
      <c r="L74" s="42"/>
      <c r="M74" s="41"/>
      <c r="N74" s="42"/>
      <c r="O74" s="42"/>
      <c r="P74" s="42"/>
      <c r="Q74" s="42"/>
      <c r="R74" s="42"/>
      <c r="S74" s="42"/>
      <c r="T74" s="42"/>
      <c r="U74" s="42"/>
      <c r="V74" s="42"/>
      <c r="W74" s="42"/>
      <c r="X74" s="42"/>
      <c r="Y74" s="42"/>
      <c r="Z74" s="42"/>
      <c r="AA74" s="42"/>
      <c r="AB74" s="42"/>
      <c r="AC74" s="42"/>
      <c r="AD74" s="42"/>
      <c r="AE74" s="42"/>
      <c r="AF74" s="42"/>
    </row>
    <row r="75">
      <c r="A75" s="40">
        <v>44008.0</v>
      </c>
      <c r="B75" s="41" t="s">
        <v>2093</v>
      </c>
      <c r="C75" s="41" t="s">
        <v>2094</v>
      </c>
      <c r="D75" s="41" t="s">
        <v>408</v>
      </c>
      <c r="E75" s="41">
        <v>0.0</v>
      </c>
      <c r="F75" s="41">
        <v>20.0</v>
      </c>
      <c r="G75" s="42"/>
      <c r="H75" s="41">
        <v>3000.0</v>
      </c>
      <c r="I75" s="41">
        <v>1300.0</v>
      </c>
      <c r="J75" s="41"/>
      <c r="K75" s="42"/>
      <c r="L75" s="42"/>
      <c r="M75" s="41" t="s">
        <v>2095</v>
      </c>
      <c r="N75" s="42"/>
      <c r="O75" s="42"/>
      <c r="P75" s="42"/>
      <c r="Q75" s="42"/>
      <c r="R75" s="42"/>
      <c r="S75" s="42"/>
      <c r="T75" s="42"/>
      <c r="U75" s="42"/>
      <c r="V75" s="42"/>
      <c r="W75" s="42"/>
      <c r="X75" s="42"/>
      <c r="Y75" s="42"/>
      <c r="Z75" s="42"/>
      <c r="AA75" s="42"/>
      <c r="AB75" s="42"/>
      <c r="AC75" s="42"/>
      <c r="AD75" s="42"/>
      <c r="AE75" s="42"/>
      <c r="AF75" s="42"/>
    </row>
    <row r="76">
      <c r="A76" s="40">
        <v>44017.0</v>
      </c>
      <c r="B76" s="41" t="s">
        <v>2096</v>
      </c>
      <c r="C76" s="41" t="s">
        <v>2097</v>
      </c>
      <c r="D76" s="41" t="s">
        <v>528</v>
      </c>
      <c r="E76" s="41">
        <v>0.0</v>
      </c>
      <c r="F76" s="41">
        <v>20.0</v>
      </c>
      <c r="G76" s="42"/>
      <c r="H76" s="41">
        <v>3000.0</v>
      </c>
      <c r="I76" s="41">
        <v>11000.0</v>
      </c>
      <c r="J76" s="41" t="s">
        <v>867</v>
      </c>
      <c r="K76" s="42"/>
      <c r="L76" s="41" t="s">
        <v>2098</v>
      </c>
      <c r="M76" s="41" t="s">
        <v>2099</v>
      </c>
      <c r="N76" s="42"/>
      <c r="O76" s="42"/>
      <c r="P76" s="42"/>
      <c r="Q76" s="42"/>
      <c r="R76" s="42"/>
      <c r="S76" s="42"/>
      <c r="T76" s="42"/>
      <c r="U76" s="42"/>
      <c r="V76" s="42"/>
      <c r="W76" s="42"/>
      <c r="X76" s="42"/>
      <c r="Y76" s="42"/>
      <c r="Z76" s="42"/>
      <c r="AA76" s="42"/>
      <c r="AB76" s="42"/>
      <c r="AC76" s="42"/>
      <c r="AD76" s="42"/>
      <c r="AE76" s="42"/>
      <c r="AF76" s="42"/>
    </row>
    <row r="77">
      <c r="A77" s="40">
        <v>44026.0</v>
      </c>
      <c r="B77" s="42"/>
      <c r="C77" s="41" t="s">
        <v>40</v>
      </c>
      <c r="D77" s="41" t="s">
        <v>58</v>
      </c>
      <c r="E77" s="42"/>
      <c r="F77" s="42"/>
      <c r="G77" s="41">
        <v>15.0</v>
      </c>
      <c r="H77" s="42"/>
      <c r="I77" s="42"/>
      <c r="J77" s="41" t="s">
        <v>2100</v>
      </c>
      <c r="K77" s="42"/>
      <c r="L77" s="42"/>
      <c r="M77" s="41" t="s">
        <v>2101</v>
      </c>
      <c r="N77" s="42"/>
      <c r="O77" s="42"/>
      <c r="P77" s="42"/>
      <c r="Q77" s="42"/>
      <c r="R77" s="42"/>
      <c r="S77" s="42"/>
      <c r="T77" s="42"/>
      <c r="U77" s="42"/>
      <c r="V77" s="42"/>
      <c r="W77" s="42"/>
      <c r="X77" s="42"/>
      <c r="Y77" s="42"/>
      <c r="Z77" s="42"/>
      <c r="AA77" s="42"/>
      <c r="AB77" s="42"/>
      <c r="AC77" s="42"/>
      <c r="AD77" s="42"/>
      <c r="AE77" s="42"/>
      <c r="AF77" s="42"/>
    </row>
    <row r="78">
      <c r="A78" s="40">
        <v>44079.0</v>
      </c>
      <c r="B78" s="41" t="s">
        <v>2102</v>
      </c>
      <c r="C78" s="41" t="s">
        <v>2103</v>
      </c>
      <c r="D78" s="41" t="s">
        <v>2104</v>
      </c>
      <c r="E78" s="41">
        <v>0.0</v>
      </c>
      <c r="F78" s="41">
        <v>20.0</v>
      </c>
      <c r="G78" s="42"/>
      <c r="H78" s="41">
        <v>3000.0</v>
      </c>
      <c r="I78" s="41">
        <v>7000.0</v>
      </c>
      <c r="J78" s="41" t="s">
        <v>2105</v>
      </c>
      <c r="K78" s="41" t="s">
        <v>470</v>
      </c>
      <c r="L78" s="41" t="s">
        <v>2106</v>
      </c>
      <c r="M78" s="41" t="s">
        <v>2107</v>
      </c>
      <c r="N78" s="42"/>
      <c r="O78" s="42"/>
      <c r="P78" s="42"/>
      <c r="Q78" s="42"/>
      <c r="R78" s="42"/>
      <c r="S78" s="42"/>
      <c r="T78" s="42"/>
      <c r="U78" s="42"/>
      <c r="V78" s="42"/>
      <c r="W78" s="42"/>
      <c r="X78" s="42"/>
      <c r="Y78" s="42"/>
      <c r="Z78" s="42"/>
      <c r="AA78" s="42"/>
      <c r="AB78" s="42"/>
      <c r="AC78" s="42"/>
      <c r="AD78" s="42"/>
      <c r="AE78" s="42"/>
      <c r="AF78" s="42"/>
    </row>
    <row r="79">
      <c r="A79" s="40">
        <v>44079.0</v>
      </c>
      <c r="B79" s="41" t="s">
        <v>2108</v>
      </c>
      <c r="C79" s="41" t="s">
        <v>2109</v>
      </c>
      <c r="D79" s="41" t="s">
        <v>2110</v>
      </c>
      <c r="E79" s="41">
        <v>0.0</v>
      </c>
      <c r="F79" s="41">
        <v>20.0</v>
      </c>
      <c r="G79" s="42"/>
      <c r="H79" s="41">
        <v>3000.0</v>
      </c>
      <c r="I79" s="42"/>
      <c r="J79" s="41" t="s">
        <v>2111</v>
      </c>
      <c r="K79" s="42"/>
      <c r="L79" s="41" t="s">
        <v>2112</v>
      </c>
      <c r="M79" s="42"/>
      <c r="N79" s="42"/>
      <c r="O79" s="42"/>
      <c r="P79" s="42"/>
      <c r="Q79" s="42"/>
      <c r="R79" s="42"/>
      <c r="S79" s="42"/>
      <c r="T79" s="42"/>
      <c r="U79" s="42"/>
      <c r="V79" s="42"/>
      <c r="W79" s="42"/>
      <c r="X79" s="42"/>
      <c r="Y79" s="42"/>
      <c r="Z79" s="42"/>
      <c r="AA79" s="42"/>
      <c r="AB79" s="42"/>
      <c r="AC79" s="42"/>
      <c r="AD79" s="42"/>
      <c r="AE79" s="42"/>
      <c r="AF79" s="42"/>
    </row>
    <row r="80">
      <c r="A80" s="40">
        <v>44134.0</v>
      </c>
      <c r="B80" s="41" t="s">
        <v>2113</v>
      </c>
      <c r="C80" s="41" t="s">
        <v>1625</v>
      </c>
      <c r="D80" s="41" t="s">
        <v>58</v>
      </c>
      <c r="E80" s="41">
        <v>0.0</v>
      </c>
      <c r="F80" s="41">
        <v>20.0</v>
      </c>
      <c r="G80" s="42"/>
      <c r="H80" s="41">
        <v>3750.0</v>
      </c>
      <c r="I80" s="41">
        <v>9100.0</v>
      </c>
      <c r="J80" s="41" t="s">
        <v>1627</v>
      </c>
      <c r="K80" s="42"/>
      <c r="L80" s="41" t="s">
        <v>2114</v>
      </c>
      <c r="M80" s="41" t="s">
        <v>2115</v>
      </c>
      <c r="N80" s="42"/>
      <c r="O80" s="42"/>
      <c r="P80" s="42"/>
      <c r="Q80" s="42"/>
      <c r="R80" s="42"/>
      <c r="S80" s="42"/>
      <c r="T80" s="42"/>
      <c r="U80" s="42"/>
      <c r="V80" s="42"/>
      <c r="W80" s="42"/>
      <c r="X80" s="42"/>
      <c r="Y80" s="42"/>
      <c r="Z80" s="42"/>
      <c r="AA80" s="42"/>
      <c r="AB80" s="42"/>
      <c r="AC80" s="42"/>
      <c r="AD80" s="42"/>
      <c r="AE80" s="42"/>
      <c r="AF80" s="42"/>
    </row>
    <row r="81">
      <c r="A81" s="40">
        <v>44162.0</v>
      </c>
      <c r="B81" s="41" t="s">
        <v>2116</v>
      </c>
      <c r="C81" s="41" t="s">
        <v>2117</v>
      </c>
      <c r="D81" s="41" t="s">
        <v>1924</v>
      </c>
      <c r="E81" s="41">
        <v>0.0</v>
      </c>
      <c r="F81" s="41">
        <v>20.0</v>
      </c>
      <c r="G81" s="42"/>
      <c r="H81" s="41">
        <v>6000.0</v>
      </c>
      <c r="I81" s="41">
        <v>2000.0</v>
      </c>
      <c r="J81" s="41" t="s">
        <v>2118</v>
      </c>
      <c r="K81" s="42"/>
      <c r="L81" s="41" t="s">
        <v>2119</v>
      </c>
      <c r="M81" s="42"/>
      <c r="N81" s="42"/>
      <c r="O81" s="42"/>
      <c r="P81" s="42"/>
      <c r="Q81" s="42"/>
      <c r="R81" s="42"/>
      <c r="S81" s="42"/>
      <c r="T81" s="42"/>
      <c r="U81" s="42"/>
      <c r="V81" s="42"/>
      <c r="W81" s="42"/>
      <c r="X81" s="42"/>
      <c r="Y81" s="42"/>
      <c r="Z81" s="42"/>
      <c r="AA81" s="42"/>
      <c r="AB81" s="42"/>
      <c r="AC81" s="42"/>
      <c r="AD81" s="42"/>
      <c r="AE81" s="42"/>
      <c r="AF81" s="42"/>
    </row>
    <row r="82">
      <c r="A82" s="40">
        <v>44192.0</v>
      </c>
      <c r="B82" s="42"/>
      <c r="C82" s="41" t="s">
        <v>40</v>
      </c>
      <c r="D82" s="42"/>
      <c r="E82" s="42"/>
      <c r="F82" s="42"/>
      <c r="G82" s="41">
        <v>15.0</v>
      </c>
      <c r="H82" s="42"/>
      <c r="I82" s="42"/>
      <c r="J82" s="41" t="s">
        <v>479</v>
      </c>
      <c r="K82" s="42"/>
      <c r="L82" s="42"/>
      <c r="M82" s="41" t="s">
        <v>2120</v>
      </c>
      <c r="N82" s="42"/>
      <c r="O82" s="42"/>
      <c r="P82" s="42"/>
      <c r="Q82" s="42"/>
      <c r="R82" s="42"/>
      <c r="S82" s="42"/>
      <c r="T82" s="42"/>
      <c r="U82" s="42"/>
      <c r="V82" s="42"/>
      <c r="W82" s="42"/>
      <c r="X82" s="42"/>
      <c r="Y82" s="42"/>
      <c r="Z82" s="42"/>
      <c r="AA82" s="42"/>
      <c r="AB82" s="42"/>
      <c r="AC82" s="42"/>
      <c r="AD82" s="42"/>
      <c r="AE82" s="42"/>
      <c r="AF82" s="42"/>
    </row>
    <row r="83">
      <c r="A83" s="40">
        <v>44296.0</v>
      </c>
      <c r="B83" s="42"/>
      <c r="C83" s="41" t="s">
        <v>40</v>
      </c>
      <c r="D83" s="42"/>
      <c r="E83" s="42"/>
      <c r="F83" s="42"/>
      <c r="G83" s="41">
        <v>15.0</v>
      </c>
      <c r="H83" s="42"/>
      <c r="I83" s="42"/>
      <c r="J83" s="41" t="s">
        <v>1828</v>
      </c>
      <c r="K83" s="42"/>
      <c r="L83" s="42"/>
      <c r="M83" s="41" t="s">
        <v>2121</v>
      </c>
      <c r="N83" s="42"/>
      <c r="O83" s="42"/>
      <c r="P83" s="42"/>
      <c r="Q83" s="42"/>
      <c r="R83" s="42"/>
      <c r="S83" s="42"/>
      <c r="T83" s="42"/>
      <c r="U83" s="42"/>
      <c r="V83" s="42"/>
      <c r="W83" s="42"/>
      <c r="X83" s="42"/>
      <c r="Y83" s="42"/>
      <c r="Z83" s="42"/>
      <c r="AA83" s="42"/>
      <c r="AB83" s="42"/>
      <c r="AC83" s="42"/>
      <c r="AD83" s="42"/>
      <c r="AE83" s="42"/>
      <c r="AF83" s="42"/>
    </row>
    <row r="84">
      <c r="A84" s="40">
        <v>44342.0</v>
      </c>
      <c r="B84" s="42"/>
      <c r="C84" s="41" t="s">
        <v>40</v>
      </c>
      <c r="D84" s="42"/>
      <c r="E84" s="42"/>
      <c r="F84" s="42"/>
      <c r="G84" s="41">
        <v>15.0</v>
      </c>
      <c r="H84" s="42"/>
      <c r="I84" s="42"/>
      <c r="J84" s="41" t="s">
        <v>1627</v>
      </c>
      <c r="K84" s="42"/>
      <c r="L84" s="42"/>
      <c r="M84" s="41" t="s">
        <v>2122</v>
      </c>
      <c r="N84" s="42"/>
      <c r="O84" s="42"/>
      <c r="P84" s="42"/>
      <c r="Q84" s="42"/>
      <c r="R84" s="42"/>
      <c r="S84" s="42"/>
      <c r="T84" s="42"/>
      <c r="U84" s="42"/>
      <c r="V84" s="42"/>
      <c r="W84" s="42"/>
      <c r="X84" s="42"/>
      <c r="Y84" s="42"/>
      <c r="Z84" s="42"/>
      <c r="AA84" s="42"/>
      <c r="AB84" s="42"/>
      <c r="AC84" s="42"/>
      <c r="AD84" s="42"/>
      <c r="AE84" s="42"/>
      <c r="AF84" s="42"/>
    </row>
    <row r="85">
      <c r="A85" s="40">
        <v>44472.0</v>
      </c>
      <c r="B85" s="42"/>
      <c r="C85" s="41" t="s">
        <v>40</v>
      </c>
      <c r="D85" s="42"/>
      <c r="E85" s="42"/>
      <c r="F85" s="42"/>
      <c r="G85" s="41">
        <v>5.0</v>
      </c>
      <c r="H85" s="42"/>
      <c r="I85" s="42"/>
      <c r="J85" s="41" t="s">
        <v>1922</v>
      </c>
      <c r="K85" s="42"/>
      <c r="L85" s="42"/>
      <c r="M85" s="41" t="s">
        <v>2123</v>
      </c>
      <c r="N85" s="42"/>
      <c r="O85" s="42"/>
      <c r="P85" s="42"/>
      <c r="Q85" s="42"/>
      <c r="R85" s="42"/>
      <c r="S85" s="42"/>
      <c r="T85" s="41"/>
      <c r="U85" s="41"/>
      <c r="V85" s="42"/>
      <c r="W85" s="42"/>
      <c r="X85" s="42"/>
      <c r="Y85" s="42"/>
      <c r="Z85" s="42"/>
      <c r="AA85" s="42"/>
      <c r="AB85" s="42"/>
      <c r="AC85" s="42"/>
      <c r="AD85" s="42"/>
      <c r="AE85" s="42"/>
      <c r="AF85" s="42"/>
    </row>
    <row r="86">
      <c r="A86" s="40">
        <v>44472.0</v>
      </c>
      <c r="B86" s="42"/>
      <c r="C86" s="41" t="s">
        <v>40</v>
      </c>
      <c r="D86" s="42"/>
      <c r="E86" s="42"/>
      <c r="F86" s="42"/>
      <c r="G86" s="41">
        <v>5.0</v>
      </c>
      <c r="H86" s="42"/>
      <c r="I86" s="42"/>
      <c r="J86" s="41" t="s">
        <v>1569</v>
      </c>
      <c r="K86" s="42"/>
      <c r="L86" s="42"/>
      <c r="M86" s="41" t="s">
        <v>2124</v>
      </c>
      <c r="N86" s="42"/>
      <c r="O86" s="42"/>
      <c r="P86" s="42"/>
      <c r="Q86" s="42"/>
      <c r="R86" s="42"/>
      <c r="S86" s="42"/>
      <c r="T86" s="41"/>
      <c r="U86" s="41"/>
      <c r="V86" s="42"/>
      <c r="W86" s="42"/>
      <c r="X86" s="42"/>
      <c r="Y86" s="42"/>
      <c r="Z86" s="42"/>
      <c r="AA86" s="42"/>
      <c r="AB86" s="42"/>
      <c r="AC86" s="42"/>
      <c r="AD86" s="42"/>
      <c r="AE86" s="42"/>
      <c r="AF86" s="42"/>
    </row>
    <row r="87">
      <c r="A87" s="40">
        <v>44472.0</v>
      </c>
      <c r="B87" s="42"/>
      <c r="C87" s="41" t="s">
        <v>40</v>
      </c>
      <c r="D87" s="42"/>
      <c r="E87" s="42"/>
      <c r="F87" s="42"/>
      <c r="G87" s="41">
        <v>5.0</v>
      </c>
      <c r="H87" s="42"/>
      <c r="I87" s="42"/>
      <c r="J87" s="41" t="s">
        <v>687</v>
      </c>
      <c r="K87" s="42"/>
      <c r="L87" s="42"/>
      <c r="M87" s="41" t="s">
        <v>2125</v>
      </c>
      <c r="N87" s="42"/>
      <c r="O87" s="42"/>
      <c r="P87" s="42"/>
      <c r="Q87" s="42"/>
      <c r="R87" s="42"/>
      <c r="S87" s="42"/>
      <c r="T87" s="41"/>
      <c r="U87" s="41"/>
      <c r="V87" s="42"/>
      <c r="W87" s="42"/>
      <c r="X87" s="42"/>
      <c r="Y87" s="42"/>
      <c r="Z87" s="42"/>
      <c r="AA87" s="42"/>
      <c r="AB87" s="42"/>
      <c r="AC87" s="42"/>
      <c r="AD87" s="42"/>
      <c r="AE87" s="42"/>
      <c r="AF87" s="42"/>
    </row>
    <row r="88">
      <c r="A88" s="40">
        <v>44472.0</v>
      </c>
      <c r="B88" s="42"/>
      <c r="C88" s="41" t="s">
        <v>238</v>
      </c>
      <c r="D88" s="42"/>
      <c r="E88" s="42"/>
      <c r="F88" s="42"/>
      <c r="G88" s="41"/>
      <c r="H88" s="42"/>
      <c r="I88" s="42"/>
      <c r="J88" s="41" t="s">
        <v>521</v>
      </c>
      <c r="K88" s="42"/>
      <c r="L88" s="42"/>
      <c r="M88" s="42"/>
      <c r="N88" s="42"/>
      <c r="O88" s="42"/>
      <c r="P88" s="42"/>
      <c r="Q88" s="42"/>
      <c r="R88" s="42"/>
      <c r="S88" s="42"/>
      <c r="T88" s="41"/>
      <c r="U88" s="41"/>
      <c r="V88" s="42"/>
      <c r="W88" s="42"/>
      <c r="X88" s="42"/>
      <c r="Y88" s="42"/>
      <c r="Z88" s="42"/>
      <c r="AA88" s="42"/>
      <c r="AB88" s="42"/>
      <c r="AC88" s="42"/>
      <c r="AD88" s="42"/>
      <c r="AE88" s="42"/>
      <c r="AF88" s="42"/>
    </row>
    <row r="89">
      <c r="A89" s="40">
        <v>44472.0</v>
      </c>
      <c r="B89" s="42"/>
      <c r="C89" s="41" t="s">
        <v>40</v>
      </c>
      <c r="D89" s="42"/>
      <c r="E89" s="42"/>
      <c r="F89" s="42"/>
      <c r="G89" s="41">
        <v>5.0</v>
      </c>
      <c r="H89" s="42"/>
      <c r="I89" s="42"/>
      <c r="J89" s="41" t="s">
        <v>158</v>
      </c>
      <c r="K89" s="42"/>
      <c r="L89" s="42"/>
      <c r="M89" s="41" t="s">
        <v>2126</v>
      </c>
      <c r="N89" s="42"/>
      <c r="O89" s="42"/>
      <c r="P89" s="42"/>
      <c r="Q89" s="42"/>
      <c r="R89" s="42"/>
      <c r="S89" s="42"/>
      <c r="T89" s="41"/>
      <c r="U89" s="41"/>
      <c r="V89" s="42"/>
      <c r="W89" s="42"/>
      <c r="X89" s="42"/>
      <c r="Y89" s="42"/>
      <c r="Z89" s="42"/>
      <c r="AA89" s="42"/>
      <c r="AB89" s="42"/>
      <c r="AC89" s="42"/>
      <c r="AD89" s="42"/>
      <c r="AE89" s="42"/>
      <c r="AF89" s="42"/>
    </row>
    <row r="90">
      <c r="A90" s="40">
        <v>44472.0</v>
      </c>
      <c r="B90" s="41" t="s">
        <v>1619</v>
      </c>
      <c r="C90" s="41" t="s">
        <v>1620</v>
      </c>
      <c r="D90" s="41" t="s">
        <v>670</v>
      </c>
      <c r="E90" s="41">
        <v>0.0</v>
      </c>
      <c r="F90" s="42"/>
      <c r="G90" s="41">
        <v>5.0</v>
      </c>
      <c r="H90" s="41">
        <v>20000.0</v>
      </c>
      <c r="I90" s="41">
        <v>11000.0</v>
      </c>
      <c r="J90" s="41" t="s">
        <v>2127</v>
      </c>
      <c r="K90" s="41" t="s">
        <v>2128</v>
      </c>
      <c r="L90" s="41" t="s">
        <v>1622</v>
      </c>
      <c r="M90" s="41" t="s">
        <v>2129</v>
      </c>
      <c r="N90" s="42"/>
      <c r="O90" s="42"/>
      <c r="P90" s="42"/>
      <c r="Q90" s="42"/>
      <c r="R90" s="42"/>
      <c r="S90" s="42"/>
      <c r="T90" s="41"/>
      <c r="U90" s="41"/>
      <c r="V90" s="42"/>
      <c r="W90" s="42"/>
      <c r="X90" s="42"/>
      <c r="Y90" s="42"/>
      <c r="Z90" s="42"/>
      <c r="AA90" s="42"/>
      <c r="AB90" s="42"/>
      <c r="AC90" s="42"/>
      <c r="AD90" s="42"/>
      <c r="AE90" s="42"/>
      <c r="AF90" s="42"/>
    </row>
    <row r="91">
      <c r="A91" s="40">
        <v>44482.0</v>
      </c>
      <c r="B91" s="41" t="s">
        <v>2130</v>
      </c>
      <c r="C91" s="41" t="s">
        <v>1578</v>
      </c>
      <c r="D91" s="41" t="s">
        <v>438</v>
      </c>
      <c r="E91" s="42"/>
      <c r="F91" s="41">
        <v>10.0</v>
      </c>
      <c r="G91" s="42"/>
      <c r="H91" s="41">
        <v>10000.0</v>
      </c>
      <c r="I91" s="42"/>
      <c r="J91" s="41" t="s">
        <v>1579</v>
      </c>
      <c r="K91" s="41" t="s">
        <v>1580</v>
      </c>
      <c r="L91" s="41" t="s">
        <v>2114</v>
      </c>
      <c r="M91" s="42"/>
      <c r="N91" s="42"/>
      <c r="O91" s="42"/>
      <c r="P91" s="42"/>
      <c r="Q91" s="42"/>
      <c r="R91" s="42"/>
      <c r="S91" s="42"/>
      <c r="T91" s="41"/>
      <c r="U91" s="41"/>
      <c r="V91" s="42"/>
      <c r="W91" s="42"/>
      <c r="X91" s="42"/>
      <c r="Y91" s="42"/>
      <c r="Z91" s="42"/>
      <c r="AA91" s="42"/>
      <c r="AB91" s="42"/>
      <c r="AC91" s="42"/>
      <c r="AD91" s="42"/>
      <c r="AE91" s="42"/>
      <c r="AF91" s="42"/>
    </row>
    <row r="92">
      <c r="A92" s="40">
        <v>44482.0</v>
      </c>
      <c r="B92" s="42"/>
      <c r="C92" s="41" t="s">
        <v>40</v>
      </c>
      <c r="D92" s="41" t="s">
        <v>438</v>
      </c>
      <c r="E92" s="42"/>
      <c r="F92" s="42"/>
      <c r="G92" s="41">
        <v>5.0</v>
      </c>
      <c r="H92" s="42"/>
      <c r="I92" s="42"/>
      <c r="J92" s="41" t="s">
        <v>1557</v>
      </c>
      <c r="K92" s="42"/>
      <c r="L92" s="41"/>
      <c r="M92" s="41" t="s">
        <v>2131</v>
      </c>
      <c r="N92" s="42"/>
      <c r="O92" s="42"/>
      <c r="P92" s="42"/>
      <c r="Q92" s="42"/>
      <c r="R92" s="42"/>
      <c r="S92" s="42"/>
      <c r="T92" s="42"/>
      <c r="U92" s="42"/>
      <c r="V92" s="42"/>
      <c r="W92" s="42"/>
      <c r="X92" s="42"/>
      <c r="Y92" s="42"/>
      <c r="Z92" s="42"/>
      <c r="AA92" s="42"/>
      <c r="AB92" s="42"/>
      <c r="AC92" s="42"/>
      <c r="AD92" s="42"/>
      <c r="AE92" s="42"/>
      <c r="AF92" s="42"/>
    </row>
    <row r="93">
      <c r="A93" s="40">
        <v>44709.0</v>
      </c>
      <c r="B93" s="42"/>
      <c r="C93" s="41" t="s">
        <v>40</v>
      </c>
      <c r="D93" s="41" t="s">
        <v>33</v>
      </c>
      <c r="E93" s="42"/>
      <c r="F93" s="42"/>
      <c r="G93" s="41">
        <v>5.0</v>
      </c>
      <c r="H93" s="42"/>
      <c r="I93" s="42"/>
      <c r="J93" s="41" t="s">
        <v>1946</v>
      </c>
      <c r="K93" s="42"/>
      <c r="L93" s="42"/>
      <c r="M93" s="41" t="s">
        <v>2132</v>
      </c>
      <c r="N93" s="42"/>
      <c r="O93" s="42"/>
      <c r="P93" s="42"/>
      <c r="Q93" s="42"/>
      <c r="R93" s="42"/>
      <c r="S93" s="42"/>
      <c r="T93" s="42"/>
      <c r="U93" s="42"/>
      <c r="V93" s="42"/>
      <c r="W93" s="42"/>
      <c r="X93" s="42"/>
      <c r="Y93" s="42"/>
      <c r="Z93" s="42"/>
      <c r="AA93" s="42"/>
      <c r="AB93" s="42"/>
      <c r="AC93" s="42"/>
      <c r="AD93" s="42"/>
      <c r="AE93" s="42"/>
      <c r="AF93" s="42"/>
    </row>
    <row r="94">
      <c r="A94" s="40">
        <v>44710.0</v>
      </c>
      <c r="B94" s="41" t="s">
        <v>1607</v>
      </c>
      <c r="C94" s="41" t="s">
        <v>1608</v>
      </c>
      <c r="D94" s="41" t="s">
        <v>2133</v>
      </c>
      <c r="E94" s="42"/>
      <c r="F94" s="41">
        <v>10.0</v>
      </c>
      <c r="G94" s="42"/>
      <c r="H94" s="41">
        <v>25000.0</v>
      </c>
      <c r="I94" s="42"/>
      <c r="J94" s="85" t="s">
        <v>1609</v>
      </c>
      <c r="K94" s="42"/>
      <c r="L94" s="42"/>
      <c r="M94" s="42"/>
      <c r="N94" s="42"/>
      <c r="O94" s="42"/>
      <c r="P94" s="42"/>
      <c r="Q94" s="42"/>
      <c r="R94" s="42"/>
      <c r="S94" s="42"/>
      <c r="T94" s="42"/>
      <c r="U94" s="42"/>
      <c r="V94" s="42"/>
      <c r="W94" s="42"/>
      <c r="X94" s="42"/>
      <c r="Y94" s="42"/>
      <c r="Z94" s="42"/>
      <c r="AA94" s="42"/>
      <c r="AB94" s="42"/>
      <c r="AC94" s="42"/>
      <c r="AD94" s="42"/>
      <c r="AE94" s="42"/>
      <c r="AF94" s="42"/>
    </row>
    <row r="95">
      <c r="A95" s="40">
        <v>44711.0</v>
      </c>
      <c r="B95" s="41" t="s">
        <v>2134</v>
      </c>
      <c r="C95" s="41" t="s">
        <v>1597</v>
      </c>
      <c r="D95" s="41" t="s">
        <v>2135</v>
      </c>
      <c r="E95" s="42"/>
      <c r="F95" s="41">
        <v>10.0</v>
      </c>
      <c r="G95" s="42"/>
      <c r="H95" s="41">
        <v>20500.0</v>
      </c>
      <c r="I95" s="42"/>
      <c r="J95" s="41" t="s">
        <v>2136</v>
      </c>
      <c r="K95" s="41" t="s">
        <v>2137</v>
      </c>
      <c r="L95" s="42"/>
      <c r="M95" s="42"/>
      <c r="N95" s="42"/>
      <c r="O95" s="42"/>
      <c r="P95" s="42"/>
      <c r="Q95" s="42"/>
      <c r="R95" s="42"/>
      <c r="S95" s="42"/>
      <c r="T95" s="42"/>
      <c r="U95" s="42"/>
      <c r="V95" s="42"/>
      <c r="W95" s="42"/>
      <c r="X95" s="42"/>
      <c r="Y95" s="42"/>
      <c r="Z95" s="42"/>
      <c r="AA95" s="42"/>
      <c r="AB95" s="42"/>
      <c r="AC95" s="42"/>
      <c r="AD95" s="42"/>
      <c r="AE95" s="42"/>
      <c r="AF95" s="42"/>
    </row>
    <row r="96">
      <c r="A96" s="40">
        <v>44718.0</v>
      </c>
      <c r="B96" s="42"/>
      <c r="C96" s="41" t="s">
        <v>40</v>
      </c>
      <c r="D96" s="41" t="s">
        <v>58</v>
      </c>
      <c r="E96" s="42"/>
      <c r="F96" s="42"/>
      <c r="G96" s="41">
        <v>5.0</v>
      </c>
      <c r="H96" s="42"/>
      <c r="I96" s="42"/>
      <c r="J96" s="41" t="s">
        <v>2138</v>
      </c>
      <c r="K96" s="42"/>
      <c r="L96" s="42"/>
      <c r="M96" s="41" t="s">
        <v>2139</v>
      </c>
      <c r="N96" s="42"/>
      <c r="O96" s="42"/>
      <c r="P96" s="42"/>
      <c r="Q96" s="42"/>
      <c r="R96" s="42"/>
      <c r="S96" s="42"/>
      <c r="T96" s="42"/>
      <c r="U96" s="42"/>
      <c r="V96" s="42"/>
      <c r="W96" s="42"/>
      <c r="X96" s="42"/>
      <c r="Y96" s="42"/>
      <c r="Z96" s="42"/>
      <c r="AA96" s="42"/>
      <c r="AB96" s="42"/>
      <c r="AC96" s="42"/>
      <c r="AD96" s="42"/>
      <c r="AE96" s="42"/>
      <c r="AF96" s="42"/>
    </row>
    <row r="97">
      <c r="A97" s="40">
        <v>44718.0</v>
      </c>
      <c r="B97" s="42"/>
      <c r="C97" s="41" t="s">
        <v>40</v>
      </c>
      <c r="D97" s="41"/>
      <c r="E97" s="42"/>
      <c r="F97" s="42"/>
      <c r="G97" s="41">
        <v>5.0</v>
      </c>
      <c r="H97" s="42"/>
      <c r="I97" s="42"/>
      <c r="J97" s="41" t="s">
        <v>1950</v>
      </c>
      <c r="K97" s="42"/>
      <c r="L97" s="42"/>
      <c r="M97" s="41" t="s">
        <v>2140</v>
      </c>
      <c r="N97" s="42"/>
      <c r="O97" s="42"/>
      <c r="P97" s="42"/>
      <c r="Q97" s="42"/>
      <c r="R97" s="42"/>
      <c r="S97" s="42"/>
      <c r="T97" s="42"/>
      <c r="U97" s="42"/>
      <c r="V97" s="42"/>
      <c r="W97" s="42"/>
      <c r="X97" s="42"/>
      <c r="Y97" s="42"/>
      <c r="Z97" s="42"/>
      <c r="AA97" s="42"/>
      <c r="AB97" s="42"/>
      <c r="AC97" s="42"/>
      <c r="AD97" s="42"/>
      <c r="AE97" s="42"/>
      <c r="AF97" s="42"/>
    </row>
    <row r="98">
      <c r="A98" s="40">
        <v>44720.0</v>
      </c>
      <c r="B98" s="42"/>
      <c r="C98" s="41" t="s">
        <v>40</v>
      </c>
      <c r="D98" s="41" t="s">
        <v>544</v>
      </c>
      <c r="E98" s="42"/>
      <c r="F98" s="42"/>
      <c r="G98" s="41">
        <v>5.0</v>
      </c>
      <c r="H98" s="42"/>
      <c r="I98" s="42"/>
      <c r="J98" s="41" t="s">
        <v>2141</v>
      </c>
      <c r="K98" s="42"/>
      <c r="L98" s="42"/>
      <c r="M98" s="41" t="s">
        <v>2142</v>
      </c>
      <c r="N98" s="42"/>
      <c r="O98" s="42"/>
      <c r="P98" s="42"/>
      <c r="Q98" s="42"/>
      <c r="R98" s="42"/>
      <c r="S98" s="42"/>
      <c r="T98" s="42"/>
      <c r="U98" s="42"/>
      <c r="V98" s="42"/>
      <c r="W98" s="42"/>
      <c r="X98" s="42"/>
      <c r="Y98" s="42"/>
      <c r="Z98" s="42"/>
      <c r="AA98" s="42"/>
      <c r="AB98" s="42"/>
      <c r="AC98" s="42"/>
      <c r="AD98" s="42"/>
      <c r="AE98" s="42"/>
      <c r="AF98" s="42"/>
    </row>
    <row r="99">
      <c r="A99" s="40">
        <v>44720.0</v>
      </c>
      <c r="B99" s="42"/>
      <c r="C99" s="41" t="s">
        <v>40</v>
      </c>
      <c r="D99" s="41" t="s">
        <v>544</v>
      </c>
      <c r="E99" s="42"/>
      <c r="F99" s="42"/>
      <c r="G99" s="41">
        <v>5.0</v>
      </c>
      <c r="H99" s="42"/>
      <c r="I99" s="42"/>
      <c r="J99" s="41" t="s">
        <v>1922</v>
      </c>
      <c r="K99" s="42"/>
      <c r="L99" s="42"/>
      <c r="M99" s="41" t="s">
        <v>2143</v>
      </c>
      <c r="N99" s="42"/>
      <c r="O99" s="42"/>
      <c r="P99" s="42"/>
      <c r="Q99" s="42"/>
      <c r="R99" s="42"/>
      <c r="S99" s="42"/>
      <c r="T99" s="42"/>
      <c r="U99" s="42"/>
      <c r="V99" s="42"/>
      <c r="W99" s="42"/>
      <c r="X99" s="42"/>
      <c r="Y99" s="42"/>
      <c r="Z99" s="42"/>
      <c r="AA99" s="42"/>
      <c r="AB99" s="42"/>
      <c r="AC99" s="42"/>
      <c r="AD99" s="42"/>
      <c r="AE99" s="42"/>
      <c r="AF99" s="42"/>
    </row>
    <row r="100">
      <c r="A100" s="40">
        <v>44724.0</v>
      </c>
      <c r="B100" s="42"/>
      <c r="C100" s="41" t="s">
        <v>40</v>
      </c>
      <c r="D100" s="41" t="s">
        <v>2144</v>
      </c>
      <c r="E100" s="42"/>
      <c r="F100" s="42"/>
      <c r="G100" s="41">
        <v>5.0</v>
      </c>
      <c r="H100" s="42"/>
      <c r="I100" s="42"/>
      <c r="J100" s="41" t="s">
        <v>1301</v>
      </c>
      <c r="K100" s="42"/>
      <c r="L100" s="42"/>
      <c r="M100" s="41" t="s">
        <v>2145</v>
      </c>
      <c r="N100" s="42"/>
      <c r="O100" s="42"/>
      <c r="P100" s="42"/>
      <c r="Q100" s="42"/>
      <c r="R100" s="42"/>
      <c r="S100" s="42"/>
      <c r="T100" s="42"/>
      <c r="U100" s="42"/>
      <c r="V100" s="42"/>
      <c r="W100" s="42"/>
      <c r="X100" s="42"/>
      <c r="Y100" s="42"/>
      <c r="Z100" s="42"/>
      <c r="AA100" s="42"/>
      <c r="AB100" s="42"/>
      <c r="AC100" s="42"/>
      <c r="AD100" s="42"/>
      <c r="AE100" s="42"/>
      <c r="AF100" s="42"/>
    </row>
    <row r="101">
      <c r="A101" s="40">
        <v>44724.0</v>
      </c>
      <c r="B101" s="42"/>
      <c r="C101" s="41" t="s">
        <v>40</v>
      </c>
      <c r="D101" s="42"/>
      <c r="E101" s="42"/>
      <c r="F101" s="42"/>
      <c r="G101" s="41">
        <v>5.0</v>
      </c>
      <c r="H101" s="42"/>
      <c r="I101" s="42"/>
      <c r="J101" s="41" t="s">
        <v>1569</v>
      </c>
      <c r="K101" s="42"/>
      <c r="L101" s="42"/>
      <c r="M101" s="41" t="s">
        <v>2146</v>
      </c>
      <c r="N101" s="42"/>
      <c r="O101" s="42"/>
      <c r="P101" s="42"/>
      <c r="Q101" s="42"/>
      <c r="R101" s="42"/>
      <c r="S101" s="42"/>
      <c r="T101" s="42"/>
      <c r="U101" s="42"/>
      <c r="V101" s="42"/>
      <c r="W101" s="42"/>
      <c r="X101" s="42"/>
      <c r="Y101" s="42"/>
      <c r="Z101" s="42"/>
      <c r="AA101" s="42"/>
      <c r="AB101" s="42"/>
      <c r="AC101" s="42"/>
      <c r="AD101" s="42"/>
      <c r="AE101" s="42"/>
      <c r="AF101" s="42"/>
    </row>
    <row r="102">
      <c r="A102" s="40">
        <v>44790.0</v>
      </c>
      <c r="B102" s="41" t="s">
        <v>2147</v>
      </c>
      <c r="C102" s="41" t="s">
        <v>2148</v>
      </c>
      <c r="D102" s="41" t="s">
        <v>37</v>
      </c>
      <c r="E102" s="42"/>
      <c r="F102" s="41">
        <v>10.0</v>
      </c>
      <c r="G102" s="42"/>
      <c r="H102" s="41">
        <v>10000.0</v>
      </c>
      <c r="I102" s="41">
        <v>22000.0</v>
      </c>
      <c r="J102" s="41" t="s">
        <v>2149</v>
      </c>
      <c r="K102" s="42"/>
      <c r="L102" s="42"/>
      <c r="M102" s="41" t="s">
        <v>2150</v>
      </c>
      <c r="N102" s="42"/>
      <c r="O102" s="42"/>
      <c r="P102" s="42"/>
      <c r="Q102" s="42"/>
      <c r="R102" s="42"/>
      <c r="S102" s="42"/>
      <c r="T102" s="42"/>
      <c r="U102" s="42"/>
      <c r="V102" s="42"/>
      <c r="W102" s="42"/>
      <c r="X102" s="42"/>
      <c r="Y102" s="42"/>
      <c r="Z102" s="42"/>
      <c r="AA102" s="42"/>
      <c r="AB102" s="42"/>
      <c r="AC102" s="42"/>
      <c r="AD102" s="42"/>
      <c r="AE102" s="42"/>
      <c r="AF102" s="42"/>
    </row>
    <row r="103">
      <c r="A103" s="40">
        <v>44808.0</v>
      </c>
      <c r="B103" s="41" t="s">
        <v>2151</v>
      </c>
      <c r="C103" s="41" t="s">
        <v>2152</v>
      </c>
      <c r="D103" s="41" t="s">
        <v>2153</v>
      </c>
      <c r="E103" s="42"/>
      <c r="F103" s="41">
        <v>10.0</v>
      </c>
      <c r="G103" s="42"/>
      <c r="H103" s="41">
        <v>14000.0</v>
      </c>
      <c r="I103" s="41">
        <v>1000.0</v>
      </c>
      <c r="J103" s="41" t="s">
        <v>1603</v>
      </c>
      <c r="K103" s="42"/>
      <c r="L103" s="42"/>
      <c r="M103" s="42"/>
      <c r="N103" s="42"/>
      <c r="O103" s="42"/>
      <c r="P103" s="42"/>
      <c r="Q103" s="42"/>
      <c r="R103" s="42"/>
      <c r="S103" s="42"/>
      <c r="T103" s="42"/>
      <c r="U103" s="42"/>
      <c r="V103" s="42"/>
      <c r="W103" s="42"/>
      <c r="X103" s="42"/>
      <c r="Y103" s="42"/>
      <c r="Z103" s="42"/>
      <c r="AA103" s="42"/>
      <c r="AB103" s="42"/>
      <c r="AC103" s="42"/>
      <c r="AD103" s="42"/>
      <c r="AE103" s="42"/>
      <c r="AF103" s="42"/>
    </row>
    <row r="104">
      <c r="A104" s="40">
        <v>45407.0</v>
      </c>
      <c r="B104" s="42"/>
      <c r="C104" s="42"/>
      <c r="D104" s="41" t="s">
        <v>37</v>
      </c>
      <c r="E104" s="42"/>
      <c r="F104" s="41">
        <v>10.0</v>
      </c>
      <c r="G104" s="42"/>
      <c r="H104" s="41">
        <v>7000.0</v>
      </c>
      <c r="I104" s="41">
        <v>20000.0</v>
      </c>
      <c r="J104" s="41" t="s">
        <v>2154</v>
      </c>
      <c r="K104" s="42"/>
      <c r="L104" s="42"/>
      <c r="M104" s="42"/>
      <c r="N104" s="42"/>
      <c r="O104" s="42"/>
      <c r="P104" s="42"/>
      <c r="Q104" s="42"/>
      <c r="R104" s="42"/>
      <c r="S104" s="42"/>
      <c r="T104" s="42"/>
      <c r="U104" s="42"/>
      <c r="V104" s="42"/>
      <c r="W104" s="42"/>
      <c r="X104" s="42"/>
      <c r="Y104" s="42"/>
      <c r="Z104" s="42"/>
      <c r="AA104" s="42"/>
      <c r="AB104" s="42"/>
      <c r="AC104" s="42"/>
      <c r="AD104" s="42"/>
      <c r="AE104" s="42"/>
      <c r="AF104" s="42"/>
    </row>
    <row r="105">
      <c r="A105" s="40">
        <v>45686.0</v>
      </c>
      <c r="B105" s="41" t="s">
        <v>2155</v>
      </c>
      <c r="C105" s="41" t="s">
        <v>2156</v>
      </c>
      <c r="D105" s="41" t="s">
        <v>58</v>
      </c>
      <c r="E105" s="42"/>
      <c r="F105" s="41">
        <v>10.0</v>
      </c>
      <c r="G105" s="42"/>
      <c r="H105" s="42"/>
      <c r="I105" s="41"/>
      <c r="J105" s="41" t="s">
        <v>2157</v>
      </c>
      <c r="K105" s="42"/>
      <c r="L105" s="42"/>
      <c r="M105" s="101"/>
      <c r="N105" s="42"/>
      <c r="O105" s="42"/>
      <c r="P105" s="42"/>
      <c r="Q105" s="42"/>
      <c r="R105" s="42"/>
      <c r="S105" s="42"/>
      <c r="T105" s="42"/>
      <c r="U105" s="42"/>
      <c r="V105" s="42"/>
      <c r="W105" s="42"/>
      <c r="X105" s="42"/>
      <c r="Y105" s="42"/>
      <c r="Z105" s="42"/>
      <c r="AA105" s="42"/>
      <c r="AB105" s="42"/>
      <c r="AC105" s="42"/>
      <c r="AD105" s="42"/>
      <c r="AE105" s="42"/>
      <c r="AF105" s="42"/>
    </row>
    <row r="106">
      <c r="A106" s="40">
        <v>45802.0</v>
      </c>
      <c r="B106" s="41" t="s">
        <v>2158</v>
      </c>
      <c r="C106" s="41" t="s">
        <v>2159</v>
      </c>
      <c r="D106" s="41" t="s">
        <v>2160</v>
      </c>
      <c r="E106" s="42"/>
      <c r="F106" s="41">
        <v>10.0</v>
      </c>
      <c r="G106" s="42"/>
      <c r="H106" s="42"/>
      <c r="I106" s="41"/>
      <c r="J106" s="41" t="s">
        <v>2161</v>
      </c>
      <c r="K106" s="42"/>
      <c r="L106" s="42"/>
      <c r="M106" s="101"/>
      <c r="N106" s="42"/>
      <c r="O106" s="42"/>
      <c r="P106" s="42"/>
      <c r="Q106" s="42"/>
      <c r="R106" s="42"/>
      <c r="S106" s="42"/>
      <c r="T106" s="42"/>
      <c r="U106" s="42"/>
      <c r="V106" s="42"/>
      <c r="W106" s="42"/>
      <c r="X106" s="42"/>
      <c r="Y106" s="42"/>
      <c r="Z106" s="42"/>
      <c r="AA106" s="42"/>
      <c r="AB106" s="42"/>
      <c r="AC106" s="42"/>
      <c r="AD106" s="42"/>
      <c r="AE106" s="42"/>
      <c r="AF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2" max="2" width="15.63"/>
    <col customWidth="1" min="3" max="3" width="25.5"/>
    <col customWidth="1" min="4" max="4" width="13.0"/>
    <col customWidth="1" min="5" max="6" width="7.5"/>
    <col customWidth="1" min="7" max="7" width="7.38"/>
    <col customWidth="1" min="8" max="8" width="6.38"/>
    <col customWidth="1" min="9" max="9" width="7.5"/>
    <col customWidth="1" min="10" max="10" width="6.75"/>
    <col customWidth="1" min="11" max="11" width="21.63"/>
    <col customWidth="1" min="12" max="12" width="23.5"/>
    <col customWidth="1" min="13" max="13" width="21.88"/>
    <col customWidth="1" min="14" max="14" width="24.63"/>
    <col customWidth="1" min="15" max="15" width="5.88"/>
    <col customWidth="1" min="16" max="16" width="25.5"/>
    <col customWidth="1" min="17" max="17" width="4.5"/>
    <col customWidth="1" min="18" max="18" width="21.38"/>
    <col customWidth="1" min="19" max="19" width="4.38"/>
    <col customWidth="1" min="20" max="20" width="23.13"/>
    <col customWidth="1" min="21" max="21" width="4.63"/>
  </cols>
  <sheetData>
    <row r="1">
      <c r="A1" s="1" t="s">
        <v>2162</v>
      </c>
      <c r="O1" s="86"/>
      <c r="P1" s="87"/>
      <c r="Q1" s="87"/>
      <c r="R1" s="87"/>
      <c r="S1" s="87"/>
      <c r="T1" s="87"/>
      <c r="U1" s="87"/>
    </row>
    <row r="2">
      <c r="A2" s="2" t="s">
        <v>2163</v>
      </c>
      <c r="B2" s="2" t="s">
        <v>2164</v>
      </c>
      <c r="C2" s="3" t="s">
        <v>3</v>
      </c>
      <c r="D2" s="4" t="s">
        <v>4</v>
      </c>
      <c r="E2" s="117"/>
      <c r="F2" s="5">
        <f>SUM(F11:F101)+1</f>
        <v>20</v>
      </c>
      <c r="K2" s="7" t="s">
        <v>5</v>
      </c>
      <c r="L2" s="8" t="s">
        <v>6</v>
      </c>
      <c r="M2" s="8" t="s">
        <v>7</v>
      </c>
      <c r="N2" s="8" t="s">
        <v>8</v>
      </c>
      <c r="O2" s="88"/>
      <c r="P2" s="9" t="s">
        <v>9</v>
      </c>
      <c r="Q2" s="89"/>
      <c r="R2" s="90"/>
      <c r="S2" s="90"/>
      <c r="T2" s="90"/>
      <c r="U2" s="91"/>
    </row>
    <row r="3">
      <c r="A3" s="2" t="s">
        <v>45</v>
      </c>
      <c r="C3" s="15"/>
      <c r="D3" s="16" t="s">
        <v>12</v>
      </c>
      <c r="E3" s="16"/>
      <c r="F3" s="17">
        <f>SUM(I11:I101)+15-SUM(J11:J101)</f>
        <v>23821</v>
      </c>
      <c r="L3" s="34" t="s">
        <v>1009</v>
      </c>
      <c r="M3" s="34" t="s">
        <v>546</v>
      </c>
      <c r="N3" s="44" t="s">
        <v>2165</v>
      </c>
      <c r="O3" s="88"/>
      <c r="P3" s="118" t="s">
        <v>2166</v>
      </c>
      <c r="Q3" s="118">
        <v>1.0</v>
      </c>
      <c r="R3" s="118" t="s">
        <v>149</v>
      </c>
      <c r="S3" s="118">
        <v>1.0</v>
      </c>
      <c r="T3" s="93"/>
      <c r="U3" s="93"/>
      <c r="W3" s="2" t="s">
        <v>2167</v>
      </c>
    </row>
    <row r="4">
      <c r="C4" s="26"/>
      <c r="D4" s="27" t="s">
        <v>15</v>
      </c>
      <c r="E4" s="172"/>
      <c r="F4" s="28">
        <f>SUM(G11:G101)-SUM(H11:H101)</f>
        <v>241</v>
      </c>
      <c r="L4" s="33" t="s">
        <v>2168</v>
      </c>
      <c r="M4" s="78" t="s">
        <v>289</v>
      </c>
      <c r="N4" s="168" t="s">
        <v>1560</v>
      </c>
      <c r="O4" s="88"/>
      <c r="P4" s="120" t="s">
        <v>470</v>
      </c>
      <c r="Q4" s="120">
        <v>0.6</v>
      </c>
      <c r="R4" s="120" t="s">
        <v>2169</v>
      </c>
      <c r="S4" s="120">
        <v>1.0</v>
      </c>
      <c r="T4" s="95"/>
      <c r="U4" s="95"/>
      <c r="W4" s="2" t="s">
        <v>2170</v>
      </c>
    </row>
    <row r="5">
      <c r="L5" s="34" t="s">
        <v>2171</v>
      </c>
      <c r="M5" s="44" t="s">
        <v>2172</v>
      </c>
      <c r="N5" s="74" t="s">
        <v>1882</v>
      </c>
      <c r="O5" s="88"/>
      <c r="P5" s="118" t="s">
        <v>175</v>
      </c>
      <c r="Q5" s="118">
        <v>1.0</v>
      </c>
      <c r="R5" s="118" t="s">
        <v>290</v>
      </c>
      <c r="S5" s="118">
        <v>15.0</v>
      </c>
      <c r="T5" s="93"/>
      <c r="U5" s="93"/>
    </row>
    <row r="6">
      <c r="L6" s="2" t="s">
        <v>2173</v>
      </c>
      <c r="N6" s="78" t="s">
        <v>2174</v>
      </c>
      <c r="O6" s="88"/>
      <c r="P6" s="120" t="s">
        <v>1662</v>
      </c>
      <c r="Q6" s="120">
        <v>1.0</v>
      </c>
      <c r="R6" s="120" t="s">
        <v>714</v>
      </c>
      <c r="S6" s="120">
        <v>8.0</v>
      </c>
      <c r="T6" s="95"/>
      <c r="U6" s="95"/>
    </row>
    <row r="7">
      <c r="O7" s="96"/>
      <c r="P7" s="118" t="s">
        <v>967</v>
      </c>
      <c r="Q7" s="118">
        <v>4.0</v>
      </c>
      <c r="R7" s="93"/>
      <c r="S7" s="93"/>
      <c r="T7" s="93"/>
      <c r="U7" s="93"/>
    </row>
    <row r="8">
      <c r="K8" s="7" t="s">
        <v>17</v>
      </c>
      <c r="L8" s="34" t="s">
        <v>1009</v>
      </c>
      <c r="M8" s="34" t="s">
        <v>2168</v>
      </c>
      <c r="N8" s="34" t="s">
        <v>2171</v>
      </c>
      <c r="O8" s="88"/>
      <c r="P8" s="120" t="s">
        <v>1651</v>
      </c>
      <c r="Q8" s="120">
        <v>1.0</v>
      </c>
      <c r="R8" s="95"/>
      <c r="S8" s="95"/>
      <c r="T8" s="95"/>
      <c r="U8" s="95"/>
    </row>
    <row r="9">
      <c r="O9" s="96"/>
      <c r="P9" s="118" t="s">
        <v>788</v>
      </c>
      <c r="Q9" s="118">
        <v>3.0</v>
      </c>
      <c r="R9" s="93"/>
      <c r="S9" s="93"/>
      <c r="T9" s="93"/>
      <c r="U9" s="93"/>
    </row>
    <row r="10">
      <c r="A10" s="37" t="s">
        <v>18</v>
      </c>
      <c r="B10" s="37" t="s">
        <v>19</v>
      </c>
      <c r="C10" s="37" t="s">
        <v>20</v>
      </c>
      <c r="D10" s="37" t="s">
        <v>21</v>
      </c>
      <c r="E10" s="37" t="s">
        <v>399</v>
      </c>
      <c r="F10" s="37" t="s">
        <v>22</v>
      </c>
      <c r="G10" s="37" t="s">
        <v>23</v>
      </c>
      <c r="H10" s="37" t="s">
        <v>24</v>
      </c>
      <c r="I10" s="37" t="s">
        <v>25</v>
      </c>
      <c r="J10" s="37" t="s">
        <v>26</v>
      </c>
      <c r="K10" s="37" t="s">
        <v>27</v>
      </c>
      <c r="L10" s="37" t="s">
        <v>28</v>
      </c>
      <c r="M10" s="37" t="s">
        <v>29</v>
      </c>
      <c r="N10" s="37" t="s">
        <v>30</v>
      </c>
      <c r="O10" s="97"/>
      <c r="P10" s="86"/>
      <c r="Q10" s="86"/>
      <c r="R10" s="86"/>
      <c r="S10" s="86"/>
      <c r="T10" s="86"/>
      <c r="U10" s="86"/>
      <c r="V10" s="38"/>
      <c r="W10" s="38"/>
      <c r="X10" s="38"/>
      <c r="Y10" s="38"/>
      <c r="Z10" s="38"/>
      <c r="AA10" s="38"/>
      <c r="AB10" s="38"/>
      <c r="AC10" s="38"/>
      <c r="AD10" s="38"/>
    </row>
    <row r="11">
      <c r="A11" s="39">
        <v>43880.0</v>
      </c>
      <c r="B11" s="2" t="s">
        <v>2175</v>
      </c>
      <c r="C11" s="2" t="s">
        <v>527</v>
      </c>
      <c r="D11" s="2" t="s">
        <v>1886</v>
      </c>
      <c r="E11" s="2"/>
      <c r="F11" s="2">
        <v>1.0</v>
      </c>
      <c r="G11" s="2">
        <v>10.0</v>
      </c>
      <c r="I11" s="2">
        <v>80.0</v>
      </c>
      <c r="O11" s="86"/>
      <c r="P11" s="86"/>
      <c r="Q11" s="86"/>
      <c r="R11" s="86"/>
      <c r="S11" s="86"/>
      <c r="T11" s="86"/>
      <c r="U11" s="86"/>
    </row>
    <row r="12">
      <c r="A12" s="39">
        <v>43914.0</v>
      </c>
      <c r="B12" s="2" t="s">
        <v>2176</v>
      </c>
      <c r="C12" s="2" t="s">
        <v>2177</v>
      </c>
      <c r="D12" s="2" t="s">
        <v>2178</v>
      </c>
      <c r="E12" s="2"/>
      <c r="F12" s="2">
        <v>1.0</v>
      </c>
      <c r="G12" s="2">
        <v>10.0</v>
      </c>
      <c r="I12" s="2">
        <v>80.0</v>
      </c>
      <c r="K12" s="2" t="s">
        <v>731</v>
      </c>
      <c r="O12" s="86"/>
      <c r="P12" s="86"/>
      <c r="Q12" s="86"/>
      <c r="R12" s="86"/>
      <c r="S12" s="86"/>
      <c r="T12" s="86"/>
      <c r="U12" s="86"/>
    </row>
    <row r="13">
      <c r="A13" s="39">
        <v>43915.0</v>
      </c>
      <c r="C13" s="2" t="s">
        <v>238</v>
      </c>
      <c r="E13" s="2"/>
      <c r="F13" s="2">
        <v>1.0</v>
      </c>
      <c r="G13" s="2">
        <v>10.0</v>
      </c>
      <c r="I13" s="2">
        <v>80.0</v>
      </c>
      <c r="O13" s="86"/>
      <c r="P13" s="86"/>
      <c r="Q13" s="86"/>
      <c r="R13" s="86"/>
      <c r="S13" s="86"/>
      <c r="T13" s="86"/>
      <c r="U13" s="86"/>
    </row>
    <row r="14">
      <c r="A14" s="39">
        <v>43915.0</v>
      </c>
      <c r="C14" s="2" t="s">
        <v>1671</v>
      </c>
      <c r="E14" s="2"/>
      <c r="F14" s="2">
        <v>1.0</v>
      </c>
      <c r="G14" s="2">
        <v>20.0</v>
      </c>
      <c r="H14" s="2">
        <v>20.0</v>
      </c>
      <c r="O14" s="86"/>
      <c r="P14" s="86"/>
      <c r="Q14" s="86"/>
      <c r="R14" s="86"/>
      <c r="S14" s="86"/>
      <c r="T14" s="86"/>
      <c r="U14" s="86"/>
    </row>
    <row r="15">
      <c r="A15" s="40">
        <v>43915.0</v>
      </c>
      <c r="B15" s="41" t="s">
        <v>431</v>
      </c>
      <c r="C15" s="41" t="s">
        <v>432</v>
      </c>
      <c r="D15" s="41" t="s">
        <v>58</v>
      </c>
      <c r="E15" s="41"/>
      <c r="F15" s="41">
        <v>1.0</v>
      </c>
      <c r="G15" s="41">
        <v>20.0</v>
      </c>
      <c r="H15" s="41"/>
      <c r="I15" s="41">
        <v>120.0</v>
      </c>
      <c r="J15" s="41"/>
      <c r="K15" s="41"/>
      <c r="L15" s="42"/>
      <c r="M15" s="42"/>
      <c r="N15" s="41" t="s">
        <v>2179</v>
      </c>
      <c r="O15" s="83"/>
      <c r="P15" s="83"/>
      <c r="Q15" s="83"/>
      <c r="R15" s="83"/>
      <c r="S15" s="83"/>
      <c r="T15" s="83"/>
      <c r="U15" s="83"/>
      <c r="V15" s="42"/>
      <c r="W15" s="42"/>
      <c r="X15" s="42"/>
      <c r="Y15" s="42"/>
      <c r="Z15" s="42"/>
      <c r="AA15" s="42"/>
      <c r="AB15" s="42"/>
      <c r="AC15" s="42"/>
      <c r="AD15" s="42"/>
    </row>
    <row r="16">
      <c r="A16" s="40">
        <v>43921.0</v>
      </c>
      <c r="B16" s="173" t="s">
        <v>2180</v>
      </c>
      <c r="C16" s="41" t="s">
        <v>2181</v>
      </c>
      <c r="D16" s="41" t="s">
        <v>2178</v>
      </c>
      <c r="E16" s="41"/>
      <c r="F16" s="41">
        <v>0.0</v>
      </c>
      <c r="G16" s="42"/>
      <c r="H16" s="41"/>
      <c r="I16" s="41">
        <v>120.0</v>
      </c>
      <c r="J16" s="42"/>
      <c r="K16" s="41" t="s">
        <v>258</v>
      </c>
      <c r="L16" s="42"/>
      <c r="M16" s="42"/>
      <c r="N16" s="41"/>
      <c r="O16" s="83"/>
      <c r="P16" s="83"/>
      <c r="Q16" s="83"/>
      <c r="R16" s="83"/>
      <c r="S16" s="83"/>
      <c r="T16" s="83"/>
      <c r="U16" s="83"/>
      <c r="V16" s="42"/>
      <c r="W16" s="42"/>
      <c r="X16" s="42"/>
      <c r="Y16" s="42"/>
      <c r="Z16" s="42"/>
      <c r="AA16" s="42"/>
      <c r="AB16" s="42"/>
      <c r="AC16" s="42"/>
      <c r="AD16" s="42"/>
    </row>
    <row r="17">
      <c r="A17" s="40">
        <v>43924.0</v>
      </c>
      <c r="B17" s="42"/>
      <c r="C17" s="41" t="s">
        <v>40</v>
      </c>
      <c r="D17" s="41" t="s">
        <v>1031</v>
      </c>
      <c r="E17" s="42"/>
      <c r="F17" s="42"/>
      <c r="G17" s="42"/>
      <c r="H17" s="41">
        <v>15.0</v>
      </c>
      <c r="I17" s="42"/>
      <c r="J17" s="42"/>
      <c r="K17" s="41" t="s">
        <v>2168</v>
      </c>
      <c r="L17" s="42"/>
      <c r="M17" s="42"/>
      <c r="N17" s="41" t="s">
        <v>2182</v>
      </c>
      <c r="O17" s="83"/>
      <c r="P17" s="83"/>
      <c r="Q17" s="83"/>
      <c r="R17" s="83"/>
      <c r="S17" s="83"/>
      <c r="T17" s="83"/>
      <c r="U17" s="83"/>
      <c r="V17" s="42"/>
      <c r="W17" s="42"/>
      <c r="X17" s="42"/>
      <c r="Y17" s="42"/>
      <c r="Z17" s="42"/>
      <c r="AA17" s="42"/>
      <c r="AB17" s="42"/>
      <c r="AC17" s="42"/>
      <c r="AD17" s="42"/>
    </row>
    <row r="18">
      <c r="A18" s="40">
        <v>43928.0</v>
      </c>
      <c r="B18" s="84" t="s">
        <v>2183</v>
      </c>
      <c r="C18" s="41" t="s">
        <v>2184</v>
      </c>
      <c r="D18" s="41" t="s">
        <v>1763</v>
      </c>
      <c r="E18" s="41"/>
      <c r="F18" s="41">
        <v>1.0</v>
      </c>
      <c r="G18" s="41">
        <v>20.0</v>
      </c>
      <c r="H18" s="41">
        <v>1.0</v>
      </c>
      <c r="I18" s="41">
        <v>120.0</v>
      </c>
      <c r="J18" s="42"/>
      <c r="K18" s="41" t="s">
        <v>1169</v>
      </c>
      <c r="L18" s="42"/>
      <c r="M18" s="42"/>
      <c r="N18" s="41" t="s">
        <v>2185</v>
      </c>
      <c r="O18" s="83"/>
      <c r="P18" s="83"/>
      <c r="Q18" s="83"/>
      <c r="R18" s="83"/>
      <c r="S18" s="83"/>
      <c r="T18" s="83"/>
      <c r="U18" s="83"/>
      <c r="V18" s="42"/>
      <c r="W18" s="42"/>
      <c r="X18" s="42"/>
      <c r="Y18" s="42"/>
      <c r="Z18" s="42"/>
      <c r="AA18" s="42"/>
      <c r="AB18" s="42"/>
      <c r="AC18" s="42"/>
      <c r="AD18" s="42"/>
    </row>
    <row r="19">
      <c r="A19" s="40">
        <v>43930.0</v>
      </c>
      <c r="B19" s="41" t="s">
        <v>406</v>
      </c>
      <c r="C19" s="41" t="s">
        <v>407</v>
      </c>
      <c r="D19" s="41" t="s">
        <v>408</v>
      </c>
      <c r="E19" s="41"/>
      <c r="F19" s="41">
        <v>1.0</v>
      </c>
      <c r="G19" s="41">
        <v>20.0</v>
      </c>
      <c r="H19" s="41"/>
      <c r="I19" s="41">
        <v>120.0</v>
      </c>
      <c r="J19" s="42"/>
      <c r="K19" s="41"/>
      <c r="L19" s="42"/>
      <c r="M19" s="42"/>
      <c r="N19" s="41" t="s">
        <v>2186</v>
      </c>
      <c r="O19" s="83"/>
      <c r="P19" s="83"/>
      <c r="Q19" s="83"/>
      <c r="R19" s="83"/>
      <c r="S19" s="83"/>
      <c r="T19" s="83"/>
      <c r="U19" s="83"/>
      <c r="V19" s="42"/>
      <c r="W19" s="42"/>
      <c r="X19" s="42"/>
      <c r="Y19" s="42"/>
      <c r="Z19" s="42"/>
      <c r="AA19" s="42"/>
      <c r="AB19" s="42"/>
      <c r="AC19" s="42"/>
      <c r="AD19" s="42"/>
    </row>
    <row r="20">
      <c r="A20" s="40">
        <v>43935.0</v>
      </c>
      <c r="B20" s="41" t="s">
        <v>2187</v>
      </c>
      <c r="C20" s="41" t="s">
        <v>2188</v>
      </c>
      <c r="D20" s="41" t="s">
        <v>1763</v>
      </c>
      <c r="E20" s="41"/>
      <c r="F20" s="41">
        <v>0.0</v>
      </c>
      <c r="G20" s="42"/>
      <c r="H20" s="42"/>
      <c r="I20" s="41">
        <v>120.0</v>
      </c>
      <c r="J20" s="42"/>
      <c r="K20" s="41"/>
      <c r="L20" s="42"/>
      <c r="M20" s="41" t="s">
        <v>2189</v>
      </c>
      <c r="N20" s="42"/>
      <c r="O20" s="83"/>
      <c r="P20" s="83"/>
      <c r="Q20" s="83"/>
      <c r="R20" s="83"/>
      <c r="S20" s="83"/>
      <c r="T20" s="83"/>
      <c r="U20" s="83"/>
      <c r="V20" s="42"/>
      <c r="W20" s="42"/>
      <c r="X20" s="42"/>
      <c r="Y20" s="42"/>
      <c r="Z20" s="42"/>
      <c r="AA20" s="42"/>
      <c r="AB20" s="42"/>
      <c r="AC20" s="42"/>
      <c r="AD20" s="42"/>
    </row>
    <row r="21">
      <c r="A21" s="40">
        <v>43936.0</v>
      </c>
      <c r="B21" s="173" t="s">
        <v>2190</v>
      </c>
      <c r="C21" s="41" t="s">
        <v>2191</v>
      </c>
      <c r="D21" s="41" t="s">
        <v>544</v>
      </c>
      <c r="E21" s="41"/>
      <c r="F21" s="41">
        <v>1.0</v>
      </c>
      <c r="G21" s="41">
        <v>20.0</v>
      </c>
      <c r="H21" s="41">
        <v>1.0</v>
      </c>
      <c r="I21" s="41">
        <v>120.0</v>
      </c>
      <c r="J21" s="42"/>
      <c r="K21" s="41"/>
      <c r="L21" s="42"/>
      <c r="M21" s="42"/>
      <c r="N21" s="41" t="s">
        <v>2192</v>
      </c>
      <c r="O21" s="83"/>
      <c r="P21" s="83"/>
      <c r="Q21" s="83"/>
      <c r="R21" s="83"/>
      <c r="S21" s="83"/>
      <c r="T21" s="83"/>
      <c r="U21" s="83"/>
      <c r="V21" s="42"/>
      <c r="W21" s="42"/>
      <c r="X21" s="42"/>
      <c r="Y21" s="42"/>
      <c r="Z21" s="42"/>
      <c r="AA21" s="42"/>
      <c r="AB21" s="42"/>
      <c r="AC21" s="42"/>
      <c r="AD21" s="42"/>
    </row>
    <row r="22">
      <c r="A22" s="40">
        <v>43964.0</v>
      </c>
      <c r="B22" s="41" t="s">
        <v>424</v>
      </c>
      <c r="C22" s="41" t="s">
        <v>425</v>
      </c>
      <c r="D22" s="41" t="s">
        <v>2193</v>
      </c>
      <c r="E22" s="41"/>
      <c r="F22" s="41">
        <v>0.0</v>
      </c>
      <c r="G22" s="42"/>
      <c r="H22" s="41">
        <v>1.0</v>
      </c>
      <c r="I22" s="41">
        <v>120.0</v>
      </c>
      <c r="J22" s="42"/>
      <c r="K22" s="41" t="s">
        <v>727</v>
      </c>
      <c r="L22" s="42"/>
      <c r="M22" s="42"/>
      <c r="N22" s="41" t="s">
        <v>2194</v>
      </c>
      <c r="O22" s="83"/>
      <c r="P22" s="83"/>
      <c r="Q22" s="83"/>
      <c r="R22" s="83"/>
      <c r="S22" s="83"/>
      <c r="T22" s="83"/>
      <c r="U22" s="83"/>
      <c r="V22" s="42"/>
      <c r="W22" s="42"/>
      <c r="X22" s="42"/>
      <c r="Y22" s="42"/>
      <c r="Z22" s="42"/>
      <c r="AA22" s="42"/>
      <c r="AB22" s="42"/>
      <c r="AC22" s="42"/>
      <c r="AD22" s="42"/>
    </row>
    <row r="23">
      <c r="A23" s="40">
        <v>43970.0</v>
      </c>
      <c r="B23" s="41" t="s">
        <v>2195</v>
      </c>
      <c r="C23" s="41" t="s">
        <v>2196</v>
      </c>
      <c r="D23" s="41" t="s">
        <v>586</v>
      </c>
      <c r="E23" s="41"/>
      <c r="F23" s="41">
        <v>1.0</v>
      </c>
      <c r="G23" s="41">
        <v>20.0</v>
      </c>
      <c r="H23" s="42"/>
      <c r="I23" s="41">
        <v>120.0</v>
      </c>
      <c r="J23" s="41">
        <v>50.0</v>
      </c>
      <c r="K23" s="41" t="s">
        <v>156</v>
      </c>
      <c r="L23" s="42"/>
      <c r="M23" s="41" t="s">
        <v>2197</v>
      </c>
      <c r="N23" s="41" t="s">
        <v>2198</v>
      </c>
      <c r="O23" s="83"/>
      <c r="P23" s="83"/>
      <c r="Q23" s="83"/>
      <c r="R23" s="83"/>
      <c r="S23" s="83"/>
      <c r="T23" s="83"/>
      <c r="U23" s="83"/>
      <c r="V23" s="42"/>
      <c r="W23" s="42"/>
      <c r="X23" s="42"/>
      <c r="Y23" s="42"/>
      <c r="Z23" s="42"/>
      <c r="AA23" s="42"/>
      <c r="AB23" s="42"/>
      <c r="AC23" s="42"/>
      <c r="AD23" s="42"/>
    </row>
    <row r="24">
      <c r="A24" s="40">
        <v>43971.0</v>
      </c>
      <c r="B24" s="41" t="s">
        <v>2199</v>
      </c>
      <c r="C24" s="41" t="s">
        <v>2200</v>
      </c>
      <c r="D24" s="41" t="s">
        <v>408</v>
      </c>
      <c r="E24" s="41"/>
      <c r="F24" s="41">
        <v>0.0</v>
      </c>
      <c r="G24" s="42"/>
      <c r="H24" s="41">
        <v>1.0</v>
      </c>
      <c r="I24" s="41">
        <v>120.0</v>
      </c>
      <c r="J24" s="42"/>
      <c r="K24" s="41"/>
      <c r="L24" s="42"/>
      <c r="M24" s="42"/>
      <c r="N24" s="41" t="s">
        <v>2201</v>
      </c>
      <c r="O24" s="83"/>
      <c r="P24" s="83"/>
      <c r="Q24" s="83"/>
      <c r="R24" s="83"/>
      <c r="S24" s="83"/>
      <c r="T24" s="83"/>
      <c r="U24" s="83"/>
      <c r="V24" s="42"/>
      <c r="W24" s="42"/>
      <c r="X24" s="42"/>
      <c r="Y24" s="42"/>
      <c r="Z24" s="42"/>
      <c r="AA24" s="42"/>
      <c r="AB24" s="42"/>
      <c r="AC24" s="42"/>
      <c r="AD24" s="42"/>
    </row>
    <row r="25">
      <c r="A25" s="40">
        <v>43979.0</v>
      </c>
      <c r="B25" s="41" t="s">
        <v>2202</v>
      </c>
      <c r="C25" s="41" t="s">
        <v>2203</v>
      </c>
      <c r="D25" s="41" t="s">
        <v>58</v>
      </c>
      <c r="E25" s="41"/>
      <c r="F25" s="41">
        <v>0.0</v>
      </c>
      <c r="G25" s="42"/>
      <c r="H25" s="42"/>
      <c r="I25" s="41">
        <v>120.0</v>
      </c>
      <c r="J25" s="42"/>
      <c r="K25" s="41"/>
      <c r="L25" s="42"/>
      <c r="M25" s="42"/>
      <c r="N25" s="41" t="s">
        <v>2204</v>
      </c>
      <c r="O25" s="83"/>
      <c r="P25" s="83"/>
      <c r="Q25" s="83"/>
      <c r="R25" s="83"/>
      <c r="S25" s="83"/>
      <c r="T25" s="83"/>
      <c r="U25" s="83"/>
      <c r="V25" s="42"/>
      <c r="W25" s="42"/>
      <c r="X25" s="42"/>
      <c r="Y25" s="42"/>
      <c r="Z25" s="42"/>
      <c r="AA25" s="42"/>
      <c r="AB25" s="42"/>
      <c r="AC25" s="42"/>
      <c r="AD25" s="42"/>
    </row>
    <row r="26">
      <c r="A26" s="40">
        <v>43986.0</v>
      </c>
      <c r="B26" s="41" t="s">
        <v>1206</v>
      </c>
      <c r="C26" s="41" t="s">
        <v>947</v>
      </c>
      <c r="D26" s="41" t="s">
        <v>328</v>
      </c>
      <c r="E26" s="41"/>
      <c r="F26" s="41">
        <v>0.0</v>
      </c>
      <c r="G26" s="42"/>
      <c r="H26" s="42"/>
      <c r="I26" s="42"/>
      <c r="J26" s="42"/>
      <c r="K26" s="41"/>
      <c r="L26" s="42"/>
      <c r="M26" s="41" t="s">
        <v>2205</v>
      </c>
      <c r="N26" s="41" t="s">
        <v>2206</v>
      </c>
      <c r="O26" s="83"/>
      <c r="P26" s="83"/>
      <c r="Q26" s="83"/>
      <c r="R26" s="83"/>
      <c r="S26" s="83"/>
      <c r="T26" s="83"/>
      <c r="U26" s="83"/>
      <c r="V26" s="42"/>
      <c r="W26" s="42"/>
      <c r="X26" s="42"/>
      <c r="Y26" s="42"/>
      <c r="Z26" s="42"/>
      <c r="AA26" s="42"/>
      <c r="AB26" s="42"/>
      <c r="AC26" s="42"/>
      <c r="AD26" s="42"/>
    </row>
    <row r="27">
      <c r="A27" s="40">
        <v>43991.0</v>
      </c>
      <c r="B27" s="42"/>
      <c r="C27" s="41" t="s">
        <v>40</v>
      </c>
      <c r="D27" s="41" t="s">
        <v>2207</v>
      </c>
      <c r="E27" s="42"/>
      <c r="F27" s="42"/>
      <c r="G27" s="42"/>
      <c r="H27" s="41">
        <v>15.0</v>
      </c>
      <c r="I27" s="42"/>
      <c r="J27" s="42"/>
      <c r="K27" s="41" t="s">
        <v>2208</v>
      </c>
      <c r="L27" s="42"/>
      <c r="M27" s="41" t="s">
        <v>2209</v>
      </c>
      <c r="N27" s="42"/>
      <c r="O27" s="83"/>
      <c r="P27" s="83"/>
      <c r="Q27" s="83"/>
      <c r="R27" s="83"/>
      <c r="S27" s="83"/>
      <c r="T27" s="83"/>
      <c r="U27" s="83"/>
      <c r="V27" s="42"/>
      <c r="W27" s="42"/>
      <c r="X27" s="42"/>
      <c r="Y27" s="42"/>
      <c r="Z27" s="42"/>
      <c r="AA27" s="42"/>
      <c r="AB27" s="42"/>
      <c r="AC27" s="42"/>
      <c r="AD27" s="42"/>
    </row>
    <row r="28">
      <c r="A28" s="40">
        <v>43991.0</v>
      </c>
      <c r="B28" s="41" t="s">
        <v>2210</v>
      </c>
      <c r="C28" s="41" t="s">
        <v>2211</v>
      </c>
      <c r="D28" s="41" t="s">
        <v>586</v>
      </c>
      <c r="E28" s="41"/>
      <c r="F28" s="41">
        <v>0.0</v>
      </c>
      <c r="G28" s="42"/>
      <c r="H28" s="42"/>
      <c r="I28" s="42"/>
      <c r="J28" s="42"/>
      <c r="K28" s="41"/>
      <c r="L28" s="41" t="s">
        <v>2212</v>
      </c>
      <c r="M28" s="41" t="s">
        <v>2213</v>
      </c>
      <c r="N28" s="42"/>
      <c r="O28" s="83"/>
      <c r="P28" s="83"/>
      <c r="Q28" s="83"/>
      <c r="R28" s="83"/>
      <c r="S28" s="83"/>
      <c r="T28" s="83"/>
      <c r="U28" s="83"/>
      <c r="V28" s="42"/>
      <c r="W28" s="42"/>
      <c r="X28" s="42"/>
      <c r="Y28" s="42"/>
      <c r="Z28" s="42"/>
      <c r="AA28" s="42"/>
      <c r="AB28" s="42"/>
      <c r="AC28" s="42"/>
      <c r="AD28" s="42"/>
    </row>
    <row r="29">
      <c r="A29" s="40">
        <v>44013.0</v>
      </c>
      <c r="B29" s="42"/>
      <c r="C29" s="41" t="s">
        <v>40</v>
      </c>
      <c r="D29" s="42"/>
      <c r="E29" s="42"/>
      <c r="F29" s="42"/>
      <c r="G29" s="42"/>
      <c r="H29" s="41">
        <v>15.0</v>
      </c>
      <c r="I29" s="42"/>
      <c r="J29" s="42"/>
      <c r="K29" s="41" t="s">
        <v>2214</v>
      </c>
      <c r="L29" s="42"/>
      <c r="M29" s="42"/>
      <c r="N29" s="41" t="s">
        <v>2215</v>
      </c>
      <c r="O29" s="83"/>
      <c r="P29" s="83"/>
      <c r="Q29" s="83"/>
      <c r="R29" s="83"/>
      <c r="S29" s="83"/>
      <c r="T29" s="83"/>
      <c r="U29" s="83"/>
      <c r="V29" s="42"/>
      <c r="W29" s="42"/>
      <c r="X29" s="42"/>
      <c r="Y29" s="42"/>
      <c r="Z29" s="42"/>
      <c r="AA29" s="42"/>
      <c r="AB29" s="42"/>
      <c r="AC29" s="42"/>
      <c r="AD29" s="42"/>
    </row>
    <row r="30">
      <c r="A30" s="40">
        <v>44014.0</v>
      </c>
      <c r="B30" s="41" t="s">
        <v>2216</v>
      </c>
      <c r="C30" s="84" t="s">
        <v>2217</v>
      </c>
      <c r="D30" s="41" t="s">
        <v>408</v>
      </c>
      <c r="E30" s="41"/>
      <c r="F30" s="41">
        <v>1.0</v>
      </c>
      <c r="G30" s="42"/>
      <c r="H30" s="42"/>
      <c r="I30" s="42"/>
      <c r="J30" s="41">
        <v>300.0</v>
      </c>
      <c r="K30" s="41" t="s">
        <v>2218</v>
      </c>
      <c r="L30" s="42"/>
      <c r="M30" s="41" t="s">
        <v>2219</v>
      </c>
      <c r="N30" s="41" t="s">
        <v>1904</v>
      </c>
      <c r="O30" s="83"/>
      <c r="P30" s="83"/>
      <c r="Q30" s="83"/>
      <c r="R30" s="83"/>
      <c r="S30" s="83"/>
      <c r="T30" s="83"/>
      <c r="U30" s="83"/>
      <c r="V30" s="42"/>
      <c r="W30" s="42"/>
      <c r="X30" s="42"/>
      <c r="Y30" s="42"/>
      <c r="Z30" s="42"/>
      <c r="AA30" s="42"/>
      <c r="AB30" s="42"/>
      <c r="AC30" s="42"/>
      <c r="AD30" s="42"/>
    </row>
    <row r="31">
      <c r="A31" s="39">
        <v>44021.0</v>
      </c>
      <c r="B31" s="2" t="s">
        <v>2220</v>
      </c>
      <c r="C31" s="2" t="s">
        <v>2221</v>
      </c>
      <c r="D31" s="2" t="s">
        <v>2222</v>
      </c>
      <c r="E31" s="2"/>
      <c r="F31" s="2">
        <v>1.0</v>
      </c>
      <c r="G31" s="2">
        <v>20.0</v>
      </c>
      <c r="I31" s="2">
        <v>600.0</v>
      </c>
      <c r="K31" s="2" t="s">
        <v>785</v>
      </c>
      <c r="O31" s="86"/>
      <c r="P31" s="86"/>
      <c r="Q31" s="86"/>
      <c r="R31" s="86"/>
      <c r="S31" s="86"/>
      <c r="T31" s="86"/>
      <c r="U31" s="86"/>
    </row>
    <row r="32">
      <c r="A32" s="39">
        <v>44033.0</v>
      </c>
      <c r="C32" s="2" t="s">
        <v>40</v>
      </c>
      <c r="H32" s="2">
        <v>15.0</v>
      </c>
      <c r="K32" s="2" t="s">
        <v>546</v>
      </c>
      <c r="N32" s="2" t="s">
        <v>2223</v>
      </c>
      <c r="O32" s="86"/>
      <c r="P32" s="86"/>
      <c r="Q32" s="86"/>
      <c r="R32" s="86"/>
      <c r="S32" s="86"/>
      <c r="T32" s="86"/>
      <c r="U32" s="86"/>
    </row>
    <row r="33">
      <c r="A33" s="39">
        <v>44042.0</v>
      </c>
      <c r="B33" s="2" t="s">
        <v>1025</v>
      </c>
      <c r="C33" s="2" t="s">
        <v>1026</v>
      </c>
      <c r="D33" s="2" t="s">
        <v>670</v>
      </c>
      <c r="E33" s="2"/>
      <c r="F33" s="2">
        <v>1.0</v>
      </c>
      <c r="G33" s="2">
        <v>20.0</v>
      </c>
      <c r="I33" s="2">
        <v>800.0</v>
      </c>
      <c r="J33" s="2">
        <v>200.0</v>
      </c>
      <c r="K33" s="2" t="s">
        <v>994</v>
      </c>
      <c r="N33" s="2" t="s">
        <v>2224</v>
      </c>
      <c r="O33" s="86"/>
      <c r="P33" s="86"/>
      <c r="Q33" s="86"/>
      <c r="R33" s="86"/>
      <c r="S33" s="86"/>
      <c r="T33" s="86"/>
      <c r="U33" s="86"/>
    </row>
    <row r="34">
      <c r="A34" s="39">
        <v>44043.0</v>
      </c>
      <c r="C34" s="2" t="s">
        <v>40</v>
      </c>
      <c r="D34" s="2" t="s">
        <v>2225</v>
      </c>
      <c r="H34" s="2">
        <v>15.0</v>
      </c>
      <c r="K34" s="2" t="s">
        <v>289</v>
      </c>
      <c r="N34" s="2" t="s">
        <v>2226</v>
      </c>
      <c r="O34" s="86"/>
      <c r="P34" s="86"/>
      <c r="Q34" s="86"/>
      <c r="R34" s="86"/>
      <c r="S34" s="86"/>
      <c r="T34" s="86"/>
      <c r="U34" s="86"/>
    </row>
    <row r="35">
      <c r="A35" s="39">
        <v>44044.0</v>
      </c>
      <c r="B35" s="2" t="s">
        <v>2227</v>
      </c>
      <c r="C35" s="2" t="s">
        <v>2228</v>
      </c>
      <c r="D35" s="2" t="s">
        <v>2229</v>
      </c>
      <c r="E35" s="2"/>
      <c r="F35" s="2">
        <v>1.0</v>
      </c>
      <c r="G35" s="2">
        <v>20.0</v>
      </c>
      <c r="I35" s="2">
        <v>1000.0</v>
      </c>
      <c r="L35" s="2" t="s">
        <v>2230</v>
      </c>
      <c r="O35" s="86"/>
      <c r="P35" s="86"/>
      <c r="Q35" s="86"/>
      <c r="R35" s="86"/>
      <c r="S35" s="86"/>
      <c r="T35" s="86"/>
      <c r="U35" s="86"/>
    </row>
    <row r="36">
      <c r="A36" s="39">
        <v>44048.0</v>
      </c>
      <c r="B36" s="2" t="s">
        <v>1435</v>
      </c>
      <c r="C36" s="2" t="s">
        <v>1436</v>
      </c>
      <c r="D36" s="2" t="s">
        <v>247</v>
      </c>
      <c r="E36" s="2"/>
      <c r="F36" s="2">
        <v>1.0</v>
      </c>
      <c r="G36" s="2">
        <v>20.0</v>
      </c>
      <c r="I36" s="2">
        <v>800.0</v>
      </c>
      <c r="K36" s="2" t="s">
        <v>1009</v>
      </c>
      <c r="M36" s="2" t="s">
        <v>2231</v>
      </c>
      <c r="O36" s="86"/>
      <c r="P36" s="86"/>
      <c r="Q36" s="86"/>
      <c r="R36" s="86"/>
      <c r="S36" s="86"/>
      <c r="T36" s="86"/>
      <c r="U36" s="86"/>
    </row>
    <row r="37">
      <c r="A37" s="39">
        <v>44050.0</v>
      </c>
      <c r="B37" s="2" t="s">
        <v>2232</v>
      </c>
      <c r="C37" s="2" t="s">
        <v>2233</v>
      </c>
      <c r="D37" s="2" t="s">
        <v>37</v>
      </c>
      <c r="E37" s="2"/>
      <c r="F37" s="2">
        <v>1.0</v>
      </c>
      <c r="G37" s="2">
        <v>20.0</v>
      </c>
      <c r="I37" s="2">
        <v>800.0</v>
      </c>
      <c r="O37" s="86"/>
      <c r="P37" s="86"/>
      <c r="Q37" s="86"/>
      <c r="R37" s="86"/>
      <c r="S37" s="86"/>
      <c r="T37" s="86"/>
      <c r="U37" s="86"/>
    </row>
    <row r="38">
      <c r="A38" s="39">
        <v>44051.0</v>
      </c>
      <c r="C38" s="2" t="s">
        <v>238</v>
      </c>
      <c r="E38" s="2"/>
      <c r="F38" s="2">
        <v>1.0</v>
      </c>
      <c r="G38" s="2">
        <v>20.0</v>
      </c>
      <c r="I38" s="2">
        <v>1600.0</v>
      </c>
      <c r="O38" s="86"/>
      <c r="P38" s="86"/>
      <c r="Q38" s="86"/>
      <c r="R38" s="86"/>
      <c r="S38" s="86"/>
      <c r="T38" s="86"/>
      <c r="U38" s="86"/>
    </row>
    <row r="39">
      <c r="A39" s="40">
        <v>44051.0</v>
      </c>
      <c r="B39" s="42"/>
      <c r="C39" s="41" t="s">
        <v>238</v>
      </c>
      <c r="D39" s="42"/>
      <c r="E39" s="41"/>
      <c r="F39" s="41">
        <v>1.0</v>
      </c>
      <c r="G39" s="41">
        <v>20.0</v>
      </c>
      <c r="H39" s="42"/>
      <c r="I39" s="41">
        <v>6000.0</v>
      </c>
      <c r="J39" s="42"/>
      <c r="K39" s="42"/>
      <c r="L39" s="42"/>
      <c r="M39" s="42"/>
      <c r="N39" s="42"/>
      <c r="O39" s="83"/>
      <c r="P39" s="83"/>
      <c r="Q39" s="83"/>
      <c r="R39" s="83"/>
      <c r="S39" s="83"/>
      <c r="T39" s="83"/>
      <c r="U39" s="83"/>
      <c r="V39" s="42"/>
      <c r="W39" s="42"/>
      <c r="X39" s="42"/>
      <c r="Y39" s="42"/>
      <c r="Z39" s="42"/>
      <c r="AA39" s="42"/>
      <c r="AB39" s="42"/>
      <c r="AC39" s="42"/>
      <c r="AD39" s="42"/>
    </row>
    <row r="40">
      <c r="A40" s="40">
        <v>44051.0</v>
      </c>
      <c r="B40" s="41" t="s">
        <v>1980</v>
      </c>
      <c r="C40" s="41" t="s">
        <v>2234</v>
      </c>
      <c r="D40" s="41" t="s">
        <v>408</v>
      </c>
      <c r="E40" s="41"/>
      <c r="F40" s="41">
        <v>1.0</v>
      </c>
      <c r="G40" s="41">
        <v>20.0</v>
      </c>
      <c r="H40" s="42"/>
      <c r="I40" s="41">
        <v>3000.0</v>
      </c>
      <c r="J40" s="42"/>
      <c r="K40" s="41" t="s">
        <v>1302</v>
      </c>
      <c r="L40" s="42"/>
      <c r="M40" s="41" t="s">
        <v>2235</v>
      </c>
      <c r="N40" s="42"/>
      <c r="O40" s="83"/>
      <c r="P40" s="83"/>
      <c r="Q40" s="83"/>
      <c r="R40" s="83"/>
      <c r="S40" s="83"/>
      <c r="T40" s="83"/>
      <c r="U40" s="83"/>
      <c r="V40" s="42"/>
      <c r="W40" s="42"/>
      <c r="X40" s="42"/>
      <c r="Y40" s="42"/>
      <c r="Z40" s="42"/>
      <c r="AA40" s="42"/>
      <c r="AB40" s="42"/>
      <c r="AC40" s="42"/>
      <c r="AD40" s="42"/>
    </row>
    <row r="41">
      <c r="A41" s="40">
        <v>44051.0</v>
      </c>
      <c r="B41" s="42"/>
      <c r="C41" s="41" t="s">
        <v>238</v>
      </c>
      <c r="D41" s="42"/>
      <c r="E41" s="41"/>
      <c r="F41" s="41">
        <v>1.0</v>
      </c>
      <c r="G41" s="41">
        <v>20.0</v>
      </c>
      <c r="H41" s="42"/>
      <c r="I41" s="41">
        <v>6000.0</v>
      </c>
      <c r="J41" s="42"/>
      <c r="K41" s="42"/>
      <c r="L41" s="42"/>
      <c r="M41" s="42"/>
      <c r="N41" s="42"/>
      <c r="O41" s="83"/>
      <c r="P41" s="83"/>
      <c r="Q41" s="83"/>
      <c r="R41" s="83"/>
      <c r="S41" s="83"/>
      <c r="T41" s="83"/>
      <c r="U41" s="83"/>
      <c r="V41" s="42"/>
      <c r="W41" s="42"/>
      <c r="X41" s="42"/>
      <c r="Y41" s="42"/>
      <c r="Z41" s="42"/>
      <c r="AA41" s="42"/>
      <c r="AB41" s="42"/>
      <c r="AC41" s="42"/>
      <c r="AD41" s="42"/>
    </row>
    <row r="42">
      <c r="A42" s="40">
        <v>44054.0</v>
      </c>
      <c r="B42" s="42"/>
      <c r="C42" s="41" t="s">
        <v>40</v>
      </c>
      <c r="D42" s="42"/>
      <c r="E42" s="42"/>
      <c r="F42" s="42"/>
      <c r="G42" s="42"/>
      <c r="H42" s="41">
        <v>15.0</v>
      </c>
      <c r="I42" s="42"/>
      <c r="J42" s="42"/>
      <c r="K42" s="41" t="s">
        <v>1249</v>
      </c>
      <c r="L42" s="42"/>
      <c r="M42" s="42"/>
      <c r="N42" s="41" t="s">
        <v>2236</v>
      </c>
      <c r="O42" s="83"/>
      <c r="P42" s="83"/>
      <c r="Q42" s="83"/>
      <c r="R42" s="83"/>
      <c r="S42" s="83"/>
      <c r="T42" s="83"/>
      <c r="U42" s="83"/>
      <c r="V42" s="42"/>
      <c r="W42" s="42"/>
      <c r="X42" s="42"/>
      <c r="Y42" s="42"/>
      <c r="Z42" s="42"/>
      <c r="AA42" s="42"/>
      <c r="AB42" s="42"/>
      <c r="AC42" s="42"/>
      <c r="AD42" s="42"/>
    </row>
    <row r="43">
      <c r="A43" s="40">
        <v>44078.0</v>
      </c>
      <c r="B43" s="41" t="s">
        <v>2237</v>
      </c>
      <c r="C43" s="41" t="s">
        <v>2238</v>
      </c>
      <c r="D43" s="41" t="s">
        <v>2239</v>
      </c>
      <c r="E43" s="41"/>
      <c r="F43" s="41">
        <v>0.0</v>
      </c>
      <c r="G43" s="41">
        <v>20.0</v>
      </c>
      <c r="H43" s="42"/>
      <c r="I43" s="41">
        <v>3000.0</v>
      </c>
      <c r="J43" s="41">
        <v>4500.0</v>
      </c>
      <c r="K43" s="41" t="s">
        <v>1563</v>
      </c>
      <c r="L43" s="42"/>
      <c r="M43" s="42"/>
      <c r="N43" s="41" t="s">
        <v>2240</v>
      </c>
      <c r="O43" s="83"/>
      <c r="P43" s="83"/>
      <c r="Q43" s="83"/>
      <c r="R43" s="83"/>
      <c r="S43" s="83"/>
      <c r="T43" s="83"/>
      <c r="U43" s="83"/>
      <c r="V43" s="42"/>
      <c r="W43" s="42"/>
      <c r="X43" s="42"/>
      <c r="Y43" s="42"/>
      <c r="Z43" s="42"/>
      <c r="AA43" s="42"/>
      <c r="AB43" s="42"/>
      <c r="AC43" s="42"/>
      <c r="AD43" s="42"/>
    </row>
    <row r="44">
      <c r="A44" s="40">
        <v>44081.0</v>
      </c>
      <c r="B44" s="41" t="s">
        <v>2081</v>
      </c>
      <c r="C44" s="41" t="s">
        <v>2082</v>
      </c>
      <c r="D44" s="41" t="s">
        <v>333</v>
      </c>
      <c r="E44" s="41"/>
      <c r="F44" s="41">
        <v>0.0</v>
      </c>
      <c r="G44" s="41">
        <v>20.0</v>
      </c>
      <c r="H44" s="42"/>
      <c r="I44" s="41">
        <v>3000.0</v>
      </c>
      <c r="J44" s="41"/>
      <c r="K44" s="41" t="s">
        <v>2241</v>
      </c>
      <c r="L44" s="42"/>
      <c r="M44" s="42"/>
      <c r="N44" s="41"/>
      <c r="O44" s="83"/>
      <c r="P44" s="83"/>
      <c r="Q44" s="83"/>
      <c r="R44" s="83"/>
      <c r="S44" s="83"/>
      <c r="T44" s="83"/>
      <c r="U44" s="83"/>
      <c r="V44" s="42"/>
      <c r="W44" s="42"/>
      <c r="X44" s="42"/>
      <c r="Y44" s="42"/>
      <c r="Z44" s="42"/>
      <c r="AA44" s="42"/>
      <c r="AB44" s="42"/>
      <c r="AC44" s="42"/>
      <c r="AD44" s="42"/>
    </row>
    <row r="45">
      <c r="A45" s="40">
        <v>44097.0</v>
      </c>
      <c r="B45" s="42"/>
      <c r="C45" s="41" t="s">
        <v>40</v>
      </c>
      <c r="D45" s="42"/>
      <c r="E45" s="42"/>
      <c r="F45" s="42"/>
      <c r="G45" s="42"/>
      <c r="H45" s="41">
        <v>15.0</v>
      </c>
      <c r="I45" s="42"/>
      <c r="J45" s="42"/>
      <c r="K45" s="41" t="s">
        <v>1337</v>
      </c>
      <c r="L45" s="42"/>
      <c r="M45" s="42"/>
      <c r="N45" s="41" t="s">
        <v>2242</v>
      </c>
      <c r="O45" s="42"/>
      <c r="P45" s="42"/>
      <c r="Q45" s="42"/>
      <c r="R45" s="42"/>
      <c r="S45" s="42"/>
      <c r="T45" s="42"/>
      <c r="U45" s="42"/>
      <c r="V45" s="42"/>
      <c r="W45" s="42"/>
      <c r="X45" s="42"/>
      <c r="Y45" s="42"/>
      <c r="Z45" s="42"/>
      <c r="AA45" s="42"/>
      <c r="AB45" s="42"/>
      <c r="AC45" s="42"/>
      <c r="AD45" s="42"/>
    </row>
    <row r="46">
      <c r="A46" s="40">
        <v>44107.0</v>
      </c>
      <c r="B46" s="41" t="s">
        <v>1577</v>
      </c>
      <c r="C46" s="41" t="s">
        <v>1578</v>
      </c>
      <c r="D46" s="41" t="s">
        <v>2243</v>
      </c>
      <c r="E46" s="41"/>
      <c r="F46" s="41">
        <v>0.0</v>
      </c>
      <c r="G46" s="41">
        <v>20.0</v>
      </c>
      <c r="H46" s="42"/>
      <c r="I46" s="41">
        <v>3000.0</v>
      </c>
      <c r="J46" s="41">
        <v>100.0</v>
      </c>
      <c r="K46" s="41" t="s">
        <v>1579</v>
      </c>
      <c r="L46" s="42"/>
      <c r="M46" s="42"/>
      <c r="N46" s="41" t="s">
        <v>2244</v>
      </c>
      <c r="O46" s="83"/>
      <c r="P46" s="83"/>
      <c r="Q46" s="83"/>
      <c r="R46" s="83"/>
      <c r="S46" s="83"/>
      <c r="T46" s="83"/>
      <c r="U46" s="83"/>
      <c r="V46" s="42"/>
      <c r="W46" s="42"/>
      <c r="X46" s="42"/>
      <c r="Y46" s="42"/>
      <c r="Z46" s="42"/>
      <c r="AA46" s="42"/>
      <c r="AB46" s="42"/>
      <c r="AC46" s="42"/>
      <c r="AD46" s="42"/>
    </row>
    <row r="47">
      <c r="A47" s="40">
        <v>44119.0</v>
      </c>
      <c r="B47" s="42"/>
      <c r="C47" s="41" t="s">
        <v>40</v>
      </c>
      <c r="D47" s="42"/>
      <c r="E47" s="42"/>
      <c r="F47" s="42"/>
      <c r="G47" s="42"/>
      <c r="H47" s="41">
        <v>15.0</v>
      </c>
      <c r="I47" s="42"/>
      <c r="J47" s="42"/>
      <c r="K47" s="41" t="s">
        <v>994</v>
      </c>
      <c r="L47" s="42"/>
      <c r="M47" s="42"/>
      <c r="N47" s="41" t="s">
        <v>2245</v>
      </c>
      <c r="O47" s="83"/>
      <c r="P47" s="83"/>
      <c r="Q47" s="83"/>
      <c r="R47" s="83"/>
      <c r="S47" s="83"/>
      <c r="T47" s="83"/>
      <c r="U47" s="83"/>
      <c r="V47" s="42"/>
      <c r="W47" s="42"/>
      <c r="X47" s="42"/>
      <c r="Y47" s="42"/>
      <c r="Z47" s="42"/>
      <c r="AA47" s="42"/>
      <c r="AB47" s="42"/>
      <c r="AC47" s="42"/>
      <c r="AD47" s="42"/>
    </row>
    <row r="48">
      <c r="A48" s="40">
        <v>44122.0</v>
      </c>
      <c r="B48" s="41" t="s">
        <v>1581</v>
      </c>
      <c r="C48" s="41" t="s">
        <v>2246</v>
      </c>
      <c r="D48" s="41" t="s">
        <v>528</v>
      </c>
      <c r="E48" s="41"/>
      <c r="F48" s="41">
        <v>0.0</v>
      </c>
      <c r="G48" s="41">
        <v>20.0</v>
      </c>
      <c r="H48" s="42"/>
      <c r="I48" s="41">
        <v>3000.0</v>
      </c>
      <c r="J48" s="41">
        <v>500.0</v>
      </c>
      <c r="K48" s="41" t="s">
        <v>1295</v>
      </c>
      <c r="L48" s="42"/>
      <c r="M48" s="41" t="s">
        <v>2247</v>
      </c>
      <c r="N48" s="42"/>
      <c r="O48" s="83"/>
      <c r="P48" s="83"/>
      <c r="Q48" s="83"/>
      <c r="R48" s="83"/>
      <c r="S48" s="83"/>
      <c r="T48" s="83"/>
      <c r="U48" s="83"/>
      <c r="V48" s="42"/>
      <c r="W48" s="42"/>
      <c r="X48" s="42"/>
      <c r="Y48" s="42"/>
      <c r="Z48" s="42"/>
      <c r="AA48" s="42"/>
      <c r="AB48" s="42"/>
      <c r="AC48" s="42"/>
      <c r="AD48" s="42"/>
    </row>
    <row r="49">
      <c r="A49" s="40">
        <v>44153.0</v>
      </c>
      <c r="B49" s="42"/>
      <c r="C49" s="41" t="s">
        <v>40</v>
      </c>
      <c r="D49" s="41" t="s">
        <v>2248</v>
      </c>
      <c r="E49" s="42"/>
      <c r="F49" s="42"/>
      <c r="G49" s="42"/>
      <c r="H49" s="41">
        <v>15.0</v>
      </c>
      <c r="I49" s="42"/>
      <c r="J49" s="42"/>
      <c r="K49" s="41" t="s">
        <v>396</v>
      </c>
      <c r="L49" s="42"/>
      <c r="M49" s="42"/>
      <c r="N49" s="41" t="s">
        <v>2249</v>
      </c>
      <c r="O49" s="83"/>
      <c r="P49" s="83"/>
      <c r="Q49" s="83"/>
      <c r="R49" s="83"/>
      <c r="S49" s="83"/>
      <c r="T49" s="83"/>
      <c r="U49" s="83"/>
      <c r="V49" s="42"/>
      <c r="W49" s="42"/>
      <c r="X49" s="42"/>
      <c r="Y49" s="42"/>
      <c r="Z49" s="42"/>
      <c r="AA49" s="42"/>
      <c r="AB49" s="42"/>
      <c r="AC49" s="42"/>
      <c r="AD49" s="42"/>
    </row>
    <row r="50">
      <c r="A50" s="40">
        <v>44153.0</v>
      </c>
      <c r="B50" s="42"/>
      <c r="C50" s="41" t="s">
        <v>40</v>
      </c>
      <c r="D50" s="42"/>
      <c r="E50" s="42"/>
      <c r="F50" s="42"/>
      <c r="G50" s="42"/>
      <c r="H50" s="41">
        <v>15.0</v>
      </c>
      <c r="I50" s="42"/>
      <c r="J50" s="42"/>
      <c r="K50" s="41" t="s">
        <v>404</v>
      </c>
      <c r="L50" s="42"/>
      <c r="M50" s="42"/>
      <c r="N50" s="41" t="s">
        <v>2250</v>
      </c>
      <c r="O50" s="83"/>
      <c r="P50" s="83"/>
      <c r="Q50" s="83"/>
      <c r="R50" s="83"/>
      <c r="S50" s="83"/>
      <c r="T50" s="83"/>
      <c r="U50" s="83"/>
      <c r="V50" s="42"/>
      <c r="W50" s="42"/>
      <c r="X50" s="42"/>
      <c r="Y50" s="42"/>
      <c r="Z50" s="42"/>
      <c r="AA50" s="42"/>
      <c r="AB50" s="42"/>
      <c r="AC50" s="42"/>
      <c r="AD50" s="42"/>
    </row>
    <row r="51">
      <c r="A51" s="40">
        <v>44219.0</v>
      </c>
      <c r="B51" s="42"/>
      <c r="C51" s="41" t="s">
        <v>40</v>
      </c>
      <c r="D51" s="42"/>
      <c r="E51" s="42"/>
      <c r="F51" s="42"/>
      <c r="G51" s="42"/>
      <c r="H51" s="41">
        <v>15.0</v>
      </c>
      <c r="I51" s="42"/>
      <c r="J51" s="42"/>
      <c r="K51" s="42"/>
      <c r="L51" s="42"/>
      <c r="M51" s="42"/>
      <c r="N51" s="41" t="s">
        <v>2251</v>
      </c>
      <c r="O51" s="83"/>
      <c r="P51" s="83"/>
      <c r="Q51" s="83"/>
      <c r="R51" s="83"/>
      <c r="S51" s="83"/>
      <c r="T51" s="83"/>
      <c r="U51" s="83"/>
      <c r="V51" s="42"/>
      <c r="W51" s="42"/>
      <c r="X51" s="42"/>
      <c r="Y51" s="42"/>
      <c r="Z51" s="42"/>
      <c r="AA51" s="42"/>
      <c r="AB51" s="42"/>
      <c r="AC51" s="42"/>
      <c r="AD51" s="42"/>
    </row>
    <row r="52">
      <c r="A52" s="40">
        <v>44219.0</v>
      </c>
      <c r="B52" s="41" t="s">
        <v>1624</v>
      </c>
      <c r="C52" s="41" t="s">
        <v>1625</v>
      </c>
      <c r="D52" s="41" t="s">
        <v>408</v>
      </c>
      <c r="E52" s="41"/>
      <c r="F52" s="41">
        <v>0.0</v>
      </c>
      <c r="G52" s="41">
        <v>20.0</v>
      </c>
      <c r="H52" s="42"/>
      <c r="I52" s="41">
        <v>5250.0</v>
      </c>
      <c r="J52" s="41">
        <v>1500.0</v>
      </c>
      <c r="K52" s="41" t="s">
        <v>2165</v>
      </c>
      <c r="L52" s="42"/>
      <c r="M52" s="41" t="s">
        <v>2252</v>
      </c>
      <c r="N52" s="41" t="s">
        <v>2253</v>
      </c>
      <c r="O52" s="83"/>
      <c r="P52" s="83"/>
      <c r="Q52" s="83"/>
      <c r="R52" s="83"/>
      <c r="S52" s="83"/>
      <c r="T52" s="83"/>
      <c r="U52" s="83"/>
      <c r="V52" s="42"/>
      <c r="W52" s="42"/>
      <c r="X52" s="42"/>
      <c r="Y52" s="42"/>
      <c r="Z52" s="42"/>
      <c r="AA52" s="42"/>
      <c r="AB52" s="42"/>
      <c r="AC52" s="42"/>
      <c r="AD52" s="42"/>
    </row>
    <row r="53">
      <c r="A53" s="40">
        <v>44208.0</v>
      </c>
      <c r="B53" s="41" t="s">
        <v>2254</v>
      </c>
      <c r="C53" s="41" t="s">
        <v>2255</v>
      </c>
      <c r="D53" s="41" t="s">
        <v>37</v>
      </c>
      <c r="E53" s="41">
        <v>5.0</v>
      </c>
      <c r="F53" s="42"/>
      <c r="G53" s="42"/>
      <c r="H53" s="42"/>
      <c r="I53" s="41">
        <v>3750.0</v>
      </c>
      <c r="J53" s="41"/>
      <c r="K53" s="42"/>
      <c r="L53" s="42"/>
      <c r="M53" s="42"/>
      <c r="N53" s="42"/>
      <c r="O53" s="83"/>
      <c r="P53" s="83"/>
      <c r="Q53" s="83"/>
      <c r="R53" s="83"/>
      <c r="S53" s="83"/>
      <c r="T53" s="83"/>
      <c r="U53" s="83"/>
      <c r="V53" s="42"/>
      <c r="W53" s="42"/>
      <c r="X53" s="42"/>
      <c r="Y53" s="42"/>
      <c r="Z53" s="42"/>
      <c r="AA53" s="42"/>
      <c r="AB53" s="42"/>
      <c r="AC53" s="42"/>
      <c r="AD53" s="42"/>
    </row>
    <row r="54">
      <c r="A54" s="40">
        <v>44204.0</v>
      </c>
      <c r="B54" s="41" t="s">
        <v>2256</v>
      </c>
      <c r="C54" s="41" t="s">
        <v>2257</v>
      </c>
      <c r="D54" s="41" t="s">
        <v>408</v>
      </c>
      <c r="E54" s="42"/>
      <c r="F54" s="42"/>
      <c r="G54" s="41">
        <v>10.0</v>
      </c>
      <c r="H54" s="42"/>
      <c r="I54" s="41">
        <v>2916.0</v>
      </c>
      <c r="J54" s="41">
        <v>15000.0</v>
      </c>
      <c r="K54" s="41" t="s">
        <v>2258</v>
      </c>
      <c r="L54" s="42"/>
      <c r="M54" s="41" t="s">
        <v>2259</v>
      </c>
      <c r="N54" s="41" t="s">
        <v>2260</v>
      </c>
      <c r="O54" s="83"/>
      <c r="P54" s="83"/>
      <c r="Q54" s="83"/>
      <c r="R54" s="83"/>
      <c r="S54" s="83"/>
      <c r="T54" s="83"/>
      <c r="U54" s="83"/>
      <c r="V54" s="42"/>
      <c r="W54" s="42"/>
      <c r="X54" s="42"/>
      <c r="Y54" s="42"/>
      <c r="Z54" s="42"/>
      <c r="AA54" s="42"/>
      <c r="AB54" s="42"/>
      <c r="AC54" s="42"/>
      <c r="AD54" s="42"/>
    </row>
    <row r="55">
      <c r="A55" s="144">
        <v>44720.0</v>
      </c>
      <c r="B55" s="83"/>
      <c r="C55" s="83" t="s">
        <v>40</v>
      </c>
      <c r="D55" s="83"/>
      <c r="E55" s="83"/>
      <c r="F55" s="83"/>
      <c r="G55" s="83"/>
      <c r="H55" s="145">
        <v>5.0</v>
      </c>
      <c r="I55" s="83"/>
      <c r="J55" s="83"/>
      <c r="K55" s="116" t="s">
        <v>1560</v>
      </c>
      <c r="L55" s="83"/>
      <c r="M55" s="83"/>
      <c r="N55" s="146" t="s">
        <v>2261</v>
      </c>
      <c r="O55" s="83"/>
      <c r="P55" s="83"/>
      <c r="Q55" s="83"/>
      <c r="R55" s="83"/>
      <c r="S55" s="83"/>
      <c r="T55" s="83"/>
      <c r="U55" s="83"/>
      <c r="V55" s="83"/>
      <c r="W55" s="83"/>
      <c r="X55" s="83"/>
      <c r="Y55" s="83"/>
      <c r="Z55" s="83"/>
      <c r="AA55" s="42"/>
      <c r="AB55" s="42"/>
      <c r="AC55" s="42"/>
      <c r="AD55" s="42"/>
    </row>
    <row r="56">
      <c r="A56" s="144">
        <v>44720.0</v>
      </c>
      <c r="B56" s="83"/>
      <c r="C56" s="83" t="s">
        <v>40</v>
      </c>
      <c r="D56" s="83"/>
      <c r="E56" s="83"/>
      <c r="F56" s="83"/>
      <c r="G56" s="83"/>
      <c r="H56" s="145">
        <v>5.0</v>
      </c>
      <c r="I56" s="83"/>
      <c r="J56" s="83"/>
      <c r="K56" s="116" t="s">
        <v>2172</v>
      </c>
      <c r="L56" s="83"/>
      <c r="M56" s="83"/>
      <c r="N56" s="146" t="s">
        <v>2262</v>
      </c>
      <c r="O56" s="83"/>
      <c r="P56" s="83"/>
      <c r="Q56" s="83"/>
      <c r="R56" s="83"/>
      <c r="S56" s="83"/>
      <c r="T56" s="83"/>
      <c r="U56" s="83"/>
      <c r="V56" s="83"/>
      <c r="W56" s="83"/>
      <c r="X56" s="83"/>
      <c r="Y56" s="83"/>
      <c r="Z56" s="83"/>
      <c r="AA56" s="42"/>
      <c r="AB56" s="42"/>
      <c r="AC56" s="42"/>
      <c r="AD56" s="42"/>
    </row>
    <row r="57">
      <c r="A57" s="42"/>
      <c r="B57" s="42"/>
      <c r="C57" s="42"/>
      <c r="D57" s="42"/>
      <c r="E57" s="42"/>
      <c r="F57" s="42"/>
      <c r="G57" s="42"/>
      <c r="H57" s="42"/>
      <c r="I57" s="42"/>
      <c r="J57" s="42"/>
      <c r="K57" s="42"/>
      <c r="L57" s="42"/>
      <c r="M57" s="42"/>
      <c r="N57" s="42"/>
      <c r="O57" s="83"/>
      <c r="P57" s="83"/>
      <c r="Q57" s="83"/>
      <c r="R57" s="83"/>
      <c r="S57" s="83"/>
      <c r="T57" s="83"/>
      <c r="U57" s="83"/>
      <c r="V57" s="42"/>
      <c r="W57" s="42"/>
      <c r="X57" s="42"/>
      <c r="Y57" s="42"/>
      <c r="Z57" s="42"/>
      <c r="AA57" s="42"/>
      <c r="AB57" s="42"/>
      <c r="AC57" s="42"/>
      <c r="AD57" s="42"/>
    </row>
    <row r="58">
      <c r="A58" s="42"/>
      <c r="B58" s="42"/>
      <c r="C58" s="42"/>
      <c r="D58" s="42"/>
      <c r="E58" s="42"/>
      <c r="F58" s="42"/>
      <c r="G58" s="42"/>
      <c r="H58" s="42"/>
      <c r="I58" s="42"/>
      <c r="J58" s="42"/>
      <c r="K58" s="42"/>
      <c r="L58" s="42"/>
      <c r="M58" s="42"/>
      <c r="N58" s="42"/>
      <c r="O58" s="83"/>
      <c r="P58" s="83"/>
      <c r="Q58" s="83"/>
      <c r="R58" s="83"/>
      <c r="S58" s="83"/>
      <c r="T58" s="83"/>
      <c r="U58" s="83"/>
      <c r="V58" s="42"/>
      <c r="W58" s="42"/>
      <c r="X58" s="42"/>
      <c r="Y58" s="42"/>
      <c r="Z58" s="42"/>
      <c r="AA58" s="42"/>
      <c r="AB58" s="42"/>
      <c r="AC58" s="42"/>
      <c r="AD58" s="42"/>
    </row>
    <row r="59">
      <c r="A59" s="42"/>
      <c r="B59" s="42"/>
      <c r="C59" s="42"/>
      <c r="D59" s="42"/>
      <c r="E59" s="42"/>
      <c r="F59" s="42"/>
      <c r="G59" s="42"/>
      <c r="H59" s="42"/>
      <c r="I59" s="42"/>
      <c r="J59" s="42"/>
      <c r="K59" s="42"/>
      <c r="L59" s="42"/>
      <c r="M59" s="42"/>
      <c r="N59" s="42"/>
      <c r="O59" s="83"/>
      <c r="P59" s="83"/>
      <c r="Q59" s="83"/>
      <c r="R59" s="83"/>
      <c r="S59" s="83"/>
      <c r="T59" s="83"/>
      <c r="U59" s="83"/>
      <c r="V59" s="42"/>
      <c r="W59" s="42"/>
      <c r="X59" s="42"/>
      <c r="Y59" s="42"/>
      <c r="Z59" s="42"/>
      <c r="AA59" s="42"/>
      <c r="AB59" s="42"/>
      <c r="AC59" s="42"/>
      <c r="AD59" s="42"/>
    </row>
    <row r="60">
      <c r="O60" s="86"/>
      <c r="P60" s="86"/>
      <c r="Q60" s="86"/>
      <c r="R60" s="86"/>
      <c r="S60" s="86"/>
      <c r="T60" s="86"/>
      <c r="U60" s="86"/>
    </row>
    <row r="61">
      <c r="O61" s="86"/>
      <c r="P61" s="86"/>
      <c r="Q61" s="86"/>
      <c r="R61" s="86"/>
      <c r="S61" s="86"/>
      <c r="T61" s="86"/>
      <c r="U61" s="86"/>
    </row>
    <row r="62">
      <c r="O62" s="86"/>
      <c r="P62" s="86"/>
      <c r="Q62" s="86"/>
      <c r="R62" s="86"/>
      <c r="S62" s="86"/>
      <c r="T62" s="86"/>
      <c r="U62" s="86"/>
    </row>
    <row r="63">
      <c r="O63" s="86"/>
      <c r="P63" s="86"/>
      <c r="Q63" s="86"/>
      <c r="R63" s="86"/>
      <c r="S63" s="86"/>
      <c r="T63" s="86"/>
      <c r="U63" s="86"/>
    </row>
    <row r="64">
      <c r="O64" s="86"/>
      <c r="P64" s="86"/>
      <c r="Q64" s="86"/>
      <c r="R64" s="86"/>
      <c r="S64" s="86"/>
      <c r="T64" s="86"/>
      <c r="U64" s="86"/>
    </row>
    <row r="65">
      <c r="O65" s="86"/>
      <c r="P65" s="86"/>
      <c r="Q65" s="86"/>
      <c r="R65" s="86"/>
      <c r="S65" s="86"/>
      <c r="T65" s="86"/>
      <c r="U65" s="86"/>
    </row>
    <row r="66">
      <c r="O66" s="86"/>
      <c r="P66" s="86"/>
      <c r="Q66" s="86"/>
      <c r="R66" s="86"/>
      <c r="S66" s="86"/>
      <c r="T66" s="86"/>
      <c r="U66" s="86"/>
    </row>
    <row r="67">
      <c r="O67" s="86"/>
      <c r="P67" s="86"/>
      <c r="Q67" s="86"/>
      <c r="R67" s="86"/>
      <c r="S67" s="86"/>
      <c r="T67" s="86"/>
      <c r="U67" s="86"/>
    </row>
    <row r="68">
      <c r="O68" s="86"/>
      <c r="P68" s="86"/>
      <c r="Q68" s="86"/>
      <c r="R68" s="86"/>
      <c r="S68" s="86"/>
      <c r="T68" s="86"/>
      <c r="U68" s="86"/>
    </row>
    <row r="69">
      <c r="O69" s="86"/>
      <c r="P69" s="86"/>
      <c r="Q69" s="86"/>
      <c r="R69" s="86"/>
      <c r="S69" s="86"/>
      <c r="T69" s="86"/>
      <c r="U69" s="86"/>
    </row>
    <row r="70">
      <c r="O70" s="86"/>
      <c r="P70" s="86"/>
      <c r="Q70" s="86"/>
      <c r="R70" s="86"/>
      <c r="S70" s="86"/>
      <c r="T70" s="86"/>
      <c r="U70" s="86"/>
    </row>
    <row r="71">
      <c r="O71" s="86"/>
      <c r="P71" s="86"/>
      <c r="Q71" s="86"/>
      <c r="R71" s="86"/>
      <c r="S71" s="86"/>
      <c r="T71" s="86"/>
      <c r="U71" s="86"/>
    </row>
    <row r="72">
      <c r="O72" s="86"/>
      <c r="P72" s="86"/>
      <c r="Q72" s="86"/>
      <c r="R72" s="86"/>
      <c r="S72" s="86"/>
      <c r="T72" s="86"/>
      <c r="U72" s="86"/>
    </row>
    <row r="73">
      <c r="O73" s="86"/>
      <c r="P73" s="86"/>
      <c r="Q73" s="86"/>
      <c r="R73" s="86"/>
      <c r="S73" s="86"/>
      <c r="T73" s="86"/>
      <c r="U73" s="86"/>
    </row>
    <row r="74">
      <c r="O74" s="86"/>
      <c r="P74" s="86"/>
      <c r="Q74" s="86"/>
      <c r="R74" s="86"/>
      <c r="S74" s="86"/>
      <c r="T74" s="86"/>
      <c r="U74" s="86"/>
    </row>
    <row r="75">
      <c r="O75" s="86"/>
      <c r="P75" s="86"/>
      <c r="Q75" s="86"/>
      <c r="R75" s="86"/>
      <c r="S75" s="86"/>
      <c r="T75" s="86"/>
      <c r="U75" s="86"/>
    </row>
    <row r="76">
      <c r="O76" s="86"/>
      <c r="P76" s="86"/>
      <c r="Q76" s="86"/>
      <c r="R76" s="86"/>
      <c r="S76" s="86"/>
      <c r="T76" s="86"/>
      <c r="U76" s="86"/>
    </row>
    <row r="77">
      <c r="O77" s="86"/>
      <c r="P77" s="86"/>
      <c r="Q77" s="86"/>
      <c r="R77" s="86"/>
      <c r="S77" s="86"/>
      <c r="T77" s="86"/>
      <c r="U77" s="86"/>
    </row>
    <row r="78">
      <c r="O78" s="86"/>
      <c r="P78" s="86"/>
      <c r="Q78" s="86"/>
      <c r="R78" s="86"/>
      <c r="S78" s="86"/>
      <c r="T78" s="86"/>
      <c r="U78" s="86"/>
    </row>
    <row r="79">
      <c r="O79" s="86"/>
      <c r="P79" s="86"/>
      <c r="Q79" s="86"/>
      <c r="R79" s="86"/>
      <c r="S79" s="86"/>
      <c r="T79" s="86"/>
      <c r="U79" s="86"/>
    </row>
    <row r="80">
      <c r="O80" s="86"/>
      <c r="P80" s="86"/>
      <c r="Q80" s="86"/>
      <c r="R80" s="86"/>
      <c r="S80" s="86"/>
      <c r="T80" s="86"/>
      <c r="U80" s="86"/>
    </row>
    <row r="81">
      <c r="O81" s="86"/>
      <c r="P81" s="86"/>
      <c r="Q81" s="86"/>
      <c r="R81" s="86"/>
      <c r="S81" s="86"/>
      <c r="T81" s="86"/>
      <c r="U81" s="86"/>
    </row>
    <row r="82">
      <c r="O82" s="86"/>
      <c r="P82" s="86"/>
      <c r="Q82" s="86"/>
      <c r="R82" s="86"/>
      <c r="S82" s="86"/>
      <c r="T82" s="86"/>
      <c r="U82" s="86"/>
    </row>
    <row r="83">
      <c r="O83" s="86"/>
      <c r="P83" s="86"/>
      <c r="Q83" s="86"/>
      <c r="R83" s="86"/>
      <c r="S83" s="86"/>
      <c r="T83" s="86"/>
      <c r="U83" s="86"/>
    </row>
    <row r="84">
      <c r="O84" s="86"/>
      <c r="P84" s="86"/>
      <c r="Q84" s="86"/>
      <c r="R84" s="86"/>
      <c r="S84" s="86"/>
      <c r="T84" s="86"/>
      <c r="U84" s="86"/>
    </row>
    <row r="85">
      <c r="O85" s="86"/>
      <c r="P85" s="86"/>
      <c r="Q85" s="86"/>
      <c r="R85" s="86"/>
      <c r="S85" s="86"/>
      <c r="T85" s="86"/>
      <c r="U85" s="86"/>
    </row>
    <row r="86">
      <c r="O86" s="86"/>
      <c r="P86" s="86"/>
      <c r="Q86" s="86"/>
      <c r="R86" s="86"/>
      <c r="S86" s="86"/>
      <c r="T86" s="86"/>
      <c r="U86" s="86"/>
    </row>
    <row r="87">
      <c r="O87" s="86"/>
      <c r="P87" s="86"/>
      <c r="Q87" s="86"/>
      <c r="R87" s="86"/>
      <c r="S87" s="86"/>
      <c r="T87" s="86"/>
      <c r="U87" s="86"/>
    </row>
    <row r="88">
      <c r="O88" s="86"/>
      <c r="P88" s="86"/>
      <c r="Q88" s="86"/>
      <c r="R88" s="86"/>
      <c r="S88" s="86"/>
      <c r="T88" s="86"/>
      <c r="U88" s="86"/>
    </row>
    <row r="89">
      <c r="O89" s="86"/>
      <c r="P89" s="86"/>
      <c r="Q89" s="86"/>
      <c r="R89" s="86"/>
      <c r="S89" s="86"/>
      <c r="T89" s="86"/>
      <c r="U89" s="86"/>
    </row>
    <row r="90">
      <c r="O90" s="86"/>
      <c r="P90" s="86"/>
      <c r="Q90" s="86"/>
      <c r="R90" s="86"/>
      <c r="S90" s="86"/>
      <c r="T90" s="86"/>
      <c r="U90" s="86"/>
    </row>
    <row r="91">
      <c r="O91" s="86"/>
      <c r="P91" s="86"/>
      <c r="Q91" s="86"/>
      <c r="R91" s="86"/>
      <c r="S91" s="86"/>
      <c r="T91" s="86"/>
      <c r="U91" s="86"/>
    </row>
    <row r="92">
      <c r="O92" s="86"/>
      <c r="P92" s="86"/>
      <c r="Q92" s="86"/>
      <c r="R92" s="86"/>
      <c r="S92" s="86"/>
      <c r="T92" s="86"/>
      <c r="U92" s="86"/>
    </row>
    <row r="93">
      <c r="O93" s="86"/>
      <c r="P93" s="86"/>
      <c r="Q93" s="86"/>
      <c r="R93" s="86"/>
      <c r="S93" s="86"/>
      <c r="T93" s="86"/>
      <c r="U93" s="86"/>
    </row>
    <row r="94">
      <c r="O94" s="86"/>
      <c r="P94" s="86"/>
      <c r="Q94" s="86"/>
      <c r="R94" s="86"/>
      <c r="S94" s="86"/>
      <c r="T94" s="86"/>
      <c r="U94" s="86"/>
    </row>
    <row r="95">
      <c r="O95" s="86"/>
      <c r="P95" s="86"/>
      <c r="Q95" s="86"/>
      <c r="R95" s="86"/>
      <c r="S95" s="86"/>
      <c r="T95" s="86"/>
      <c r="U95" s="86"/>
    </row>
    <row r="96">
      <c r="O96" s="86"/>
      <c r="P96" s="86"/>
      <c r="Q96" s="86"/>
      <c r="R96" s="86"/>
      <c r="S96" s="86"/>
      <c r="T96" s="86"/>
      <c r="U96" s="86"/>
    </row>
    <row r="97">
      <c r="O97" s="86"/>
      <c r="P97" s="86"/>
      <c r="Q97" s="86"/>
      <c r="R97" s="86"/>
      <c r="S97" s="86"/>
      <c r="T97" s="86"/>
      <c r="U97" s="86"/>
    </row>
    <row r="98">
      <c r="O98" s="86"/>
      <c r="P98" s="86"/>
      <c r="Q98" s="86"/>
      <c r="R98" s="86"/>
      <c r="S98" s="86"/>
      <c r="T98" s="86"/>
      <c r="U98" s="86"/>
    </row>
    <row r="99">
      <c r="O99" s="86"/>
      <c r="P99" s="86"/>
      <c r="Q99" s="86"/>
      <c r="R99" s="86"/>
      <c r="S99" s="86"/>
      <c r="T99" s="86"/>
      <c r="U99" s="86"/>
    </row>
    <row r="100">
      <c r="O100" s="86"/>
      <c r="P100" s="86"/>
      <c r="Q100" s="86"/>
      <c r="R100" s="86"/>
      <c r="S100" s="86"/>
      <c r="T100" s="86"/>
      <c r="U100" s="86"/>
    </row>
    <row r="101">
      <c r="O101" s="86"/>
      <c r="P101" s="86"/>
      <c r="Q101" s="86"/>
      <c r="R101" s="86"/>
      <c r="S101" s="86"/>
      <c r="T101" s="86"/>
      <c r="U101" s="86"/>
    </row>
    <row r="102">
      <c r="O102" s="86"/>
      <c r="P102" s="86"/>
      <c r="Q102" s="86"/>
      <c r="R102" s="86"/>
      <c r="S102" s="86"/>
      <c r="T102" s="86"/>
      <c r="U102" s="86"/>
    </row>
    <row r="103">
      <c r="O103" s="86"/>
      <c r="P103" s="86"/>
      <c r="Q103" s="86"/>
      <c r="R103" s="86"/>
      <c r="S103" s="86"/>
      <c r="T103" s="86"/>
      <c r="U103" s="86"/>
    </row>
    <row r="104">
      <c r="O104" s="86"/>
      <c r="P104" s="86"/>
      <c r="Q104" s="86"/>
      <c r="R104" s="86"/>
      <c r="S104" s="86"/>
      <c r="T104" s="86"/>
      <c r="U104" s="86"/>
    </row>
    <row r="105">
      <c r="O105" s="86"/>
      <c r="P105" s="86"/>
      <c r="Q105" s="86"/>
      <c r="R105" s="86"/>
      <c r="S105" s="86"/>
      <c r="T105" s="86"/>
      <c r="U105" s="86"/>
    </row>
    <row r="106">
      <c r="O106" s="86"/>
      <c r="P106" s="86"/>
      <c r="Q106" s="86"/>
      <c r="R106" s="86"/>
      <c r="S106" s="86"/>
      <c r="T106" s="86"/>
      <c r="U106" s="86"/>
    </row>
    <row r="107">
      <c r="O107" s="86"/>
      <c r="P107" s="86"/>
      <c r="Q107" s="86"/>
      <c r="R107" s="86"/>
      <c r="S107" s="86"/>
      <c r="T107" s="86"/>
      <c r="U107" s="86"/>
    </row>
    <row r="108">
      <c r="O108" s="86"/>
      <c r="P108" s="86"/>
      <c r="Q108" s="86"/>
      <c r="R108" s="86"/>
      <c r="S108" s="86"/>
      <c r="T108" s="86"/>
      <c r="U108" s="86"/>
    </row>
    <row r="109">
      <c r="O109" s="86"/>
      <c r="P109" s="86"/>
      <c r="Q109" s="86"/>
      <c r="R109" s="86"/>
      <c r="S109" s="86"/>
      <c r="T109" s="86"/>
      <c r="U109" s="86"/>
    </row>
    <row r="110">
      <c r="O110" s="86"/>
      <c r="P110" s="86"/>
      <c r="Q110" s="86"/>
      <c r="R110" s="86"/>
      <c r="S110" s="86"/>
      <c r="T110" s="86"/>
      <c r="U110" s="86"/>
    </row>
    <row r="111">
      <c r="O111" s="86"/>
      <c r="P111" s="86"/>
      <c r="Q111" s="86"/>
      <c r="R111" s="86"/>
      <c r="S111" s="86"/>
      <c r="T111" s="86"/>
      <c r="U111" s="86"/>
    </row>
    <row r="112">
      <c r="O112" s="86"/>
      <c r="P112" s="86"/>
      <c r="Q112" s="86"/>
      <c r="R112" s="86"/>
      <c r="S112" s="86"/>
      <c r="T112" s="86"/>
      <c r="U112" s="86"/>
    </row>
    <row r="113">
      <c r="O113" s="86"/>
      <c r="P113" s="86"/>
      <c r="Q113" s="86"/>
      <c r="R113" s="86"/>
      <c r="S113" s="86"/>
      <c r="T113" s="86"/>
      <c r="U113" s="86"/>
    </row>
    <row r="114">
      <c r="O114" s="86"/>
      <c r="P114" s="86"/>
      <c r="Q114" s="86"/>
      <c r="R114" s="86"/>
      <c r="S114" s="86"/>
      <c r="T114" s="86"/>
      <c r="U114" s="86"/>
    </row>
    <row r="115">
      <c r="O115" s="86"/>
      <c r="P115" s="86"/>
      <c r="Q115" s="86"/>
      <c r="R115" s="86"/>
      <c r="S115" s="86"/>
      <c r="T115" s="86"/>
      <c r="U115" s="86"/>
    </row>
    <row r="116">
      <c r="O116" s="86"/>
      <c r="P116" s="86"/>
      <c r="Q116" s="86"/>
      <c r="R116" s="86"/>
      <c r="S116" s="86"/>
      <c r="T116" s="86"/>
      <c r="U116" s="86"/>
    </row>
    <row r="117">
      <c r="O117" s="86"/>
      <c r="P117" s="86"/>
      <c r="Q117" s="86"/>
      <c r="R117" s="86"/>
      <c r="S117" s="86"/>
      <c r="T117" s="86"/>
      <c r="U117" s="86"/>
    </row>
    <row r="118">
      <c r="O118" s="86"/>
      <c r="P118" s="86"/>
      <c r="Q118" s="86"/>
      <c r="R118" s="86"/>
      <c r="S118" s="86"/>
      <c r="T118" s="86"/>
      <c r="U118" s="86"/>
    </row>
    <row r="119">
      <c r="O119" s="86"/>
      <c r="P119" s="86"/>
      <c r="Q119" s="86"/>
      <c r="R119" s="86"/>
      <c r="S119" s="86"/>
      <c r="T119" s="86"/>
      <c r="U119" s="86"/>
    </row>
    <row r="120">
      <c r="O120" s="86"/>
      <c r="P120" s="86"/>
      <c r="Q120" s="86"/>
      <c r="R120" s="86"/>
      <c r="S120" s="86"/>
      <c r="T120" s="86"/>
      <c r="U120" s="86"/>
    </row>
    <row r="121">
      <c r="O121" s="86"/>
      <c r="P121" s="86"/>
      <c r="Q121" s="86"/>
      <c r="R121" s="86"/>
      <c r="S121" s="86"/>
      <c r="T121" s="86"/>
      <c r="U121" s="86"/>
    </row>
    <row r="122">
      <c r="O122" s="86"/>
      <c r="P122" s="86"/>
      <c r="Q122" s="86"/>
      <c r="R122" s="86"/>
      <c r="S122" s="86"/>
      <c r="T122" s="86"/>
      <c r="U122" s="86"/>
    </row>
    <row r="123">
      <c r="O123" s="86"/>
      <c r="P123" s="86"/>
      <c r="Q123" s="86"/>
      <c r="R123" s="86"/>
      <c r="S123" s="86"/>
      <c r="T123" s="86"/>
      <c r="U123" s="86"/>
    </row>
    <row r="124">
      <c r="O124" s="86"/>
      <c r="P124" s="86"/>
      <c r="Q124" s="86"/>
      <c r="R124" s="86"/>
      <c r="S124" s="86"/>
      <c r="T124" s="86"/>
      <c r="U124" s="86"/>
    </row>
    <row r="125">
      <c r="O125" s="86"/>
      <c r="P125" s="86"/>
      <c r="Q125" s="86"/>
      <c r="R125" s="86"/>
      <c r="S125" s="86"/>
      <c r="T125" s="86"/>
      <c r="U125" s="86"/>
    </row>
    <row r="126">
      <c r="O126" s="86"/>
      <c r="P126" s="86"/>
      <c r="Q126" s="86"/>
      <c r="R126" s="86"/>
      <c r="S126" s="86"/>
      <c r="T126" s="86"/>
      <c r="U126" s="86"/>
    </row>
    <row r="127">
      <c r="O127" s="86"/>
      <c r="P127" s="86"/>
      <c r="Q127" s="86"/>
      <c r="R127" s="86"/>
      <c r="S127" s="86"/>
      <c r="T127" s="86"/>
      <c r="U127" s="86"/>
    </row>
    <row r="128">
      <c r="O128" s="86"/>
      <c r="P128" s="86"/>
      <c r="Q128" s="86"/>
      <c r="R128" s="86"/>
      <c r="S128" s="86"/>
      <c r="T128" s="86"/>
      <c r="U128" s="86"/>
    </row>
    <row r="129">
      <c r="O129" s="86"/>
      <c r="P129" s="86"/>
      <c r="Q129" s="86"/>
      <c r="R129" s="86"/>
      <c r="S129" s="86"/>
      <c r="T129" s="86"/>
      <c r="U129" s="86"/>
    </row>
    <row r="130">
      <c r="O130" s="86"/>
      <c r="P130" s="86"/>
      <c r="Q130" s="86"/>
      <c r="R130" s="86"/>
      <c r="S130" s="86"/>
      <c r="T130" s="86"/>
      <c r="U130" s="86"/>
    </row>
    <row r="131">
      <c r="O131" s="86"/>
      <c r="P131" s="86"/>
      <c r="Q131" s="86"/>
      <c r="R131" s="86"/>
      <c r="S131" s="86"/>
      <c r="T131" s="86"/>
      <c r="U131" s="86"/>
    </row>
    <row r="132">
      <c r="O132" s="86"/>
      <c r="P132" s="86"/>
      <c r="Q132" s="86"/>
      <c r="R132" s="86"/>
      <c r="S132" s="86"/>
      <c r="T132" s="86"/>
      <c r="U132" s="86"/>
    </row>
    <row r="133">
      <c r="O133" s="86"/>
      <c r="P133" s="86"/>
      <c r="Q133" s="86"/>
      <c r="R133" s="86"/>
      <c r="S133" s="86"/>
      <c r="T133" s="86"/>
      <c r="U133" s="86"/>
    </row>
    <row r="134">
      <c r="O134" s="86"/>
      <c r="P134" s="86"/>
      <c r="Q134" s="86"/>
      <c r="R134" s="86"/>
      <c r="S134" s="86"/>
      <c r="T134" s="86"/>
      <c r="U134" s="86"/>
    </row>
    <row r="135">
      <c r="O135" s="86"/>
      <c r="P135" s="86"/>
      <c r="Q135" s="86"/>
      <c r="R135" s="86"/>
      <c r="S135" s="86"/>
      <c r="T135" s="86"/>
      <c r="U135" s="86"/>
    </row>
    <row r="136">
      <c r="O136" s="86"/>
      <c r="P136" s="86"/>
      <c r="Q136" s="86"/>
      <c r="R136" s="86"/>
      <c r="S136" s="86"/>
      <c r="T136" s="86"/>
      <c r="U136" s="86"/>
    </row>
    <row r="137">
      <c r="O137" s="86"/>
      <c r="P137" s="86"/>
      <c r="Q137" s="86"/>
      <c r="R137" s="86"/>
      <c r="S137" s="86"/>
      <c r="T137" s="86"/>
      <c r="U137" s="86"/>
    </row>
    <row r="138">
      <c r="O138" s="86"/>
      <c r="P138" s="86"/>
      <c r="Q138" s="86"/>
      <c r="R138" s="86"/>
      <c r="S138" s="86"/>
      <c r="T138" s="86"/>
      <c r="U138" s="86"/>
    </row>
    <row r="139">
      <c r="O139" s="86"/>
      <c r="P139" s="86"/>
      <c r="Q139" s="86"/>
      <c r="R139" s="86"/>
      <c r="S139" s="86"/>
      <c r="T139" s="86"/>
      <c r="U139" s="86"/>
    </row>
    <row r="140">
      <c r="O140" s="86"/>
      <c r="P140" s="86"/>
      <c r="Q140" s="86"/>
      <c r="R140" s="86"/>
      <c r="S140" s="86"/>
      <c r="T140" s="86"/>
      <c r="U140" s="86"/>
    </row>
    <row r="141">
      <c r="O141" s="86"/>
      <c r="P141" s="86"/>
      <c r="Q141" s="86"/>
      <c r="R141" s="86"/>
      <c r="S141" s="86"/>
      <c r="T141" s="86"/>
      <c r="U141" s="86"/>
    </row>
    <row r="142">
      <c r="O142" s="86"/>
      <c r="P142" s="86"/>
      <c r="Q142" s="86"/>
      <c r="R142" s="86"/>
      <c r="S142" s="86"/>
      <c r="T142" s="86"/>
      <c r="U142" s="86"/>
    </row>
    <row r="143">
      <c r="O143" s="86"/>
      <c r="P143" s="86"/>
      <c r="Q143" s="86"/>
      <c r="R143" s="86"/>
      <c r="S143" s="86"/>
      <c r="T143" s="86"/>
      <c r="U143" s="86"/>
    </row>
    <row r="144">
      <c r="O144" s="86"/>
      <c r="P144" s="86"/>
      <c r="Q144" s="86"/>
      <c r="R144" s="86"/>
      <c r="S144" s="86"/>
      <c r="T144" s="86"/>
      <c r="U144" s="86"/>
    </row>
    <row r="145">
      <c r="O145" s="86"/>
      <c r="P145" s="86"/>
      <c r="Q145" s="86"/>
      <c r="R145" s="86"/>
      <c r="S145" s="86"/>
      <c r="T145" s="86"/>
      <c r="U145" s="86"/>
    </row>
    <row r="146">
      <c r="O146" s="86"/>
      <c r="P146" s="86"/>
      <c r="Q146" s="86"/>
      <c r="R146" s="86"/>
      <c r="S146" s="86"/>
      <c r="T146" s="86"/>
      <c r="U146" s="86"/>
    </row>
    <row r="147">
      <c r="O147" s="86"/>
      <c r="P147" s="86"/>
      <c r="Q147" s="86"/>
      <c r="R147" s="86"/>
      <c r="S147" s="86"/>
      <c r="T147" s="86"/>
      <c r="U147" s="86"/>
    </row>
    <row r="148">
      <c r="O148" s="86"/>
      <c r="P148" s="86"/>
      <c r="Q148" s="86"/>
      <c r="R148" s="86"/>
      <c r="S148" s="86"/>
      <c r="T148" s="86"/>
      <c r="U148" s="86"/>
    </row>
    <row r="149">
      <c r="O149" s="86"/>
      <c r="P149" s="86"/>
      <c r="Q149" s="86"/>
      <c r="R149" s="86"/>
      <c r="S149" s="86"/>
      <c r="T149" s="86"/>
      <c r="U149" s="86"/>
    </row>
    <row r="150">
      <c r="O150" s="86"/>
      <c r="P150" s="86"/>
      <c r="Q150" s="86"/>
      <c r="R150" s="86"/>
      <c r="S150" s="86"/>
      <c r="T150" s="86"/>
      <c r="U150" s="86"/>
    </row>
    <row r="151">
      <c r="O151" s="86"/>
      <c r="P151" s="86"/>
      <c r="Q151" s="86"/>
      <c r="R151" s="86"/>
      <c r="S151" s="86"/>
      <c r="T151" s="86"/>
      <c r="U151" s="86"/>
    </row>
    <row r="152">
      <c r="O152" s="86"/>
      <c r="P152" s="86"/>
      <c r="Q152" s="86"/>
      <c r="R152" s="86"/>
      <c r="S152" s="86"/>
      <c r="T152" s="86"/>
      <c r="U152" s="86"/>
    </row>
    <row r="153">
      <c r="O153" s="86"/>
      <c r="P153" s="86"/>
      <c r="Q153" s="86"/>
      <c r="R153" s="86"/>
      <c r="S153" s="86"/>
      <c r="T153" s="86"/>
      <c r="U153" s="86"/>
    </row>
    <row r="154">
      <c r="O154" s="86"/>
      <c r="P154" s="86"/>
      <c r="Q154" s="86"/>
      <c r="R154" s="86"/>
      <c r="S154" s="86"/>
      <c r="T154" s="86"/>
      <c r="U154" s="86"/>
    </row>
    <row r="155">
      <c r="O155" s="86"/>
      <c r="P155" s="86"/>
      <c r="Q155" s="86"/>
      <c r="R155" s="86"/>
      <c r="S155" s="86"/>
      <c r="T155" s="86"/>
      <c r="U155" s="86"/>
    </row>
    <row r="156">
      <c r="O156" s="86"/>
      <c r="P156" s="86"/>
      <c r="Q156" s="86"/>
      <c r="R156" s="86"/>
      <c r="S156" s="86"/>
      <c r="T156" s="86"/>
      <c r="U156" s="86"/>
    </row>
    <row r="157">
      <c r="O157" s="86"/>
      <c r="P157" s="86"/>
      <c r="Q157" s="86"/>
      <c r="R157" s="86"/>
      <c r="S157" s="86"/>
      <c r="T157" s="86"/>
      <c r="U157" s="86"/>
    </row>
    <row r="158">
      <c r="O158" s="86"/>
      <c r="P158" s="86"/>
      <c r="Q158" s="86"/>
      <c r="R158" s="86"/>
      <c r="S158" s="86"/>
      <c r="T158" s="86"/>
      <c r="U158" s="86"/>
    </row>
    <row r="159">
      <c r="O159" s="86"/>
      <c r="P159" s="86"/>
      <c r="Q159" s="86"/>
      <c r="R159" s="86"/>
      <c r="S159" s="86"/>
      <c r="T159" s="86"/>
      <c r="U159" s="86"/>
    </row>
    <row r="160">
      <c r="O160" s="86"/>
      <c r="P160" s="86"/>
      <c r="Q160" s="86"/>
      <c r="R160" s="86"/>
      <c r="S160" s="86"/>
      <c r="T160" s="86"/>
      <c r="U160" s="86"/>
    </row>
    <row r="161">
      <c r="O161" s="86"/>
      <c r="P161" s="86"/>
      <c r="Q161" s="86"/>
      <c r="R161" s="86"/>
      <c r="S161" s="86"/>
      <c r="T161" s="86"/>
      <c r="U161" s="86"/>
    </row>
    <row r="162">
      <c r="O162" s="86"/>
      <c r="P162" s="86"/>
      <c r="Q162" s="86"/>
      <c r="R162" s="86"/>
      <c r="S162" s="86"/>
      <c r="T162" s="86"/>
      <c r="U162" s="86"/>
    </row>
    <row r="163">
      <c r="O163" s="86"/>
      <c r="P163" s="86"/>
      <c r="Q163" s="86"/>
      <c r="R163" s="86"/>
      <c r="S163" s="86"/>
      <c r="T163" s="86"/>
      <c r="U163" s="86"/>
    </row>
    <row r="164">
      <c r="O164" s="86"/>
      <c r="P164" s="86"/>
      <c r="Q164" s="86"/>
      <c r="R164" s="86"/>
      <c r="S164" s="86"/>
      <c r="T164" s="86"/>
      <c r="U164" s="86"/>
    </row>
    <row r="165">
      <c r="O165" s="86"/>
      <c r="P165" s="86"/>
      <c r="Q165" s="86"/>
      <c r="R165" s="86"/>
      <c r="S165" s="86"/>
      <c r="T165" s="86"/>
      <c r="U165" s="86"/>
    </row>
    <row r="166">
      <c r="O166" s="86"/>
      <c r="P166" s="86"/>
      <c r="Q166" s="86"/>
      <c r="R166" s="86"/>
      <c r="S166" s="86"/>
      <c r="T166" s="86"/>
      <c r="U166" s="86"/>
    </row>
    <row r="167">
      <c r="O167" s="86"/>
      <c r="P167" s="86"/>
      <c r="Q167" s="86"/>
      <c r="R167" s="86"/>
      <c r="S167" s="86"/>
      <c r="T167" s="86"/>
      <c r="U167" s="86"/>
    </row>
    <row r="168">
      <c r="O168" s="86"/>
      <c r="P168" s="86"/>
      <c r="Q168" s="86"/>
      <c r="R168" s="86"/>
      <c r="S168" s="86"/>
      <c r="T168" s="86"/>
      <c r="U168" s="86"/>
    </row>
    <row r="169">
      <c r="O169" s="86"/>
      <c r="P169" s="86"/>
      <c r="Q169" s="86"/>
      <c r="R169" s="86"/>
      <c r="S169" s="86"/>
      <c r="T169" s="86"/>
      <c r="U169" s="86"/>
    </row>
    <row r="170">
      <c r="O170" s="86"/>
      <c r="P170" s="86"/>
      <c r="Q170" s="86"/>
      <c r="R170" s="86"/>
      <c r="S170" s="86"/>
      <c r="T170" s="86"/>
      <c r="U170" s="86"/>
    </row>
    <row r="171">
      <c r="O171" s="86"/>
      <c r="P171" s="86"/>
      <c r="Q171" s="86"/>
      <c r="R171" s="86"/>
      <c r="S171" s="86"/>
      <c r="T171" s="86"/>
      <c r="U171" s="86"/>
    </row>
    <row r="172">
      <c r="O172" s="86"/>
      <c r="P172" s="86"/>
      <c r="Q172" s="86"/>
      <c r="R172" s="86"/>
      <c r="S172" s="86"/>
      <c r="T172" s="86"/>
      <c r="U172" s="86"/>
    </row>
    <row r="173">
      <c r="O173" s="86"/>
      <c r="P173" s="86"/>
      <c r="Q173" s="86"/>
      <c r="R173" s="86"/>
      <c r="S173" s="86"/>
      <c r="T173" s="86"/>
      <c r="U173" s="86"/>
    </row>
    <row r="174">
      <c r="O174" s="86"/>
      <c r="P174" s="86"/>
      <c r="Q174" s="86"/>
      <c r="R174" s="86"/>
      <c r="S174" s="86"/>
      <c r="T174" s="86"/>
      <c r="U174" s="86"/>
    </row>
    <row r="175">
      <c r="O175" s="86"/>
      <c r="P175" s="86"/>
      <c r="Q175" s="86"/>
      <c r="R175" s="86"/>
      <c r="S175" s="86"/>
      <c r="T175" s="86"/>
      <c r="U175" s="86"/>
    </row>
    <row r="176">
      <c r="O176" s="86"/>
      <c r="P176" s="86"/>
      <c r="Q176" s="86"/>
      <c r="R176" s="86"/>
      <c r="S176" s="86"/>
      <c r="T176" s="86"/>
      <c r="U176" s="86"/>
    </row>
    <row r="177">
      <c r="O177" s="86"/>
      <c r="P177" s="86"/>
      <c r="Q177" s="86"/>
      <c r="R177" s="86"/>
      <c r="S177" s="86"/>
      <c r="T177" s="86"/>
      <c r="U177" s="86"/>
    </row>
    <row r="178">
      <c r="O178" s="86"/>
      <c r="P178" s="86"/>
      <c r="Q178" s="86"/>
      <c r="R178" s="86"/>
      <c r="S178" s="86"/>
      <c r="T178" s="86"/>
      <c r="U178" s="86"/>
    </row>
    <row r="179">
      <c r="O179" s="86"/>
      <c r="P179" s="86"/>
      <c r="Q179" s="86"/>
      <c r="R179" s="86"/>
      <c r="S179" s="86"/>
      <c r="T179" s="86"/>
      <c r="U179" s="86"/>
    </row>
    <row r="180">
      <c r="O180" s="86"/>
      <c r="P180" s="86"/>
      <c r="Q180" s="86"/>
      <c r="R180" s="86"/>
      <c r="S180" s="86"/>
      <c r="T180" s="86"/>
      <c r="U180" s="86"/>
    </row>
    <row r="181">
      <c r="O181" s="86"/>
      <c r="P181" s="86"/>
      <c r="Q181" s="86"/>
      <c r="R181" s="86"/>
      <c r="S181" s="86"/>
      <c r="T181" s="86"/>
      <c r="U181" s="86"/>
    </row>
    <row r="182">
      <c r="O182" s="86"/>
      <c r="P182" s="86"/>
      <c r="Q182" s="86"/>
      <c r="R182" s="86"/>
      <c r="S182" s="86"/>
      <c r="T182" s="86"/>
      <c r="U182" s="86"/>
    </row>
    <row r="183">
      <c r="O183" s="86"/>
      <c r="P183" s="86"/>
      <c r="Q183" s="86"/>
      <c r="R183" s="86"/>
      <c r="S183" s="86"/>
      <c r="T183" s="86"/>
      <c r="U183" s="86"/>
    </row>
    <row r="184">
      <c r="O184" s="86"/>
      <c r="P184" s="86"/>
      <c r="Q184" s="86"/>
      <c r="R184" s="86"/>
      <c r="S184" s="86"/>
      <c r="T184" s="86"/>
      <c r="U184" s="86"/>
    </row>
    <row r="185">
      <c r="O185" s="86"/>
      <c r="P185" s="86"/>
      <c r="Q185" s="86"/>
      <c r="R185" s="86"/>
      <c r="S185" s="86"/>
      <c r="T185" s="86"/>
      <c r="U185" s="86"/>
    </row>
    <row r="186">
      <c r="O186" s="86"/>
      <c r="P186" s="86"/>
      <c r="Q186" s="86"/>
      <c r="R186" s="86"/>
      <c r="S186" s="86"/>
      <c r="T186" s="86"/>
      <c r="U186" s="86"/>
    </row>
    <row r="187">
      <c r="O187" s="86"/>
      <c r="P187" s="86"/>
      <c r="Q187" s="86"/>
      <c r="R187" s="86"/>
      <c r="S187" s="86"/>
      <c r="T187" s="86"/>
      <c r="U187" s="86"/>
    </row>
    <row r="188">
      <c r="O188" s="86"/>
      <c r="P188" s="86"/>
      <c r="Q188" s="86"/>
      <c r="R188" s="86"/>
      <c r="S188" s="86"/>
      <c r="T188" s="86"/>
      <c r="U188" s="86"/>
    </row>
    <row r="189">
      <c r="O189" s="86"/>
      <c r="P189" s="86"/>
      <c r="Q189" s="86"/>
      <c r="R189" s="86"/>
      <c r="S189" s="86"/>
      <c r="T189" s="86"/>
      <c r="U189" s="86"/>
    </row>
    <row r="190">
      <c r="O190" s="86"/>
      <c r="P190" s="86"/>
      <c r="Q190" s="86"/>
      <c r="R190" s="86"/>
      <c r="S190" s="86"/>
      <c r="T190" s="86"/>
      <c r="U190" s="86"/>
    </row>
    <row r="191">
      <c r="O191" s="86"/>
      <c r="P191" s="86"/>
      <c r="Q191" s="86"/>
      <c r="R191" s="86"/>
      <c r="S191" s="86"/>
      <c r="T191" s="86"/>
      <c r="U191" s="86"/>
    </row>
    <row r="192">
      <c r="O192" s="86"/>
      <c r="P192" s="86"/>
      <c r="Q192" s="86"/>
      <c r="R192" s="86"/>
      <c r="S192" s="86"/>
      <c r="T192" s="86"/>
      <c r="U192" s="86"/>
    </row>
    <row r="193">
      <c r="O193" s="86"/>
      <c r="P193" s="86"/>
      <c r="Q193" s="86"/>
      <c r="R193" s="86"/>
      <c r="S193" s="86"/>
      <c r="T193" s="86"/>
      <c r="U193" s="86"/>
    </row>
    <row r="194">
      <c r="O194" s="86"/>
      <c r="P194" s="86"/>
      <c r="Q194" s="86"/>
      <c r="R194" s="86"/>
      <c r="S194" s="86"/>
      <c r="T194" s="86"/>
      <c r="U194" s="86"/>
    </row>
    <row r="195">
      <c r="O195" s="86"/>
      <c r="P195" s="86"/>
      <c r="Q195" s="86"/>
      <c r="R195" s="86"/>
      <c r="S195" s="86"/>
      <c r="T195" s="86"/>
      <c r="U195" s="86"/>
    </row>
    <row r="196">
      <c r="O196" s="86"/>
      <c r="P196" s="86"/>
      <c r="Q196" s="86"/>
      <c r="R196" s="86"/>
      <c r="S196" s="86"/>
      <c r="T196" s="86"/>
      <c r="U196" s="86"/>
    </row>
    <row r="197">
      <c r="O197" s="86"/>
      <c r="P197" s="86"/>
      <c r="Q197" s="86"/>
      <c r="R197" s="86"/>
      <c r="S197" s="86"/>
      <c r="T197" s="86"/>
      <c r="U197" s="86"/>
    </row>
    <row r="198">
      <c r="O198" s="86"/>
      <c r="P198" s="86"/>
      <c r="Q198" s="86"/>
      <c r="R198" s="86"/>
      <c r="S198" s="86"/>
      <c r="T198" s="86"/>
      <c r="U198" s="86"/>
    </row>
    <row r="199">
      <c r="O199" s="86"/>
      <c r="P199" s="86"/>
      <c r="Q199" s="86"/>
      <c r="R199" s="86"/>
      <c r="S199" s="86"/>
      <c r="T199" s="86"/>
      <c r="U199" s="86"/>
    </row>
    <row r="200">
      <c r="O200" s="86"/>
      <c r="P200" s="86"/>
      <c r="Q200" s="86"/>
      <c r="R200" s="86"/>
      <c r="S200" s="86"/>
      <c r="T200" s="86"/>
      <c r="U200" s="86"/>
    </row>
    <row r="201">
      <c r="O201" s="86"/>
      <c r="P201" s="86"/>
      <c r="Q201" s="86"/>
      <c r="R201" s="86"/>
      <c r="S201" s="86"/>
      <c r="T201" s="86"/>
      <c r="U201" s="86"/>
    </row>
    <row r="202">
      <c r="O202" s="86"/>
      <c r="P202" s="86"/>
      <c r="Q202" s="86"/>
      <c r="R202" s="86"/>
      <c r="S202" s="86"/>
      <c r="T202" s="86"/>
      <c r="U202" s="86"/>
    </row>
    <row r="203">
      <c r="O203" s="86"/>
      <c r="P203" s="86"/>
      <c r="Q203" s="86"/>
      <c r="R203" s="86"/>
      <c r="S203" s="86"/>
      <c r="T203" s="86"/>
      <c r="U203" s="86"/>
    </row>
    <row r="204">
      <c r="O204" s="86"/>
      <c r="P204" s="86"/>
      <c r="Q204" s="86"/>
      <c r="R204" s="86"/>
      <c r="S204" s="86"/>
      <c r="T204" s="86"/>
      <c r="U204" s="86"/>
    </row>
    <row r="205">
      <c r="O205" s="86"/>
      <c r="P205" s="86"/>
      <c r="Q205" s="86"/>
      <c r="R205" s="86"/>
      <c r="S205" s="86"/>
      <c r="T205" s="86"/>
      <c r="U205" s="86"/>
    </row>
    <row r="206">
      <c r="O206" s="86"/>
      <c r="P206" s="86"/>
      <c r="Q206" s="86"/>
      <c r="R206" s="86"/>
      <c r="S206" s="86"/>
      <c r="T206" s="86"/>
      <c r="U206" s="86"/>
    </row>
    <row r="207">
      <c r="O207" s="86"/>
      <c r="P207" s="86"/>
      <c r="Q207" s="86"/>
      <c r="R207" s="86"/>
      <c r="S207" s="86"/>
      <c r="T207" s="86"/>
      <c r="U207" s="86"/>
    </row>
    <row r="208">
      <c r="O208" s="86"/>
      <c r="P208" s="86"/>
      <c r="Q208" s="86"/>
      <c r="R208" s="86"/>
      <c r="S208" s="86"/>
      <c r="T208" s="86"/>
      <c r="U208" s="86"/>
    </row>
    <row r="209">
      <c r="O209" s="86"/>
      <c r="P209" s="86"/>
      <c r="Q209" s="86"/>
      <c r="R209" s="86"/>
      <c r="S209" s="86"/>
      <c r="T209" s="86"/>
      <c r="U209" s="86"/>
    </row>
    <row r="210">
      <c r="O210" s="86"/>
      <c r="P210" s="86"/>
      <c r="Q210" s="86"/>
      <c r="R210" s="86"/>
      <c r="S210" s="86"/>
      <c r="T210" s="86"/>
      <c r="U210" s="86"/>
    </row>
    <row r="211">
      <c r="O211" s="86"/>
      <c r="P211" s="86"/>
      <c r="Q211" s="86"/>
      <c r="R211" s="86"/>
      <c r="S211" s="86"/>
      <c r="T211" s="86"/>
      <c r="U211" s="86"/>
    </row>
    <row r="212">
      <c r="O212" s="86"/>
      <c r="P212" s="86"/>
      <c r="Q212" s="86"/>
      <c r="R212" s="86"/>
      <c r="S212" s="86"/>
      <c r="T212" s="86"/>
      <c r="U212" s="86"/>
    </row>
    <row r="213">
      <c r="O213" s="86"/>
      <c r="P213" s="86"/>
      <c r="Q213" s="86"/>
      <c r="R213" s="86"/>
      <c r="S213" s="86"/>
      <c r="T213" s="86"/>
      <c r="U213" s="86"/>
    </row>
    <row r="214">
      <c r="O214" s="86"/>
      <c r="P214" s="86"/>
      <c r="Q214" s="86"/>
      <c r="R214" s="86"/>
      <c r="S214" s="86"/>
      <c r="T214" s="86"/>
      <c r="U214" s="86"/>
    </row>
    <row r="215">
      <c r="O215" s="86"/>
      <c r="P215" s="86"/>
      <c r="Q215" s="86"/>
      <c r="R215" s="86"/>
      <c r="S215" s="86"/>
      <c r="T215" s="86"/>
      <c r="U215" s="86"/>
    </row>
    <row r="216">
      <c r="O216" s="86"/>
      <c r="P216" s="86"/>
      <c r="Q216" s="86"/>
      <c r="R216" s="86"/>
      <c r="S216" s="86"/>
      <c r="T216" s="86"/>
      <c r="U216" s="86"/>
    </row>
    <row r="217">
      <c r="O217" s="86"/>
      <c r="P217" s="86"/>
      <c r="Q217" s="86"/>
      <c r="R217" s="86"/>
      <c r="S217" s="86"/>
      <c r="T217" s="86"/>
      <c r="U217" s="86"/>
    </row>
    <row r="218">
      <c r="O218" s="86"/>
      <c r="P218" s="86"/>
      <c r="Q218" s="86"/>
      <c r="R218" s="86"/>
      <c r="S218" s="86"/>
      <c r="T218" s="86"/>
      <c r="U218" s="86"/>
    </row>
    <row r="219">
      <c r="O219" s="86"/>
      <c r="P219" s="86"/>
      <c r="Q219" s="86"/>
      <c r="R219" s="86"/>
      <c r="S219" s="86"/>
      <c r="T219" s="86"/>
      <c r="U219" s="86"/>
    </row>
    <row r="220">
      <c r="O220" s="86"/>
      <c r="P220" s="86"/>
      <c r="Q220" s="86"/>
      <c r="R220" s="86"/>
      <c r="S220" s="86"/>
      <c r="T220" s="86"/>
      <c r="U220" s="86"/>
    </row>
    <row r="221">
      <c r="O221" s="86"/>
      <c r="P221" s="86"/>
      <c r="Q221" s="86"/>
      <c r="R221" s="86"/>
      <c r="S221" s="86"/>
      <c r="T221" s="86"/>
      <c r="U221" s="86"/>
    </row>
    <row r="222">
      <c r="O222" s="86"/>
      <c r="P222" s="86"/>
      <c r="Q222" s="86"/>
      <c r="R222" s="86"/>
      <c r="S222" s="86"/>
      <c r="T222" s="86"/>
      <c r="U222" s="86"/>
    </row>
    <row r="223">
      <c r="O223" s="86"/>
      <c r="P223" s="86"/>
      <c r="Q223" s="86"/>
      <c r="R223" s="86"/>
      <c r="S223" s="86"/>
      <c r="T223" s="86"/>
      <c r="U223" s="86"/>
    </row>
    <row r="224">
      <c r="O224" s="86"/>
      <c r="P224" s="86"/>
      <c r="Q224" s="86"/>
      <c r="R224" s="86"/>
      <c r="S224" s="86"/>
      <c r="T224" s="86"/>
      <c r="U224" s="86"/>
    </row>
    <row r="225">
      <c r="O225" s="86"/>
      <c r="P225" s="86"/>
      <c r="Q225" s="86"/>
      <c r="R225" s="86"/>
      <c r="S225" s="86"/>
      <c r="T225" s="86"/>
      <c r="U225" s="86"/>
    </row>
    <row r="226">
      <c r="O226" s="86"/>
      <c r="P226" s="86"/>
      <c r="Q226" s="86"/>
      <c r="R226" s="86"/>
      <c r="S226" s="86"/>
      <c r="T226" s="86"/>
      <c r="U226" s="86"/>
    </row>
    <row r="227">
      <c r="O227" s="86"/>
      <c r="P227" s="86"/>
      <c r="Q227" s="86"/>
      <c r="R227" s="86"/>
      <c r="S227" s="86"/>
      <c r="T227" s="86"/>
      <c r="U227" s="86"/>
    </row>
    <row r="228">
      <c r="O228" s="86"/>
      <c r="P228" s="86"/>
      <c r="Q228" s="86"/>
      <c r="R228" s="86"/>
      <c r="S228" s="86"/>
      <c r="T228" s="86"/>
      <c r="U228" s="86"/>
    </row>
    <row r="229">
      <c r="O229" s="86"/>
      <c r="P229" s="86"/>
      <c r="Q229" s="86"/>
      <c r="R229" s="86"/>
      <c r="S229" s="86"/>
      <c r="T229" s="86"/>
      <c r="U229" s="86"/>
    </row>
    <row r="230">
      <c r="O230" s="86"/>
      <c r="P230" s="86"/>
      <c r="Q230" s="86"/>
      <c r="R230" s="86"/>
      <c r="S230" s="86"/>
      <c r="T230" s="86"/>
      <c r="U230" s="86"/>
    </row>
    <row r="231">
      <c r="O231" s="86"/>
      <c r="P231" s="86"/>
      <c r="Q231" s="86"/>
      <c r="R231" s="86"/>
      <c r="S231" s="86"/>
      <c r="T231" s="86"/>
      <c r="U231" s="86"/>
    </row>
    <row r="232">
      <c r="O232" s="86"/>
      <c r="P232" s="86"/>
      <c r="Q232" s="86"/>
      <c r="R232" s="86"/>
      <c r="S232" s="86"/>
      <c r="T232" s="86"/>
      <c r="U232" s="86"/>
    </row>
    <row r="233">
      <c r="O233" s="86"/>
      <c r="P233" s="86"/>
      <c r="Q233" s="86"/>
      <c r="R233" s="86"/>
      <c r="S233" s="86"/>
      <c r="T233" s="86"/>
      <c r="U233" s="86"/>
    </row>
    <row r="234">
      <c r="O234" s="86"/>
      <c r="P234" s="86"/>
      <c r="Q234" s="86"/>
      <c r="R234" s="86"/>
      <c r="S234" s="86"/>
      <c r="T234" s="86"/>
      <c r="U234" s="86"/>
    </row>
    <row r="235">
      <c r="O235" s="86"/>
      <c r="P235" s="86"/>
      <c r="Q235" s="86"/>
      <c r="R235" s="86"/>
      <c r="S235" s="86"/>
      <c r="T235" s="86"/>
      <c r="U235" s="86"/>
    </row>
    <row r="236">
      <c r="O236" s="86"/>
      <c r="P236" s="86"/>
      <c r="Q236" s="86"/>
      <c r="R236" s="86"/>
      <c r="S236" s="86"/>
      <c r="T236" s="86"/>
      <c r="U236" s="86"/>
    </row>
    <row r="237">
      <c r="O237" s="86"/>
      <c r="P237" s="86"/>
      <c r="Q237" s="86"/>
      <c r="R237" s="86"/>
      <c r="S237" s="86"/>
      <c r="T237" s="86"/>
      <c r="U237" s="86"/>
    </row>
    <row r="238">
      <c r="O238" s="86"/>
      <c r="P238" s="86"/>
      <c r="Q238" s="86"/>
      <c r="R238" s="86"/>
      <c r="S238" s="86"/>
      <c r="T238" s="86"/>
      <c r="U238" s="86"/>
    </row>
    <row r="239">
      <c r="O239" s="86"/>
      <c r="P239" s="86"/>
      <c r="Q239" s="86"/>
      <c r="R239" s="86"/>
      <c r="S239" s="86"/>
      <c r="T239" s="86"/>
      <c r="U239" s="86"/>
    </row>
    <row r="240">
      <c r="O240" s="86"/>
      <c r="P240" s="86"/>
      <c r="Q240" s="86"/>
      <c r="R240" s="86"/>
      <c r="S240" s="86"/>
      <c r="T240" s="86"/>
      <c r="U240" s="86"/>
    </row>
    <row r="241">
      <c r="O241" s="86"/>
      <c r="P241" s="86"/>
      <c r="Q241" s="86"/>
      <c r="R241" s="86"/>
      <c r="S241" s="86"/>
      <c r="T241" s="86"/>
      <c r="U241" s="86"/>
    </row>
    <row r="242">
      <c r="O242" s="86"/>
      <c r="P242" s="86"/>
      <c r="Q242" s="86"/>
      <c r="R242" s="86"/>
      <c r="S242" s="86"/>
      <c r="T242" s="86"/>
      <c r="U242" s="86"/>
    </row>
    <row r="243">
      <c r="O243" s="86"/>
      <c r="P243" s="86"/>
      <c r="Q243" s="86"/>
      <c r="R243" s="86"/>
      <c r="S243" s="86"/>
      <c r="T243" s="86"/>
      <c r="U243" s="86"/>
    </row>
    <row r="244">
      <c r="O244" s="86"/>
      <c r="P244" s="86"/>
      <c r="Q244" s="86"/>
      <c r="R244" s="86"/>
      <c r="S244" s="86"/>
      <c r="T244" s="86"/>
      <c r="U244" s="86"/>
    </row>
    <row r="245">
      <c r="O245" s="86"/>
      <c r="P245" s="86"/>
      <c r="Q245" s="86"/>
      <c r="R245" s="86"/>
      <c r="S245" s="86"/>
      <c r="T245" s="86"/>
      <c r="U245" s="86"/>
    </row>
    <row r="246">
      <c r="O246" s="86"/>
      <c r="P246" s="86"/>
      <c r="Q246" s="86"/>
      <c r="R246" s="86"/>
      <c r="S246" s="86"/>
      <c r="T246" s="86"/>
      <c r="U246" s="86"/>
    </row>
    <row r="247">
      <c r="O247" s="86"/>
      <c r="P247" s="86"/>
      <c r="Q247" s="86"/>
      <c r="R247" s="86"/>
      <c r="S247" s="86"/>
      <c r="T247" s="86"/>
      <c r="U247" s="86"/>
    </row>
    <row r="248">
      <c r="O248" s="86"/>
      <c r="P248" s="86"/>
      <c r="Q248" s="86"/>
      <c r="R248" s="86"/>
      <c r="S248" s="86"/>
      <c r="T248" s="86"/>
      <c r="U248" s="86"/>
    </row>
    <row r="249">
      <c r="O249" s="86"/>
      <c r="P249" s="86"/>
      <c r="Q249" s="86"/>
      <c r="R249" s="86"/>
      <c r="S249" s="86"/>
      <c r="T249" s="86"/>
      <c r="U249" s="86"/>
    </row>
    <row r="250">
      <c r="O250" s="86"/>
      <c r="P250" s="86"/>
      <c r="Q250" s="86"/>
      <c r="R250" s="86"/>
      <c r="S250" s="86"/>
      <c r="T250" s="86"/>
      <c r="U250" s="86"/>
    </row>
    <row r="251">
      <c r="O251" s="86"/>
      <c r="P251" s="86"/>
      <c r="Q251" s="86"/>
      <c r="R251" s="86"/>
      <c r="S251" s="86"/>
      <c r="T251" s="86"/>
      <c r="U251" s="86"/>
    </row>
    <row r="252">
      <c r="O252" s="86"/>
      <c r="P252" s="86"/>
      <c r="Q252" s="86"/>
      <c r="R252" s="86"/>
      <c r="S252" s="86"/>
      <c r="T252" s="86"/>
      <c r="U252" s="86"/>
    </row>
    <row r="253">
      <c r="O253" s="86"/>
      <c r="P253" s="86"/>
      <c r="Q253" s="86"/>
      <c r="R253" s="86"/>
      <c r="S253" s="86"/>
      <c r="T253" s="86"/>
      <c r="U253" s="86"/>
    </row>
    <row r="254">
      <c r="O254" s="86"/>
      <c r="P254" s="86"/>
      <c r="Q254" s="86"/>
      <c r="R254" s="86"/>
      <c r="S254" s="86"/>
      <c r="T254" s="86"/>
      <c r="U254" s="86"/>
    </row>
    <row r="255">
      <c r="O255" s="86"/>
      <c r="P255" s="86"/>
      <c r="Q255" s="86"/>
      <c r="R255" s="86"/>
      <c r="S255" s="86"/>
      <c r="T255" s="86"/>
      <c r="U255" s="86"/>
    </row>
    <row r="256">
      <c r="O256" s="86"/>
      <c r="P256" s="86"/>
      <c r="Q256" s="86"/>
      <c r="R256" s="86"/>
      <c r="S256" s="86"/>
      <c r="T256" s="86"/>
      <c r="U256" s="86"/>
    </row>
    <row r="257">
      <c r="O257" s="86"/>
      <c r="P257" s="86"/>
      <c r="Q257" s="86"/>
      <c r="R257" s="86"/>
      <c r="S257" s="86"/>
      <c r="T257" s="86"/>
      <c r="U257" s="86"/>
    </row>
    <row r="258">
      <c r="O258" s="86"/>
      <c r="P258" s="86"/>
      <c r="Q258" s="86"/>
      <c r="R258" s="86"/>
      <c r="S258" s="86"/>
      <c r="T258" s="86"/>
      <c r="U258" s="86"/>
    </row>
    <row r="259">
      <c r="O259" s="86"/>
      <c r="P259" s="86"/>
      <c r="Q259" s="86"/>
      <c r="R259" s="86"/>
      <c r="S259" s="86"/>
      <c r="T259" s="86"/>
      <c r="U259" s="86"/>
    </row>
    <row r="260">
      <c r="O260" s="86"/>
      <c r="P260" s="86"/>
      <c r="Q260" s="86"/>
      <c r="R260" s="86"/>
      <c r="S260" s="86"/>
      <c r="T260" s="86"/>
      <c r="U260" s="86"/>
    </row>
    <row r="261">
      <c r="O261" s="86"/>
      <c r="P261" s="86"/>
      <c r="Q261" s="86"/>
      <c r="R261" s="86"/>
      <c r="S261" s="86"/>
      <c r="T261" s="86"/>
      <c r="U261" s="86"/>
    </row>
    <row r="262">
      <c r="O262" s="86"/>
      <c r="P262" s="86"/>
      <c r="Q262" s="86"/>
      <c r="R262" s="86"/>
      <c r="S262" s="86"/>
      <c r="T262" s="86"/>
      <c r="U262" s="86"/>
    </row>
    <row r="263">
      <c r="O263" s="86"/>
      <c r="P263" s="86"/>
      <c r="Q263" s="86"/>
      <c r="R263" s="86"/>
      <c r="S263" s="86"/>
      <c r="T263" s="86"/>
      <c r="U263" s="86"/>
    </row>
    <row r="264">
      <c r="O264" s="86"/>
      <c r="P264" s="86"/>
      <c r="Q264" s="86"/>
      <c r="R264" s="86"/>
      <c r="S264" s="86"/>
      <c r="T264" s="86"/>
      <c r="U264" s="86"/>
    </row>
    <row r="265">
      <c r="O265" s="86"/>
      <c r="P265" s="86"/>
      <c r="Q265" s="86"/>
      <c r="R265" s="86"/>
      <c r="S265" s="86"/>
      <c r="T265" s="86"/>
      <c r="U265" s="86"/>
    </row>
    <row r="266">
      <c r="O266" s="86"/>
      <c r="P266" s="86"/>
      <c r="Q266" s="86"/>
      <c r="R266" s="86"/>
      <c r="S266" s="86"/>
      <c r="T266" s="86"/>
      <c r="U266" s="86"/>
    </row>
    <row r="267">
      <c r="O267" s="86"/>
      <c r="P267" s="86"/>
      <c r="Q267" s="86"/>
      <c r="R267" s="86"/>
      <c r="S267" s="86"/>
      <c r="T267" s="86"/>
      <c r="U267" s="86"/>
    </row>
    <row r="268">
      <c r="O268" s="86"/>
      <c r="P268" s="86"/>
      <c r="Q268" s="86"/>
      <c r="R268" s="86"/>
      <c r="S268" s="86"/>
      <c r="T268" s="86"/>
      <c r="U268" s="86"/>
    </row>
    <row r="269">
      <c r="O269" s="86"/>
      <c r="P269" s="86"/>
      <c r="Q269" s="86"/>
      <c r="R269" s="86"/>
      <c r="S269" s="86"/>
      <c r="T269" s="86"/>
      <c r="U269" s="86"/>
    </row>
    <row r="270">
      <c r="O270" s="86"/>
      <c r="P270" s="86"/>
      <c r="Q270" s="86"/>
      <c r="R270" s="86"/>
      <c r="S270" s="86"/>
      <c r="T270" s="86"/>
      <c r="U270" s="86"/>
    </row>
    <row r="271">
      <c r="O271" s="86"/>
      <c r="P271" s="86"/>
      <c r="Q271" s="86"/>
      <c r="R271" s="86"/>
      <c r="S271" s="86"/>
      <c r="T271" s="86"/>
      <c r="U271" s="86"/>
    </row>
    <row r="272">
      <c r="O272" s="86"/>
      <c r="P272" s="86"/>
      <c r="Q272" s="86"/>
      <c r="R272" s="86"/>
      <c r="S272" s="86"/>
      <c r="T272" s="86"/>
      <c r="U272" s="86"/>
    </row>
    <row r="273">
      <c r="O273" s="86"/>
      <c r="P273" s="86"/>
      <c r="Q273" s="86"/>
      <c r="R273" s="86"/>
      <c r="S273" s="86"/>
      <c r="T273" s="86"/>
      <c r="U273" s="86"/>
    </row>
    <row r="274">
      <c r="O274" s="86"/>
      <c r="P274" s="86"/>
      <c r="Q274" s="86"/>
      <c r="R274" s="86"/>
      <c r="S274" s="86"/>
      <c r="T274" s="86"/>
      <c r="U274" s="86"/>
    </row>
    <row r="275">
      <c r="O275" s="86"/>
      <c r="P275" s="86"/>
      <c r="Q275" s="86"/>
      <c r="R275" s="86"/>
      <c r="S275" s="86"/>
      <c r="T275" s="86"/>
      <c r="U275" s="86"/>
    </row>
    <row r="276">
      <c r="O276" s="86"/>
      <c r="P276" s="86"/>
      <c r="Q276" s="86"/>
      <c r="R276" s="86"/>
      <c r="S276" s="86"/>
      <c r="T276" s="86"/>
      <c r="U276" s="86"/>
    </row>
    <row r="277">
      <c r="O277" s="86"/>
      <c r="P277" s="86"/>
      <c r="Q277" s="86"/>
      <c r="R277" s="86"/>
      <c r="S277" s="86"/>
      <c r="T277" s="86"/>
      <c r="U277" s="86"/>
    </row>
    <row r="278">
      <c r="O278" s="86"/>
      <c r="P278" s="86"/>
      <c r="Q278" s="86"/>
      <c r="R278" s="86"/>
      <c r="S278" s="86"/>
      <c r="T278" s="86"/>
      <c r="U278" s="86"/>
    </row>
    <row r="279">
      <c r="O279" s="86"/>
      <c r="P279" s="86"/>
      <c r="Q279" s="86"/>
      <c r="R279" s="86"/>
      <c r="S279" s="86"/>
      <c r="T279" s="86"/>
      <c r="U279" s="86"/>
    </row>
    <row r="280">
      <c r="O280" s="86"/>
      <c r="P280" s="86"/>
      <c r="Q280" s="86"/>
      <c r="R280" s="86"/>
      <c r="S280" s="86"/>
      <c r="T280" s="86"/>
      <c r="U280" s="86"/>
    </row>
    <row r="281">
      <c r="O281" s="86"/>
      <c r="P281" s="86"/>
      <c r="Q281" s="86"/>
      <c r="R281" s="86"/>
      <c r="S281" s="86"/>
      <c r="T281" s="86"/>
      <c r="U281" s="86"/>
    </row>
    <row r="282">
      <c r="O282" s="86"/>
      <c r="P282" s="86"/>
      <c r="Q282" s="86"/>
      <c r="R282" s="86"/>
      <c r="S282" s="86"/>
      <c r="T282" s="86"/>
      <c r="U282" s="86"/>
    </row>
    <row r="283">
      <c r="O283" s="86"/>
      <c r="P283" s="86"/>
      <c r="Q283" s="86"/>
      <c r="R283" s="86"/>
      <c r="S283" s="86"/>
      <c r="T283" s="86"/>
      <c r="U283" s="86"/>
    </row>
    <row r="284">
      <c r="O284" s="86"/>
      <c r="P284" s="86"/>
      <c r="Q284" s="86"/>
      <c r="R284" s="86"/>
      <c r="S284" s="86"/>
      <c r="T284" s="86"/>
      <c r="U284" s="86"/>
    </row>
    <row r="285">
      <c r="O285" s="86"/>
      <c r="P285" s="86"/>
      <c r="Q285" s="86"/>
      <c r="R285" s="86"/>
      <c r="S285" s="86"/>
      <c r="T285" s="86"/>
      <c r="U285" s="86"/>
    </row>
    <row r="286">
      <c r="O286" s="86"/>
      <c r="P286" s="86"/>
      <c r="Q286" s="86"/>
      <c r="R286" s="86"/>
      <c r="S286" s="86"/>
      <c r="T286" s="86"/>
      <c r="U286" s="86"/>
    </row>
    <row r="287">
      <c r="O287" s="86"/>
      <c r="P287" s="86"/>
      <c r="Q287" s="86"/>
      <c r="R287" s="86"/>
      <c r="S287" s="86"/>
      <c r="T287" s="86"/>
      <c r="U287" s="86"/>
    </row>
    <row r="288">
      <c r="O288" s="86"/>
      <c r="P288" s="86"/>
      <c r="Q288" s="86"/>
      <c r="R288" s="86"/>
      <c r="S288" s="86"/>
      <c r="T288" s="86"/>
      <c r="U288" s="86"/>
    </row>
    <row r="289">
      <c r="O289" s="86"/>
      <c r="P289" s="86"/>
      <c r="Q289" s="86"/>
      <c r="R289" s="86"/>
      <c r="S289" s="86"/>
      <c r="T289" s="86"/>
      <c r="U289" s="86"/>
    </row>
    <row r="290">
      <c r="O290" s="86"/>
      <c r="P290" s="86"/>
      <c r="Q290" s="86"/>
      <c r="R290" s="86"/>
      <c r="S290" s="86"/>
      <c r="T290" s="86"/>
      <c r="U290" s="86"/>
    </row>
    <row r="291">
      <c r="O291" s="86"/>
      <c r="P291" s="86"/>
      <c r="Q291" s="86"/>
      <c r="R291" s="86"/>
      <c r="S291" s="86"/>
      <c r="T291" s="86"/>
      <c r="U291" s="86"/>
    </row>
    <row r="292">
      <c r="O292" s="86"/>
      <c r="P292" s="86"/>
      <c r="Q292" s="86"/>
      <c r="R292" s="86"/>
      <c r="S292" s="86"/>
      <c r="T292" s="86"/>
      <c r="U292" s="86"/>
    </row>
    <row r="293">
      <c r="O293" s="86"/>
      <c r="P293" s="86"/>
      <c r="Q293" s="86"/>
      <c r="R293" s="86"/>
      <c r="S293" s="86"/>
      <c r="T293" s="86"/>
      <c r="U293" s="86"/>
    </row>
    <row r="294">
      <c r="O294" s="86"/>
      <c r="P294" s="86"/>
      <c r="Q294" s="86"/>
      <c r="R294" s="86"/>
      <c r="S294" s="86"/>
      <c r="T294" s="86"/>
      <c r="U294" s="86"/>
    </row>
    <row r="295">
      <c r="O295" s="86"/>
      <c r="P295" s="86"/>
      <c r="Q295" s="86"/>
      <c r="R295" s="86"/>
      <c r="S295" s="86"/>
      <c r="T295" s="86"/>
      <c r="U295" s="86"/>
    </row>
    <row r="296">
      <c r="O296" s="86"/>
      <c r="P296" s="86"/>
      <c r="Q296" s="86"/>
      <c r="R296" s="86"/>
      <c r="S296" s="86"/>
      <c r="T296" s="86"/>
      <c r="U296" s="86"/>
    </row>
    <row r="297">
      <c r="O297" s="86"/>
      <c r="P297" s="86"/>
      <c r="Q297" s="86"/>
      <c r="R297" s="86"/>
      <c r="S297" s="86"/>
      <c r="T297" s="86"/>
      <c r="U297" s="86"/>
    </row>
    <row r="298">
      <c r="O298" s="86"/>
      <c r="P298" s="86"/>
      <c r="Q298" s="86"/>
      <c r="R298" s="86"/>
      <c r="S298" s="86"/>
      <c r="T298" s="86"/>
      <c r="U298" s="86"/>
    </row>
    <row r="299">
      <c r="O299" s="86"/>
      <c r="P299" s="86"/>
      <c r="Q299" s="86"/>
      <c r="R299" s="86"/>
      <c r="S299" s="86"/>
      <c r="T299" s="86"/>
      <c r="U299" s="86"/>
    </row>
    <row r="300">
      <c r="O300" s="86"/>
      <c r="P300" s="86"/>
      <c r="Q300" s="86"/>
      <c r="R300" s="86"/>
      <c r="S300" s="86"/>
      <c r="T300" s="86"/>
      <c r="U300" s="86"/>
    </row>
    <row r="301">
      <c r="O301" s="86"/>
      <c r="P301" s="86"/>
      <c r="Q301" s="86"/>
      <c r="R301" s="86"/>
      <c r="S301" s="86"/>
      <c r="T301" s="86"/>
      <c r="U301" s="86"/>
    </row>
    <row r="302">
      <c r="O302" s="86"/>
      <c r="P302" s="86"/>
      <c r="Q302" s="86"/>
      <c r="R302" s="86"/>
      <c r="S302" s="86"/>
      <c r="T302" s="86"/>
      <c r="U302" s="86"/>
    </row>
    <row r="303">
      <c r="O303" s="86"/>
      <c r="P303" s="86"/>
      <c r="Q303" s="86"/>
      <c r="R303" s="86"/>
      <c r="S303" s="86"/>
      <c r="T303" s="86"/>
      <c r="U303" s="86"/>
    </row>
    <row r="304">
      <c r="O304" s="86"/>
      <c r="P304" s="86"/>
      <c r="Q304" s="86"/>
      <c r="R304" s="86"/>
      <c r="S304" s="86"/>
      <c r="T304" s="86"/>
      <c r="U304" s="86"/>
    </row>
    <row r="305">
      <c r="O305" s="86"/>
      <c r="P305" s="86"/>
      <c r="Q305" s="86"/>
      <c r="R305" s="86"/>
      <c r="S305" s="86"/>
      <c r="T305" s="86"/>
      <c r="U305" s="86"/>
    </row>
    <row r="306">
      <c r="O306" s="86"/>
      <c r="P306" s="86"/>
      <c r="Q306" s="86"/>
      <c r="R306" s="86"/>
      <c r="S306" s="86"/>
      <c r="T306" s="86"/>
      <c r="U306" s="86"/>
    </row>
    <row r="307">
      <c r="O307" s="86"/>
      <c r="P307" s="86"/>
      <c r="Q307" s="86"/>
      <c r="R307" s="86"/>
      <c r="S307" s="86"/>
      <c r="T307" s="86"/>
      <c r="U307" s="86"/>
    </row>
    <row r="308">
      <c r="O308" s="86"/>
      <c r="P308" s="86"/>
      <c r="Q308" s="86"/>
      <c r="R308" s="86"/>
      <c r="S308" s="86"/>
      <c r="T308" s="86"/>
      <c r="U308" s="86"/>
    </row>
    <row r="309">
      <c r="O309" s="86"/>
      <c r="P309" s="86"/>
      <c r="Q309" s="86"/>
      <c r="R309" s="86"/>
      <c r="S309" s="86"/>
      <c r="T309" s="86"/>
      <c r="U309" s="86"/>
    </row>
    <row r="310">
      <c r="O310" s="86"/>
      <c r="P310" s="86"/>
      <c r="Q310" s="86"/>
      <c r="R310" s="86"/>
      <c r="S310" s="86"/>
      <c r="T310" s="86"/>
      <c r="U310" s="86"/>
    </row>
    <row r="311">
      <c r="O311" s="86"/>
      <c r="P311" s="86"/>
      <c r="Q311" s="86"/>
      <c r="R311" s="86"/>
      <c r="S311" s="86"/>
      <c r="T311" s="86"/>
      <c r="U311" s="86"/>
    </row>
    <row r="312">
      <c r="O312" s="86"/>
      <c r="P312" s="86"/>
      <c r="Q312" s="86"/>
      <c r="R312" s="86"/>
      <c r="S312" s="86"/>
      <c r="T312" s="86"/>
      <c r="U312" s="86"/>
    </row>
    <row r="313">
      <c r="O313" s="86"/>
      <c r="P313" s="86"/>
      <c r="Q313" s="86"/>
      <c r="R313" s="86"/>
      <c r="S313" s="86"/>
      <c r="T313" s="86"/>
      <c r="U313" s="86"/>
    </row>
    <row r="314">
      <c r="O314" s="86"/>
      <c r="P314" s="86"/>
      <c r="Q314" s="86"/>
      <c r="R314" s="86"/>
      <c r="S314" s="86"/>
      <c r="T314" s="86"/>
      <c r="U314" s="86"/>
    </row>
    <row r="315">
      <c r="O315" s="86"/>
      <c r="P315" s="86"/>
      <c r="Q315" s="86"/>
      <c r="R315" s="86"/>
      <c r="S315" s="86"/>
      <c r="T315" s="86"/>
      <c r="U315" s="86"/>
    </row>
    <row r="316">
      <c r="O316" s="86"/>
      <c r="P316" s="86"/>
      <c r="Q316" s="86"/>
      <c r="R316" s="86"/>
      <c r="S316" s="86"/>
      <c r="T316" s="86"/>
      <c r="U316" s="86"/>
    </row>
    <row r="317">
      <c r="O317" s="86"/>
      <c r="P317" s="86"/>
      <c r="Q317" s="86"/>
      <c r="R317" s="86"/>
      <c r="S317" s="86"/>
      <c r="T317" s="86"/>
      <c r="U317" s="86"/>
    </row>
    <row r="318">
      <c r="O318" s="86"/>
      <c r="P318" s="86"/>
      <c r="Q318" s="86"/>
      <c r="R318" s="86"/>
      <c r="S318" s="86"/>
      <c r="T318" s="86"/>
      <c r="U318" s="86"/>
    </row>
    <row r="319">
      <c r="O319" s="86"/>
      <c r="P319" s="86"/>
      <c r="Q319" s="86"/>
      <c r="R319" s="86"/>
      <c r="S319" s="86"/>
      <c r="T319" s="86"/>
      <c r="U319" s="86"/>
    </row>
    <row r="320">
      <c r="O320" s="86"/>
      <c r="P320" s="86"/>
      <c r="Q320" s="86"/>
      <c r="R320" s="86"/>
      <c r="S320" s="86"/>
      <c r="T320" s="86"/>
      <c r="U320" s="86"/>
    </row>
    <row r="321">
      <c r="O321" s="86"/>
      <c r="P321" s="86"/>
      <c r="Q321" s="86"/>
      <c r="R321" s="86"/>
      <c r="S321" s="86"/>
      <c r="T321" s="86"/>
      <c r="U321" s="86"/>
    </row>
    <row r="322">
      <c r="O322" s="86"/>
      <c r="P322" s="86"/>
      <c r="Q322" s="86"/>
      <c r="R322" s="86"/>
      <c r="S322" s="86"/>
      <c r="T322" s="86"/>
      <c r="U322" s="86"/>
    </row>
    <row r="323">
      <c r="O323" s="86"/>
      <c r="P323" s="86"/>
      <c r="Q323" s="86"/>
      <c r="R323" s="86"/>
      <c r="S323" s="86"/>
      <c r="T323" s="86"/>
      <c r="U323" s="86"/>
    </row>
    <row r="324">
      <c r="O324" s="86"/>
      <c r="P324" s="86"/>
      <c r="Q324" s="86"/>
      <c r="R324" s="86"/>
      <c r="S324" s="86"/>
      <c r="T324" s="86"/>
      <c r="U324" s="86"/>
    </row>
    <row r="325">
      <c r="O325" s="86"/>
      <c r="P325" s="86"/>
      <c r="Q325" s="86"/>
      <c r="R325" s="86"/>
      <c r="S325" s="86"/>
      <c r="T325" s="86"/>
      <c r="U325" s="86"/>
    </row>
    <row r="326">
      <c r="O326" s="86"/>
      <c r="P326" s="86"/>
      <c r="Q326" s="86"/>
      <c r="R326" s="86"/>
      <c r="S326" s="86"/>
      <c r="T326" s="86"/>
      <c r="U326" s="86"/>
    </row>
    <row r="327">
      <c r="O327" s="86"/>
      <c r="P327" s="86"/>
      <c r="Q327" s="86"/>
      <c r="R327" s="86"/>
      <c r="S327" s="86"/>
      <c r="T327" s="86"/>
      <c r="U327" s="86"/>
    </row>
    <row r="328">
      <c r="O328" s="86"/>
      <c r="P328" s="86"/>
      <c r="Q328" s="86"/>
      <c r="R328" s="86"/>
      <c r="S328" s="86"/>
      <c r="T328" s="86"/>
      <c r="U328" s="86"/>
    </row>
    <row r="329">
      <c r="O329" s="86"/>
      <c r="P329" s="86"/>
      <c r="Q329" s="86"/>
      <c r="R329" s="86"/>
      <c r="S329" s="86"/>
      <c r="T329" s="86"/>
      <c r="U329" s="86"/>
    </row>
    <row r="330">
      <c r="O330" s="86"/>
      <c r="P330" s="86"/>
      <c r="Q330" s="86"/>
      <c r="R330" s="86"/>
      <c r="S330" s="86"/>
      <c r="T330" s="86"/>
      <c r="U330" s="86"/>
    </row>
    <row r="331">
      <c r="O331" s="86"/>
      <c r="P331" s="86"/>
      <c r="Q331" s="86"/>
      <c r="R331" s="86"/>
      <c r="S331" s="86"/>
      <c r="T331" s="86"/>
      <c r="U331" s="86"/>
    </row>
    <row r="332">
      <c r="O332" s="86"/>
      <c r="P332" s="86"/>
      <c r="Q332" s="86"/>
      <c r="R332" s="86"/>
      <c r="S332" s="86"/>
      <c r="T332" s="86"/>
      <c r="U332" s="86"/>
    </row>
    <row r="333">
      <c r="O333" s="86"/>
      <c r="P333" s="86"/>
      <c r="Q333" s="86"/>
      <c r="R333" s="86"/>
      <c r="S333" s="86"/>
      <c r="T333" s="86"/>
      <c r="U333" s="86"/>
    </row>
    <row r="334">
      <c r="O334" s="86"/>
      <c r="P334" s="86"/>
      <c r="Q334" s="86"/>
      <c r="R334" s="86"/>
      <c r="S334" s="86"/>
      <c r="T334" s="86"/>
      <c r="U334" s="86"/>
    </row>
    <row r="335">
      <c r="O335" s="86"/>
      <c r="P335" s="86"/>
      <c r="Q335" s="86"/>
      <c r="R335" s="86"/>
      <c r="S335" s="86"/>
      <c r="T335" s="86"/>
      <c r="U335" s="86"/>
    </row>
    <row r="336">
      <c r="O336" s="86"/>
      <c r="P336" s="86"/>
      <c r="Q336" s="86"/>
      <c r="R336" s="86"/>
      <c r="S336" s="86"/>
      <c r="T336" s="86"/>
      <c r="U336" s="86"/>
    </row>
    <row r="337">
      <c r="O337" s="86"/>
      <c r="P337" s="86"/>
      <c r="Q337" s="86"/>
      <c r="R337" s="86"/>
      <c r="S337" s="86"/>
      <c r="T337" s="86"/>
      <c r="U337" s="86"/>
    </row>
    <row r="338">
      <c r="O338" s="86"/>
      <c r="P338" s="86"/>
      <c r="Q338" s="86"/>
      <c r="R338" s="86"/>
      <c r="S338" s="86"/>
      <c r="T338" s="86"/>
      <c r="U338" s="86"/>
    </row>
    <row r="339">
      <c r="O339" s="86"/>
      <c r="P339" s="86"/>
      <c r="Q339" s="86"/>
      <c r="R339" s="86"/>
      <c r="S339" s="86"/>
      <c r="T339" s="86"/>
      <c r="U339" s="86"/>
    </row>
    <row r="340">
      <c r="O340" s="86"/>
      <c r="P340" s="86"/>
      <c r="Q340" s="86"/>
      <c r="R340" s="86"/>
      <c r="S340" s="86"/>
      <c r="T340" s="86"/>
      <c r="U340" s="86"/>
    </row>
    <row r="341">
      <c r="O341" s="86"/>
      <c r="P341" s="86"/>
      <c r="Q341" s="86"/>
      <c r="R341" s="86"/>
      <c r="S341" s="86"/>
      <c r="T341" s="86"/>
      <c r="U341" s="86"/>
    </row>
    <row r="342">
      <c r="O342" s="86"/>
      <c r="P342" s="86"/>
      <c r="Q342" s="86"/>
      <c r="R342" s="86"/>
      <c r="S342" s="86"/>
      <c r="T342" s="86"/>
      <c r="U342" s="86"/>
    </row>
    <row r="343">
      <c r="O343" s="86"/>
      <c r="P343" s="86"/>
      <c r="Q343" s="86"/>
      <c r="R343" s="86"/>
      <c r="S343" s="86"/>
      <c r="T343" s="86"/>
      <c r="U343" s="86"/>
    </row>
    <row r="344">
      <c r="O344" s="86"/>
      <c r="P344" s="86"/>
      <c r="Q344" s="86"/>
      <c r="R344" s="86"/>
      <c r="S344" s="86"/>
      <c r="T344" s="86"/>
      <c r="U344" s="86"/>
    </row>
    <row r="345">
      <c r="O345" s="86"/>
      <c r="P345" s="86"/>
      <c r="Q345" s="86"/>
      <c r="R345" s="86"/>
      <c r="S345" s="86"/>
      <c r="T345" s="86"/>
      <c r="U345" s="86"/>
    </row>
    <row r="346">
      <c r="O346" s="86"/>
      <c r="P346" s="86"/>
      <c r="Q346" s="86"/>
      <c r="R346" s="86"/>
      <c r="S346" s="86"/>
      <c r="T346" s="86"/>
      <c r="U346" s="86"/>
    </row>
    <row r="347">
      <c r="O347" s="86"/>
      <c r="P347" s="86"/>
      <c r="Q347" s="86"/>
      <c r="R347" s="86"/>
      <c r="S347" s="86"/>
      <c r="T347" s="86"/>
      <c r="U347" s="86"/>
    </row>
    <row r="348">
      <c r="O348" s="86"/>
      <c r="P348" s="86"/>
      <c r="Q348" s="86"/>
      <c r="R348" s="86"/>
      <c r="S348" s="86"/>
      <c r="T348" s="86"/>
      <c r="U348" s="86"/>
    </row>
    <row r="349">
      <c r="O349" s="86"/>
      <c r="P349" s="86"/>
      <c r="Q349" s="86"/>
      <c r="R349" s="86"/>
      <c r="S349" s="86"/>
      <c r="T349" s="86"/>
      <c r="U349" s="86"/>
    </row>
    <row r="350">
      <c r="O350" s="86"/>
      <c r="P350" s="86"/>
      <c r="Q350" s="86"/>
      <c r="R350" s="86"/>
      <c r="S350" s="86"/>
      <c r="T350" s="86"/>
      <c r="U350" s="86"/>
    </row>
    <row r="351">
      <c r="O351" s="86"/>
      <c r="P351" s="86"/>
      <c r="Q351" s="86"/>
      <c r="R351" s="86"/>
      <c r="S351" s="86"/>
      <c r="T351" s="86"/>
      <c r="U351" s="86"/>
    </row>
    <row r="352">
      <c r="O352" s="86"/>
      <c r="P352" s="86"/>
      <c r="Q352" s="86"/>
      <c r="R352" s="86"/>
      <c r="S352" s="86"/>
      <c r="T352" s="86"/>
      <c r="U352" s="86"/>
    </row>
    <row r="353">
      <c r="O353" s="86"/>
      <c r="P353" s="86"/>
      <c r="Q353" s="86"/>
      <c r="R353" s="86"/>
      <c r="S353" s="86"/>
      <c r="T353" s="86"/>
      <c r="U353" s="86"/>
    </row>
    <row r="354">
      <c r="O354" s="86"/>
      <c r="P354" s="86"/>
      <c r="Q354" s="86"/>
      <c r="R354" s="86"/>
      <c r="S354" s="86"/>
      <c r="T354" s="86"/>
      <c r="U354" s="86"/>
    </row>
    <row r="355">
      <c r="O355" s="86"/>
      <c r="P355" s="86"/>
      <c r="Q355" s="86"/>
      <c r="R355" s="86"/>
      <c r="S355" s="86"/>
      <c r="T355" s="86"/>
      <c r="U355" s="86"/>
    </row>
    <row r="356">
      <c r="O356" s="86"/>
      <c r="P356" s="86"/>
      <c r="Q356" s="86"/>
      <c r="R356" s="86"/>
      <c r="S356" s="86"/>
      <c r="T356" s="86"/>
      <c r="U356" s="86"/>
    </row>
    <row r="357">
      <c r="O357" s="86"/>
      <c r="P357" s="86"/>
      <c r="Q357" s="86"/>
      <c r="R357" s="86"/>
      <c r="S357" s="86"/>
      <c r="T357" s="86"/>
      <c r="U357" s="86"/>
    </row>
    <row r="358">
      <c r="O358" s="86"/>
      <c r="P358" s="86"/>
      <c r="Q358" s="86"/>
      <c r="R358" s="86"/>
      <c r="S358" s="86"/>
      <c r="T358" s="86"/>
      <c r="U358" s="86"/>
    </row>
    <row r="359">
      <c r="O359" s="86"/>
      <c r="P359" s="86"/>
      <c r="Q359" s="86"/>
      <c r="R359" s="86"/>
      <c r="S359" s="86"/>
      <c r="T359" s="86"/>
      <c r="U359" s="86"/>
    </row>
    <row r="360">
      <c r="O360" s="86"/>
      <c r="P360" s="86"/>
      <c r="Q360" s="86"/>
      <c r="R360" s="86"/>
      <c r="S360" s="86"/>
      <c r="T360" s="86"/>
      <c r="U360" s="86"/>
    </row>
    <row r="361">
      <c r="O361" s="86"/>
      <c r="P361" s="86"/>
      <c r="Q361" s="86"/>
      <c r="R361" s="86"/>
      <c r="S361" s="86"/>
      <c r="T361" s="86"/>
      <c r="U361" s="86"/>
    </row>
    <row r="362">
      <c r="O362" s="86"/>
      <c r="P362" s="86"/>
      <c r="Q362" s="86"/>
      <c r="R362" s="86"/>
      <c r="S362" s="86"/>
      <c r="T362" s="86"/>
      <c r="U362" s="86"/>
    </row>
    <row r="363">
      <c r="O363" s="86"/>
      <c r="P363" s="86"/>
      <c r="Q363" s="86"/>
      <c r="R363" s="86"/>
      <c r="S363" s="86"/>
      <c r="T363" s="86"/>
      <c r="U363" s="86"/>
    </row>
    <row r="364">
      <c r="O364" s="86"/>
      <c r="P364" s="86"/>
      <c r="Q364" s="86"/>
      <c r="R364" s="86"/>
      <c r="S364" s="86"/>
      <c r="T364" s="86"/>
      <c r="U364" s="86"/>
    </row>
    <row r="365">
      <c r="O365" s="86"/>
      <c r="P365" s="86"/>
      <c r="Q365" s="86"/>
      <c r="R365" s="86"/>
      <c r="S365" s="86"/>
      <c r="T365" s="86"/>
      <c r="U365" s="86"/>
    </row>
    <row r="366">
      <c r="O366" s="86"/>
      <c r="P366" s="86"/>
      <c r="Q366" s="86"/>
      <c r="R366" s="86"/>
      <c r="S366" s="86"/>
      <c r="T366" s="86"/>
      <c r="U366" s="86"/>
    </row>
    <row r="367">
      <c r="O367" s="86"/>
      <c r="P367" s="86"/>
      <c r="Q367" s="86"/>
      <c r="R367" s="86"/>
      <c r="S367" s="86"/>
      <c r="T367" s="86"/>
      <c r="U367" s="86"/>
    </row>
    <row r="368">
      <c r="O368" s="86"/>
      <c r="P368" s="86"/>
      <c r="Q368" s="86"/>
      <c r="R368" s="86"/>
      <c r="S368" s="86"/>
      <c r="T368" s="86"/>
      <c r="U368" s="86"/>
    </row>
    <row r="369">
      <c r="O369" s="86"/>
      <c r="P369" s="86"/>
      <c r="Q369" s="86"/>
      <c r="R369" s="86"/>
      <c r="S369" s="86"/>
      <c r="T369" s="86"/>
      <c r="U369" s="86"/>
    </row>
    <row r="370">
      <c r="O370" s="86"/>
      <c r="P370" s="86"/>
      <c r="Q370" s="86"/>
      <c r="R370" s="86"/>
      <c r="S370" s="86"/>
      <c r="T370" s="86"/>
      <c r="U370" s="86"/>
    </row>
    <row r="371">
      <c r="O371" s="86"/>
      <c r="P371" s="86"/>
      <c r="Q371" s="86"/>
      <c r="R371" s="86"/>
      <c r="S371" s="86"/>
      <c r="T371" s="86"/>
      <c r="U371" s="86"/>
    </row>
    <row r="372">
      <c r="O372" s="86"/>
      <c r="P372" s="86"/>
      <c r="Q372" s="86"/>
      <c r="R372" s="86"/>
      <c r="S372" s="86"/>
      <c r="T372" s="86"/>
      <c r="U372" s="86"/>
    </row>
    <row r="373">
      <c r="O373" s="86"/>
      <c r="P373" s="86"/>
      <c r="Q373" s="86"/>
      <c r="R373" s="86"/>
      <c r="S373" s="86"/>
      <c r="T373" s="86"/>
      <c r="U373" s="86"/>
    </row>
    <row r="374">
      <c r="O374" s="86"/>
      <c r="P374" s="86"/>
      <c r="Q374" s="86"/>
      <c r="R374" s="86"/>
      <c r="S374" s="86"/>
      <c r="T374" s="86"/>
      <c r="U374" s="86"/>
    </row>
    <row r="375">
      <c r="O375" s="86"/>
      <c r="P375" s="86"/>
      <c r="Q375" s="86"/>
      <c r="R375" s="86"/>
      <c r="S375" s="86"/>
      <c r="T375" s="86"/>
      <c r="U375" s="86"/>
    </row>
    <row r="376">
      <c r="O376" s="86"/>
      <c r="P376" s="86"/>
      <c r="Q376" s="86"/>
      <c r="R376" s="86"/>
      <c r="S376" s="86"/>
      <c r="T376" s="86"/>
      <c r="U376" s="86"/>
    </row>
    <row r="377">
      <c r="O377" s="86"/>
      <c r="P377" s="86"/>
      <c r="Q377" s="86"/>
      <c r="R377" s="86"/>
      <c r="S377" s="86"/>
      <c r="T377" s="86"/>
      <c r="U377" s="86"/>
    </row>
    <row r="378">
      <c r="O378" s="86"/>
      <c r="P378" s="86"/>
      <c r="Q378" s="86"/>
      <c r="R378" s="86"/>
      <c r="S378" s="86"/>
      <c r="T378" s="86"/>
      <c r="U378" s="86"/>
    </row>
    <row r="379">
      <c r="O379" s="86"/>
      <c r="P379" s="86"/>
      <c r="Q379" s="86"/>
      <c r="R379" s="86"/>
      <c r="S379" s="86"/>
      <c r="T379" s="86"/>
      <c r="U379" s="86"/>
    </row>
    <row r="380">
      <c r="O380" s="86"/>
      <c r="P380" s="86"/>
      <c r="Q380" s="86"/>
      <c r="R380" s="86"/>
      <c r="S380" s="86"/>
      <c r="T380" s="86"/>
      <c r="U380" s="86"/>
    </row>
    <row r="381">
      <c r="O381" s="86"/>
      <c r="P381" s="86"/>
      <c r="Q381" s="86"/>
      <c r="R381" s="86"/>
      <c r="S381" s="86"/>
      <c r="T381" s="86"/>
      <c r="U381" s="86"/>
    </row>
    <row r="382">
      <c r="O382" s="86"/>
      <c r="P382" s="86"/>
      <c r="Q382" s="86"/>
      <c r="R382" s="86"/>
      <c r="S382" s="86"/>
      <c r="T382" s="86"/>
      <c r="U382" s="86"/>
    </row>
    <row r="383">
      <c r="O383" s="86"/>
      <c r="P383" s="86"/>
      <c r="Q383" s="86"/>
      <c r="R383" s="86"/>
      <c r="S383" s="86"/>
      <c r="T383" s="86"/>
      <c r="U383" s="86"/>
    </row>
    <row r="384">
      <c r="O384" s="86"/>
      <c r="P384" s="86"/>
      <c r="Q384" s="86"/>
      <c r="R384" s="86"/>
      <c r="S384" s="86"/>
      <c r="T384" s="86"/>
      <c r="U384" s="86"/>
    </row>
    <row r="385">
      <c r="O385" s="86"/>
      <c r="P385" s="86"/>
      <c r="Q385" s="86"/>
      <c r="R385" s="86"/>
      <c r="S385" s="86"/>
      <c r="T385" s="86"/>
      <c r="U385" s="86"/>
    </row>
    <row r="386">
      <c r="O386" s="86"/>
      <c r="P386" s="86"/>
      <c r="Q386" s="86"/>
      <c r="R386" s="86"/>
      <c r="S386" s="86"/>
      <c r="T386" s="86"/>
      <c r="U386" s="86"/>
    </row>
    <row r="387">
      <c r="O387" s="86"/>
      <c r="P387" s="86"/>
      <c r="Q387" s="86"/>
      <c r="R387" s="86"/>
      <c r="S387" s="86"/>
      <c r="T387" s="86"/>
      <c r="U387" s="86"/>
    </row>
    <row r="388">
      <c r="O388" s="86"/>
      <c r="P388" s="86"/>
      <c r="Q388" s="86"/>
      <c r="R388" s="86"/>
      <c r="S388" s="86"/>
      <c r="T388" s="86"/>
      <c r="U388" s="86"/>
    </row>
    <row r="389">
      <c r="O389" s="86"/>
      <c r="P389" s="86"/>
      <c r="Q389" s="86"/>
      <c r="R389" s="86"/>
      <c r="S389" s="86"/>
      <c r="T389" s="86"/>
      <c r="U389" s="86"/>
    </row>
    <row r="390">
      <c r="O390" s="86"/>
      <c r="P390" s="86"/>
      <c r="Q390" s="86"/>
      <c r="R390" s="86"/>
      <c r="S390" s="86"/>
      <c r="T390" s="86"/>
      <c r="U390" s="86"/>
    </row>
    <row r="391">
      <c r="O391" s="86"/>
      <c r="P391" s="86"/>
      <c r="Q391" s="86"/>
      <c r="R391" s="86"/>
      <c r="S391" s="86"/>
      <c r="T391" s="86"/>
      <c r="U391" s="86"/>
    </row>
    <row r="392">
      <c r="O392" s="86"/>
      <c r="P392" s="86"/>
      <c r="Q392" s="86"/>
      <c r="R392" s="86"/>
      <c r="S392" s="86"/>
      <c r="T392" s="86"/>
      <c r="U392" s="86"/>
    </row>
    <row r="393">
      <c r="O393" s="86"/>
      <c r="P393" s="86"/>
      <c r="Q393" s="86"/>
      <c r="R393" s="86"/>
      <c r="S393" s="86"/>
      <c r="T393" s="86"/>
      <c r="U393" s="86"/>
    </row>
    <row r="394">
      <c r="O394" s="86"/>
      <c r="P394" s="86"/>
      <c r="Q394" s="86"/>
      <c r="R394" s="86"/>
      <c r="S394" s="86"/>
      <c r="T394" s="86"/>
      <c r="U394" s="86"/>
    </row>
    <row r="395">
      <c r="O395" s="86"/>
      <c r="P395" s="86"/>
      <c r="Q395" s="86"/>
      <c r="R395" s="86"/>
      <c r="S395" s="86"/>
      <c r="T395" s="86"/>
      <c r="U395" s="86"/>
    </row>
    <row r="396">
      <c r="O396" s="86"/>
      <c r="P396" s="86"/>
      <c r="Q396" s="86"/>
      <c r="R396" s="86"/>
      <c r="S396" s="86"/>
      <c r="T396" s="86"/>
      <c r="U396" s="86"/>
    </row>
    <row r="397">
      <c r="O397" s="86"/>
      <c r="P397" s="86"/>
      <c r="Q397" s="86"/>
      <c r="R397" s="86"/>
      <c r="S397" s="86"/>
      <c r="T397" s="86"/>
      <c r="U397" s="86"/>
    </row>
    <row r="398">
      <c r="O398" s="86"/>
      <c r="P398" s="86"/>
      <c r="Q398" s="86"/>
      <c r="R398" s="86"/>
      <c r="S398" s="86"/>
      <c r="T398" s="86"/>
      <c r="U398" s="86"/>
    </row>
    <row r="399">
      <c r="O399" s="86"/>
      <c r="P399" s="86"/>
      <c r="Q399" s="86"/>
      <c r="R399" s="86"/>
      <c r="S399" s="86"/>
      <c r="T399" s="86"/>
      <c r="U399" s="86"/>
    </row>
    <row r="400">
      <c r="O400" s="86"/>
      <c r="P400" s="86"/>
      <c r="Q400" s="86"/>
      <c r="R400" s="86"/>
      <c r="S400" s="86"/>
      <c r="T400" s="86"/>
      <c r="U400" s="86"/>
    </row>
    <row r="401">
      <c r="O401" s="86"/>
      <c r="P401" s="86"/>
      <c r="Q401" s="86"/>
      <c r="R401" s="86"/>
      <c r="S401" s="86"/>
      <c r="T401" s="86"/>
      <c r="U401" s="86"/>
    </row>
    <row r="402">
      <c r="O402" s="86"/>
      <c r="P402" s="86"/>
      <c r="Q402" s="86"/>
      <c r="R402" s="86"/>
      <c r="S402" s="86"/>
      <c r="T402" s="86"/>
      <c r="U402" s="86"/>
    </row>
    <row r="403">
      <c r="O403" s="86"/>
      <c r="P403" s="86"/>
      <c r="Q403" s="86"/>
      <c r="R403" s="86"/>
      <c r="S403" s="86"/>
      <c r="T403" s="86"/>
      <c r="U403" s="86"/>
    </row>
    <row r="404">
      <c r="O404" s="86"/>
      <c r="P404" s="86"/>
      <c r="Q404" s="86"/>
      <c r="R404" s="86"/>
      <c r="S404" s="86"/>
      <c r="T404" s="86"/>
      <c r="U404" s="86"/>
    </row>
    <row r="405">
      <c r="O405" s="86"/>
      <c r="P405" s="86"/>
      <c r="Q405" s="86"/>
      <c r="R405" s="86"/>
      <c r="S405" s="86"/>
      <c r="T405" s="86"/>
      <c r="U405" s="86"/>
    </row>
    <row r="406">
      <c r="O406" s="86"/>
      <c r="P406" s="86"/>
      <c r="Q406" s="86"/>
      <c r="R406" s="86"/>
      <c r="S406" s="86"/>
      <c r="T406" s="86"/>
      <c r="U406" s="86"/>
    </row>
    <row r="407">
      <c r="O407" s="86"/>
      <c r="P407" s="86"/>
      <c r="Q407" s="86"/>
      <c r="R407" s="86"/>
      <c r="S407" s="86"/>
      <c r="T407" s="86"/>
      <c r="U407" s="86"/>
    </row>
    <row r="408">
      <c r="O408" s="86"/>
      <c r="P408" s="86"/>
      <c r="Q408" s="86"/>
      <c r="R408" s="86"/>
      <c r="S408" s="86"/>
      <c r="T408" s="86"/>
      <c r="U408" s="86"/>
    </row>
    <row r="409">
      <c r="O409" s="86"/>
      <c r="P409" s="86"/>
      <c r="Q409" s="86"/>
      <c r="R409" s="86"/>
      <c r="S409" s="86"/>
      <c r="T409" s="86"/>
      <c r="U409" s="86"/>
    </row>
    <row r="410">
      <c r="O410" s="86"/>
      <c r="P410" s="86"/>
      <c r="Q410" s="86"/>
      <c r="R410" s="86"/>
      <c r="S410" s="86"/>
      <c r="T410" s="86"/>
      <c r="U410" s="86"/>
    </row>
    <row r="411">
      <c r="O411" s="86"/>
      <c r="P411" s="86"/>
      <c r="Q411" s="86"/>
      <c r="R411" s="86"/>
      <c r="S411" s="86"/>
      <c r="T411" s="86"/>
      <c r="U411" s="86"/>
    </row>
    <row r="412">
      <c r="O412" s="86"/>
      <c r="P412" s="86"/>
      <c r="Q412" s="86"/>
      <c r="R412" s="86"/>
      <c r="S412" s="86"/>
      <c r="T412" s="86"/>
      <c r="U412" s="86"/>
    </row>
    <row r="413">
      <c r="O413" s="86"/>
      <c r="P413" s="86"/>
      <c r="Q413" s="86"/>
      <c r="R413" s="86"/>
      <c r="S413" s="86"/>
      <c r="T413" s="86"/>
      <c r="U413" s="86"/>
    </row>
    <row r="414">
      <c r="O414" s="86"/>
      <c r="P414" s="86"/>
      <c r="Q414" s="86"/>
      <c r="R414" s="86"/>
      <c r="S414" s="86"/>
      <c r="T414" s="86"/>
      <c r="U414" s="86"/>
    </row>
    <row r="415">
      <c r="O415" s="86"/>
      <c r="P415" s="86"/>
      <c r="Q415" s="86"/>
      <c r="R415" s="86"/>
      <c r="S415" s="86"/>
      <c r="T415" s="86"/>
      <c r="U415" s="86"/>
    </row>
    <row r="416">
      <c r="O416" s="86"/>
      <c r="P416" s="86"/>
      <c r="Q416" s="86"/>
      <c r="R416" s="86"/>
      <c r="S416" s="86"/>
      <c r="T416" s="86"/>
      <c r="U416" s="86"/>
    </row>
    <row r="417">
      <c r="O417" s="86"/>
      <c r="P417" s="86"/>
      <c r="Q417" s="86"/>
      <c r="R417" s="86"/>
      <c r="S417" s="86"/>
      <c r="T417" s="86"/>
      <c r="U417" s="86"/>
    </row>
    <row r="418">
      <c r="O418" s="86"/>
      <c r="P418" s="86"/>
      <c r="Q418" s="86"/>
      <c r="R418" s="86"/>
      <c r="S418" s="86"/>
      <c r="T418" s="86"/>
      <c r="U418" s="86"/>
    </row>
    <row r="419">
      <c r="O419" s="86"/>
      <c r="P419" s="86"/>
      <c r="Q419" s="86"/>
      <c r="R419" s="86"/>
      <c r="S419" s="86"/>
      <c r="T419" s="86"/>
      <c r="U419" s="86"/>
    </row>
    <row r="420">
      <c r="O420" s="86"/>
      <c r="P420" s="86"/>
      <c r="Q420" s="86"/>
      <c r="R420" s="86"/>
      <c r="S420" s="86"/>
      <c r="T420" s="86"/>
      <c r="U420" s="86"/>
    </row>
    <row r="421">
      <c r="O421" s="86"/>
      <c r="P421" s="86"/>
      <c r="Q421" s="86"/>
      <c r="R421" s="86"/>
      <c r="S421" s="86"/>
      <c r="T421" s="86"/>
      <c r="U421" s="86"/>
    </row>
    <row r="422">
      <c r="O422" s="86"/>
      <c r="P422" s="86"/>
      <c r="Q422" s="86"/>
      <c r="R422" s="86"/>
      <c r="S422" s="86"/>
      <c r="T422" s="86"/>
      <c r="U422" s="86"/>
    </row>
    <row r="423">
      <c r="O423" s="86"/>
      <c r="P423" s="86"/>
      <c r="Q423" s="86"/>
      <c r="R423" s="86"/>
      <c r="S423" s="86"/>
      <c r="T423" s="86"/>
      <c r="U423" s="86"/>
    </row>
    <row r="424">
      <c r="O424" s="86"/>
      <c r="P424" s="86"/>
      <c r="Q424" s="86"/>
      <c r="R424" s="86"/>
      <c r="S424" s="86"/>
      <c r="T424" s="86"/>
      <c r="U424" s="86"/>
    </row>
    <row r="425">
      <c r="O425" s="86"/>
      <c r="P425" s="86"/>
      <c r="Q425" s="86"/>
      <c r="R425" s="86"/>
      <c r="S425" s="86"/>
      <c r="T425" s="86"/>
      <c r="U425" s="86"/>
    </row>
    <row r="426">
      <c r="O426" s="86"/>
      <c r="P426" s="86"/>
      <c r="Q426" s="86"/>
      <c r="R426" s="86"/>
      <c r="S426" s="86"/>
      <c r="T426" s="86"/>
      <c r="U426" s="86"/>
    </row>
    <row r="427">
      <c r="O427" s="86"/>
      <c r="P427" s="86"/>
      <c r="Q427" s="86"/>
      <c r="R427" s="86"/>
      <c r="S427" s="86"/>
      <c r="T427" s="86"/>
      <c r="U427" s="86"/>
    </row>
    <row r="428">
      <c r="O428" s="86"/>
      <c r="P428" s="86"/>
      <c r="Q428" s="86"/>
      <c r="R428" s="86"/>
      <c r="S428" s="86"/>
      <c r="T428" s="86"/>
      <c r="U428" s="86"/>
    </row>
    <row r="429">
      <c r="O429" s="86"/>
      <c r="P429" s="86"/>
      <c r="Q429" s="86"/>
      <c r="R429" s="86"/>
      <c r="S429" s="86"/>
      <c r="T429" s="86"/>
      <c r="U429" s="86"/>
    </row>
    <row r="430">
      <c r="O430" s="86"/>
      <c r="P430" s="86"/>
      <c r="Q430" s="86"/>
      <c r="R430" s="86"/>
      <c r="S430" s="86"/>
      <c r="T430" s="86"/>
      <c r="U430" s="86"/>
    </row>
    <row r="431">
      <c r="O431" s="86"/>
      <c r="P431" s="86"/>
      <c r="Q431" s="86"/>
      <c r="R431" s="86"/>
      <c r="S431" s="86"/>
      <c r="T431" s="86"/>
      <c r="U431" s="86"/>
    </row>
    <row r="432">
      <c r="O432" s="86"/>
      <c r="P432" s="86"/>
      <c r="Q432" s="86"/>
      <c r="R432" s="86"/>
      <c r="S432" s="86"/>
      <c r="T432" s="86"/>
      <c r="U432" s="86"/>
    </row>
    <row r="433">
      <c r="O433" s="86"/>
      <c r="P433" s="86"/>
      <c r="Q433" s="86"/>
      <c r="R433" s="86"/>
      <c r="S433" s="86"/>
      <c r="T433" s="86"/>
      <c r="U433" s="86"/>
    </row>
    <row r="434">
      <c r="O434" s="86"/>
      <c r="P434" s="86"/>
      <c r="Q434" s="86"/>
      <c r="R434" s="86"/>
      <c r="S434" s="86"/>
      <c r="T434" s="86"/>
      <c r="U434" s="86"/>
    </row>
    <row r="435">
      <c r="O435" s="86"/>
      <c r="P435" s="86"/>
      <c r="Q435" s="86"/>
      <c r="R435" s="86"/>
      <c r="S435" s="86"/>
      <c r="T435" s="86"/>
      <c r="U435" s="86"/>
    </row>
    <row r="436">
      <c r="O436" s="86"/>
      <c r="P436" s="86"/>
      <c r="Q436" s="86"/>
      <c r="R436" s="86"/>
      <c r="S436" s="86"/>
      <c r="T436" s="86"/>
      <c r="U436" s="86"/>
    </row>
    <row r="437">
      <c r="O437" s="86"/>
      <c r="P437" s="86"/>
      <c r="Q437" s="86"/>
      <c r="R437" s="86"/>
      <c r="S437" s="86"/>
      <c r="T437" s="86"/>
      <c r="U437" s="86"/>
    </row>
    <row r="438">
      <c r="O438" s="86"/>
      <c r="P438" s="86"/>
      <c r="Q438" s="86"/>
      <c r="R438" s="86"/>
      <c r="S438" s="86"/>
      <c r="T438" s="86"/>
      <c r="U438" s="86"/>
    </row>
    <row r="439">
      <c r="O439" s="86"/>
      <c r="P439" s="86"/>
      <c r="Q439" s="86"/>
      <c r="R439" s="86"/>
      <c r="S439" s="86"/>
      <c r="T439" s="86"/>
      <c r="U439" s="86"/>
    </row>
    <row r="440">
      <c r="O440" s="86"/>
      <c r="P440" s="86"/>
      <c r="Q440" s="86"/>
      <c r="R440" s="86"/>
      <c r="S440" s="86"/>
      <c r="T440" s="86"/>
      <c r="U440" s="86"/>
    </row>
    <row r="441">
      <c r="O441" s="86"/>
      <c r="P441" s="86"/>
      <c r="Q441" s="86"/>
      <c r="R441" s="86"/>
      <c r="S441" s="86"/>
      <c r="T441" s="86"/>
      <c r="U441" s="86"/>
    </row>
    <row r="442">
      <c r="O442" s="86"/>
      <c r="P442" s="86"/>
      <c r="Q442" s="86"/>
      <c r="R442" s="86"/>
      <c r="S442" s="86"/>
      <c r="T442" s="86"/>
      <c r="U442" s="86"/>
    </row>
    <row r="443">
      <c r="O443" s="86"/>
      <c r="P443" s="86"/>
      <c r="Q443" s="86"/>
      <c r="R443" s="86"/>
      <c r="S443" s="86"/>
      <c r="T443" s="86"/>
      <c r="U443" s="86"/>
    </row>
    <row r="444">
      <c r="O444" s="86"/>
      <c r="P444" s="86"/>
      <c r="Q444" s="86"/>
      <c r="R444" s="86"/>
      <c r="S444" s="86"/>
      <c r="T444" s="86"/>
      <c r="U444" s="86"/>
    </row>
    <row r="445">
      <c r="O445" s="86"/>
      <c r="P445" s="86"/>
      <c r="Q445" s="86"/>
      <c r="R445" s="86"/>
      <c r="S445" s="86"/>
      <c r="T445" s="86"/>
      <c r="U445" s="86"/>
    </row>
    <row r="446">
      <c r="O446" s="86"/>
      <c r="P446" s="86"/>
      <c r="Q446" s="86"/>
      <c r="R446" s="86"/>
      <c r="S446" s="86"/>
      <c r="T446" s="86"/>
      <c r="U446" s="86"/>
    </row>
    <row r="447">
      <c r="O447" s="86"/>
      <c r="P447" s="86"/>
      <c r="Q447" s="86"/>
      <c r="R447" s="86"/>
      <c r="S447" s="86"/>
      <c r="T447" s="86"/>
      <c r="U447" s="86"/>
    </row>
    <row r="448">
      <c r="O448" s="86"/>
      <c r="P448" s="86"/>
      <c r="Q448" s="86"/>
      <c r="R448" s="86"/>
      <c r="S448" s="86"/>
      <c r="T448" s="86"/>
      <c r="U448" s="86"/>
    </row>
    <row r="449">
      <c r="O449" s="86"/>
      <c r="P449" s="86"/>
      <c r="Q449" s="86"/>
      <c r="R449" s="86"/>
      <c r="S449" s="86"/>
      <c r="T449" s="86"/>
      <c r="U449" s="86"/>
    </row>
    <row r="450">
      <c r="O450" s="86"/>
      <c r="P450" s="86"/>
      <c r="Q450" s="86"/>
      <c r="R450" s="86"/>
      <c r="S450" s="86"/>
      <c r="T450" s="86"/>
      <c r="U450" s="86"/>
    </row>
    <row r="451">
      <c r="O451" s="86"/>
      <c r="P451" s="86"/>
      <c r="Q451" s="86"/>
      <c r="R451" s="86"/>
      <c r="S451" s="86"/>
      <c r="T451" s="86"/>
      <c r="U451" s="86"/>
    </row>
    <row r="452">
      <c r="O452" s="86"/>
      <c r="P452" s="86"/>
      <c r="Q452" s="86"/>
      <c r="R452" s="86"/>
      <c r="S452" s="86"/>
      <c r="T452" s="86"/>
      <c r="U452" s="86"/>
    </row>
    <row r="453">
      <c r="O453" s="86"/>
      <c r="P453" s="86"/>
      <c r="Q453" s="86"/>
      <c r="R453" s="86"/>
      <c r="S453" s="86"/>
      <c r="T453" s="86"/>
      <c r="U453" s="86"/>
    </row>
    <row r="454">
      <c r="O454" s="86"/>
      <c r="P454" s="86"/>
      <c r="Q454" s="86"/>
      <c r="R454" s="86"/>
      <c r="S454" s="86"/>
      <c r="T454" s="86"/>
      <c r="U454" s="86"/>
    </row>
    <row r="455">
      <c r="O455" s="86"/>
      <c r="P455" s="86"/>
      <c r="Q455" s="86"/>
      <c r="R455" s="86"/>
      <c r="S455" s="86"/>
      <c r="T455" s="86"/>
      <c r="U455" s="86"/>
    </row>
    <row r="456">
      <c r="O456" s="86"/>
      <c r="P456" s="86"/>
      <c r="Q456" s="86"/>
      <c r="R456" s="86"/>
      <c r="S456" s="86"/>
      <c r="T456" s="86"/>
      <c r="U456" s="86"/>
    </row>
    <row r="457">
      <c r="O457" s="86"/>
      <c r="P457" s="86"/>
      <c r="Q457" s="86"/>
      <c r="R457" s="86"/>
      <c r="S457" s="86"/>
      <c r="T457" s="86"/>
      <c r="U457" s="86"/>
    </row>
    <row r="458">
      <c r="O458" s="86"/>
      <c r="P458" s="86"/>
      <c r="Q458" s="86"/>
      <c r="R458" s="86"/>
      <c r="S458" s="86"/>
      <c r="T458" s="86"/>
      <c r="U458" s="86"/>
    </row>
    <row r="459">
      <c r="O459" s="86"/>
      <c r="P459" s="86"/>
      <c r="Q459" s="86"/>
      <c r="R459" s="86"/>
      <c r="S459" s="86"/>
      <c r="T459" s="86"/>
      <c r="U459" s="86"/>
    </row>
    <row r="460">
      <c r="O460" s="86"/>
      <c r="P460" s="86"/>
      <c r="Q460" s="86"/>
      <c r="R460" s="86"/>
      <c r="S460" s="86"/>
      <c r="T460" s="86"/>
      <c r="U460" s="86"/>
    </row>
    <row r="461">
      <c r="O461" s="86"/>
      <c r="P461" s="86"/>
      <c r="Q461" s="86"/>
      <c r="R461" s="86"/>
      <c r="S461" s="86"/>
      <c r="T461" s="86"/>
      <c r="U461" s="86"/>
    </row>
    <row r="462">
      <c r="O462" s="86"/>
      <c r="P462" s="86"/>
      <c r="Q462" s="86"/>
      <c r="R462" s="86"/>
      <c r="S462" s="86"/>
      <c r="T462" s="86"/>
      <c r="U462" s="86"/>
    </row>
    <row r="463">
      <c r="O463" s="86"/>
      <c r="P463" s="86"/>
      <c r="Q463" s="86"/>
      <c r="R463" s="86"/>
      <c r="S463" s="86"/>
      <c r="T463" s="86"/>
      <c r="U463" s="86"/>
    </row>
    <row r="464">
      <c r="O464" s="86"/>
      <c r="P464" s="86"/>
      <c r="Q464" s="86"/>
      <c r="R464" s="86"/>
      <c r="S464" s="86"/>
      <c r="T464" s="86"/>
      <c r="U464" s="86"/>
    </row>
    <row r="465">
      <c r="O465" s="86"/>
      <c r="P465" s="86"/>
      <c r="Q465" s="86"/>
      <c r="R465" s="86"/>
      <c r="S465" s="86"/>
      <c r="T465" s="86"/>
      <c r="U465" s="86"/>
    </row>
    <row r="466">
      <c r="O466" s="86"/>
      <c r="P466" s="86"/>
      <c r="Q466" s="86"/>
      <c r="R466" s="86"/>
      <c r="S466" s="86"/>
      <c r="T466" s="86"/>
      <c r="U466" s="86"/>
    </row>
    <row r="467">
      <c r="O467" s="86"/>
      <c r="P467" s="86"/>
      <c r="Q467" s="86"/>
      <c r="R467" s="86"/>
      <c r="S467" s="86"/>
      <c r="T467" s="86"/>
      <c r="U467" s="86"/>
    </row>
    <row r="468">
      <c r="O468" s="86"/>
      <c r="P468" s="86"/>
      <c r="Q468" s="86"/>
      <c r="R468" s="86"/>
      <c r="S468" s="86"/>
      <c r="T468" s="86"/>
      <c r="U468" s="86"/>
    </row>
    <row r="469">
      <c r="O469" s="86"/>
      <c r="P469" s="86"/>
      <c r="Q469" s="86"/>
      <c r="R469" s="86"/>
      <c r="S469" s="86"/>
      <c r="T469" s="86"/>
      <c r="U469" s="86"/>
    </row>
    <row r="470">
      <c r="O470" s="86"/>
      <c r="P470" s="86"/>
      <c r="Q470" s="86"/>
      <c r="R470" s="86"/>
      <c r="S470" s="86"/>
      <c r="T470" s="86"/>
      <c r="U470" s="86"/>
    </row>
    <row r="471">
      <c r="O471" s="86"/>
      <c r="P471" s="86"/>
      <c r="Q471" s="86"/>
      <c r="R471" s="86"/>
      <c r="S471" s="86"/>
      <c r="T471" s="86"/>
      <c r="U471" s="86"/>
    </row>
    <row r="472">
      <c r="O472" s="86"/>
      <c r="P472" s="86"/>
      <c r="Q472" s="86"/>
      <c r="R472" s="86"/>
      <c r="S472" s="86"/>
      <c r="T472" s="86"/>
      <c r="U472" s="86"/>
    </row>
    <row r="473">
      <c r="O473" s="86"/>
      <c r="P473" s="86"/>
      <c r="Q473" s="86"/>
      <c r="R473" s="86"/>
      <c r="S473" s="86"/>
      <c r="T473" s="86"/>
      <c r="U473" s="86"/>
    </row>
    <row r="474">
      <c r="O474" s="86"/>
      <c r="P474" s="86"/>
      <c r="Q474" s="86"/>
      <c r="R474" s="86"/>
      <c r="S474" s="86"/>
      <c r="T474" s="86"/>
      <c r="U474" s="86"/>
    </row>
    <row r="475">
      <c r="O475" s="86"/>
      <c r="P475" s="86"/>
      <c r="Q475" s="86"/>
      <c r="R475" s="86"/>
      <c r="S475" s="86"/>
      <c r="T475" s="86"/>
      <c r="U475" s="86"/>
    </row>
    <row r="476">
      <c r="O476" s="86"/>
      <c r="P476" s="86"/>
      <c r="Q476" s="86"/>
      <c r="R476" s="86"/>
      <c r="S476" s="86"/>
      <c r="T476" s="86"/>
      <c r="U476" s="86"/>
    </row>
    <row r="477">
      <c r="O477" s="86"/>
      <c r="P477" s="86"/>
      <c r="Q477" s="86"/>
      <c r="R477" s="86"/>
      <c r="S477" s="86"/>
      <c r="T477" s="86"/>
      <c r="U477" s="86"/>
    </row>
    <row r="478">
      <c r="O478" s="86"/>
      <c r="P478" s="86"/>
      <c r="Q478" s="86"/>
      <c r="R478" s="86"/>
      <c r="S478" s="86"/>
      <c r="T478" s="86"/>
      <c r="U478" s="86"/>
    </row>
    <row r="479">
      <c r="O479" s="86"/>
      <c r="P479" s="86"/>
      <c r="Q479" s="86"/>
      <c r="R479" s="86"/>
      <c r="S479" s="86"/>
      <c r="T479" s="86"/>
      <c r="U479" s="86"/>
    </row>
    <row r="480">
      <c r="O480" s="86"/>
      <c r="P480" s="86"/>
      <c r="Q480" s="86"/>
      <c r="R480" s="86"/>
      <c r="S480" s="86"/>
      <c r="T480" s="86"/>
      <c r="U480" s="86"/>
    </row>
    <row r="481">
      <c r="O481" s="86"/>
      <c r="P481" s="86"/>
      <c r="Q481" s="86"/>
      <c r="R481" s="86"/>
      <c r="S481" s="86"/>
      <c r="T481" s="86"/>
      <c r="U481" s="86"/>
    </row>
    <row r="482">
      <c r="O482" s="86"/>
      <c r="P482" s="86"/>
      <c r="Q482" s="86"/>
      <c r="R482" s="86"/>
      <c r="S482" s="86"/>
      <c r="T482" s="86"/>
      <c r="U482" s="86"/>
    </row>
    <row r="483">
      <c r="O483" s="86"/>
      <c r="P483" s="86"/>
      <c r="Q483" s="86"/>
      <c r="R483" s="86"/>
      <c r="S483" s="86"/>
      <c r="T483" s="86"/>
      <c r="U483" s="86"/>
    </row>
    <row r="484">
      <c r="O484" s="86"/>
      <c r="P484" s="86"/>
      <c r="Q484" s="86"/>
      <c r="R484" s="86"/>
      <c r="S484" s="86"/>
      <c r="T484" s="86"/>
      <c r="U484" s="86"/>
    </row>
    <row r="485">
      <c r="O485" s="86"/>
      <c r="P485" s="86"/>
      <c r="Q485" s="86"/>
      <c r="R485" s="86"/>
      <c r="S485" s="86"/>
      <c r="T485" s="86"/>
      <c r="U485" s="86"/>
    </row>
    <row r="486">
      <c r="O486" s="86"/>
      <c r="P486" s="86"/>
      <c r="Q486" s="86"/>
      <c r="R486" s="86"/>
      <c r="S486" s="86"/>
      <c r="T486" s="86"/>
      <c r="U486" s="86"/>
    </row>
    <row r="487">
      <c r="O487" s="86"/>
      <c r="P487" s="86"/>
      <c r="Q487" s="86"/>
      <c r="R487" s="86"/>
      <c r="S487" s="86"/>
      <c r="T487" s="86"/>
      <c r="U487" s="86"/>
    </row>
    <row r="488">
      <c r="O488" s="86"/>
      <c r="P488" s="86"/>
      <c r="Q488" s="86"/>
      <c r="R488" s="86"/>
      <c r="S488" s="86"/>
      <c r="T488" s="86"/>
      <c r="U488" s="86"/>
    </row>
    <row r="489">
      <c r="O489" s="86"/>
      <c r="P489" s="86"/>
      <c r="Q489" s="86"/>
      <c r="R489" s="86"/>
      <c r="S489" s="86"/>
      <c r="T489" s="86"/>
      <c r="U489" s="86"/>
    </row>
    <row r="490">
      <c r="O490" s="86"/>
      <c r="P490" s="86"/>
      <c r="Q490" s="86"/>
      <c r="R490" s="86"/>
      <c r="S490" s="86"/>
      <c r="T490" s="86"/>
      <c r="U490" s="86"/>
    </row>
    <row r="491">
      <c r="O491" s="86"/>
      <c r="P491" s="86"/>
      <c r="Q491" s="86"/>
      <c r="R491" s="86"/>
      <c r="S491" s="86"/>
      <c r="T491" s="86"/>
      <c r="U491" s="86"/>
    </row>
    <row r="492">
      <c r="O492" s="86"/>
      <c r="P492" s="86"/>
      <c r="Q492" s="86"/>
      <c r="R492" s="86"/>
      <c r="S492" s="86"/>
      <c r="T492" s="86"/>
      <c r="U492" s="86"/>
    </row>
    <row r="493">
      <c r="O493" s="86"/>
      <c r="P493" s="86"/>
      <c r="Q493" s="86"/>
      <c r="R493" s="86"/>
      <c r="S493" s="86"/>
      <c r="T493" s="86"/>
      <c r="U493" s="86"/>
    </row>
    <row r="494">
      <c r="O494" s="86"/>
      <c r="P494" s="86"/>
      <c r="Q494" s="86"/>
      <c r="R494" s="86"/>
      <c r="S494" s="86"/>
      <c r="T494" s="86"/>
      <c r="U494" s="86"/>
    </row>
    <row r="495">
      <c r="O495" s="86"/>
      <c r="P495" s="86"/>
      <c r="Q495" s="86"/>
      <c r="R495" s="86"/>
      <c r="S495" s="86"/>
      <c r="T495" s="86"/>
      <c r="U495" s="86"/>
    </row>
    <row r="496">
      <c r="O496" s="86"/>
      <c r="P496" s="86"/>
      <c r="Q496" s="86"/>
      <c r="R496" s="86"/>
      <c r="S496" s="86"/>
      <c r="T496" s="86"/>
      <c r="U496" s="86"/>
    </row>
    <row r="497">
      <c r="O497" s="86"/>
      <c r="P497" s="86"/>
      <c r="Q497" s="86"/>
      <c r="R497" s="86"/>
      <c r="S497" s="86"/>
      <c r="T497" s="86"/>
      <c r="U497" s="86"/>
    </row>
    <row r="498">
      <c r="O498" s="86"/>
      <c r="P498" s="86"/>
      <c r="Q498" s="86"/>
      <c r="R498" s="86"/>
      <c r="S498" s="86"/>
      <c r="T498" s="86"/>
      <c r="U498" s="86"/>
    </row>
    <row r="499">
      <c r="O499" s="86"/>
      <c r="P499" s="86"/>
      <c r="Q499" s="86"/>
      <c r="R499" s="86"/>
      <c r="S499" s="86"/>
      <c r="T499" s="86"/>
      <c r="U499" s="86"/>
    </row>
    <row r="500">
      <c r="O500" s="86"/>
      <c r="P500" s="86"/>
      <c r="Q500" s="86"/>
      <c r="R500" s="86"/>
      <c r="S500" s="86"/>
      <c r="T500" s="86"/>
      <c r="U500" s="86"/>
    </row>
    <row r="501">
      <c r="O501" s="86"/>
      <c r="P501" s="86"/>
      <c r="Q501" s="86"/>
      <c r="R501" s="86"/>
      <c r="S501" s="86"/>
      <c r="T501" s="86"/>
      <c r="U501" s="86"/>
    </row>
    <row r="502">
      <c r="O502" s="86"/>
      <c r="P502" s="86"/>
      <c r="Q502" s="86"/>
      <c r="R502" s="86"/>
      <c r="S502" s="86"/>
      <c r="T502" s="86"/>
      <c r="U502" s="86"/>
    </row>
    <row r="503">
      <c r="O503" s="86"/>
      <c r="P503" s="86"/>
      <c r="Q503" s="86"/>
      <c r="R503" s="86"/>
      <c r="S503" s="86"/>
      <c r="T503" s="86"/>
      <c r="U503" s="86"/>
    </row>
    <row r="504">
      <c r="O504" s="86"/>
      <c r="P504" s="86"/>
      <c r="Q504" s="86"/>
      <c r="R504" s="86"/>
      <c r="S504" s="86"/>
      <c r="T504" s="86"/>
      <c r="U504" s="86"/>
    </row>
    <row r="505">
      <c r="O505" s="86"/>
      <c r="P505" s="86"/>
      <c r="Q505" s="86"/>
      <c r="R505" s="86"/>
      <c r="S505" s="86"/>
      <c r="T505" s="86"/>
      <c r="U505" s="86"/>
    </row>
    <row r="506">
      <c r="O506" s="86"/>
      <c r="P506" s="86"/>
      <c r="Q506" s="86"/>
      <c r="R506" s="86"/>
      <c r="S506" s="86"/>
      <c r="T506" s="86"/>
      <c r="U506" s="86"/>
    </row>
    <row r="507">
      <c r="O507" s="86"/>
      <c r="P507" s="86"/>
      <c r="Q507" s="86"/>
      <c r="R507" s="86"/>
      <c r="S507" s="86"/>
      <c r="T507" s="86"/>
      <c r="U507" s="86"/>
    </row>
    <row r="508">
      <c r="O508" s="86"/>
      <c r="P508" s="86"/>
      <c r="Q508" s="86"/>
      <c r="R508" s="86"/>
      <c r="S508" s="86"/>
      <c r="T508" s="86"/>
      <c r="U508" s="86"/>
    </row>
    <row r="509">
      <c r="O509" s="86"/>
      <c r="P509" s="86"/>
      <c r="Q509" s="86"/>
      <c r="R509" s="86"/>
      <c r="S509" s="86"/>
      <c r="T509" s="86"/>
      <c r="U509" s="86"/>
    </row>
    <row r="510">
      <c r="O510" s="86"/>
      <c r="P510" s="86"/>
      <c r="Q510" s="86"/>
      <c r="R510" s="86"/>
      <c r="S510" s="86"/>
      <c r="T510" s="86"/>
      <c r="U510" s="86"/>
    </row>
    <row r="511">
      <c r="O511" s="86"/>
      <c r="P511" s="86"/>
      <c r="Q511" s="86"/>
      <c r="R511" s="86"/>
      <c r="S511" s="86"/>
      <c r="T511" s="86"/>
      <c r="U511" s="86"/>
    </row>
    <row r="512">
      <c r="O512" s="86"/>
      <c r="P512" s="86"/>
      <c r="Q512" s="86"/>
      <c r="R512" s="86"/>
      <c r="S512" s="86"/>
      <c r="T512" s="86"/>
      <c r="U512" s="86"/>
    </row>
    <row r="513">
      <c r="O513" s="86"/>
      <c r="P513" s="86"/>
      <c r="Q513" s="86"/>
      <c r="R513" s="86"/>
      <c r="S513" s="86"/>
      <c r="T513" s="86"/>
      <c r="U513" s="86"/>
    </row>
    <row r="514">
      <c r="O514" s="86"/>
      <c r="P514" s="86"/>
      <c r="Q514" s="86"/>
      <c r="R514" s="86"/>
      <c r="S514" s="86"/>
      <c r="T514" s="86"/>
      <c r="U514" s="86"/>
    </row>
    <row r="515">
      <c r="O515" s="86"/>
      <c r="P515" s="86"/>
      <c r="Q515" s="86"/>
      <c r="R515" s="86"/>
      <c r="S515" s="86"/>
      <c r="T515" s="86"/>
      <c r="U515" s="86"/>
    </row>
    <row r="516">
      <c r="O516" s="86"/>
      <c r="P516" s="86"/>
      <c r="Q516" s="86"/>
      <c r="R516" s="86"/>
      <c r="S516" s="86"/>
      <c r="T516" s="86"/>
      <c r="U516" s="86"/>
    </row>
    <row r="517">
      <c r="O517" s="86"/>
      <c r="P517" s="86"/>
      <c r="Q517" s="86"/>
      <c r="R517" s="86"/>
      <c r="S517" s="86"/>
      <c r="T517" s="86"/>
      <c r="U517" s="86"/>
    </row>
    <row r="518">
      <c r="O518" s="86"/>
      <c r="P518" s="86"/>
      <c r="Q518" s="86"/>
      <c r="R518" s="86"/>
      <c r="S518" s="86"/>
      <c r="T518" s="86"/>
      <c r="U518" s="86"/>
    </row>
    <row r="519">
      <c r="O519" s="86"/>
      <c r="P519" s="86"/>
      <c r="Q519" s="86"/>
      <c r="R519" s="86"/>
      <c r="S519" s="86"/>
      <c r="T519" s="86"/>
      <c r="U519" s="86"/>
    </row>
    <row r="520">
      <c r="O520" s="86"/>
      <c r="P520" s="86"/>
      <c r="Q520" s="86"/>
      <c r="R520" s="86"/>
      <c r="S520" s="86"/>
      <c r="T520" s="86"/>
      <c r="U520" s="86"/>
    </row>
    <row r="521">
      <c r="O521" s="86"/>
      <c r="P521" s="86"/>
      <c r="Q521" s="86"/>
      <c r="R521" s="86"/>
      <c r="S521" s="86"/>
      <c r="T521" s="86"/>
      <c r="U521" s="86"/>
    </row>
    <row r="522">
      <c r="O522" s="86"/>
      <c r="P522" s="86"/>
      <c r="Q522" s="86"/>
      <c r="R522" s="86"/>
      <c r="S522" s="86"/>
      <c r="T522" s="86"/>
      <c r="U522" s="86"/>
    </row>
    <row r="523">
      <c r="O523" s="86"/>
      <c r="P523" s="86"/>
      <c r="Q523" s="86"/>
      <c r="R523" s="86"/>
      <c r="S523" s="86"/>
      <c r="T523" s="86"/>
      <c r="U523" s="86"/>
    </row>
    <row r="524">
      <c r="O524" s="86"/>
      <c r="P524" s="86"/>
      <c r="Q524" s="86"/>
      <c r="R524" s="86"/>
      <c r="S524" s="86"/>
      <c r="T524" s="86"/>
      <c r="U524" s="86"/>
    </row>
    <row r="525">
      <c r="O525" s="86"/>
      <c r="P525" s="86"/>
      <c r="Q525" s="86"/>
      <c r="R525" s="86"/>
      <c r="S525" s="86"/>
      <c r="T525" s="86"/>
      <c r="U525" s="86"/>
    </row>
    <row r="526">
      <c r="O526" s="86"/>
      <c r="P526" s="86"/>
      <c r="Q526" s="86"/>
      <c r="R526" s="86"/>
      <c r="S526" s="86"/>
      <c r="T526" s="86"/>
      <c r="U526" s="86"/>
    </row>
    <row r="527">
      <c r="O527" s="86"/>
      <c r="P527" s="86"/>
      <c r="Q527" s="86"/>
      <c r="R527" s="86"/>
      <c r="S527" s="86"/>
      <c r="T527" s="86"/>
      <c r="U527" s="86"/>
    </row>
    <row r="528">
      <c r="O528" s="86"/>
      <c r="P528" s="86"/>
      <c r="Q528" s="86"/>
      <c r="R528" s="86"/>
      <c r="S528" s="86"/>
      <c r="T528" s="86"/>
      <c r="U528" s="86"/>
    </row>
    <row r="529">
      <c r="O529" s="86"/>
      <c r="P529" s="86"/>
      <c r="Q529" s="86"/>
      <c r="R529" s="86"/>
      <c r="S529" s="86"/>
      <c r="T529" s="86"/>
      <c r="U529" s="86"/>
    </row>
    <row r="530">
      <c r="O530" s="86"/>
      <c r="P530" s="86"/>
      <c r="Q530" s="86"/>
      <c r="R530" s="86"/>
      <c r="S530" s="86"/>
      <c r="T530" s="86"/>
      <c r="U530" s="86"/>
    </row>
    <row r="531">
      <c r="O531" s="86"/>
      <c r="P531" s="86"/>
      <c r="Q531" s="86"/>
      <c r="R531" s="86"/>
      <c r="S531" s="86"/>
      <c r="T531" s="86"/>
      <c r="U531" s="86"/>
    </row>
    <row r="532">
      <c r="O532" s="86"/>
      <c r="P532" s="86"/>
      <c r="Q532" s="86"/>
      <c r="R532" s="86"/>
      <c r="S532" s="86"/>
      <c r="T532" s="86"/>
      <c r="U532" s="86"/>
    </row>
    <row r="533">
      <c r="O533" s="86"/>
      <c r="P533" s="86"/>
      <c r="Q533" s="86"/>
      <c r="R533" s="86"/>
      <c r="S533" s="86"/>
      <c r="T533" s="86"/>
      <c r="U533" s="86"/>
    </row>
    <row r="534">
      <c r="O534" s="86"/>
      <c r="P534" s="86"/>
      <c r="Q534" s="86"/>
      <c r="R534" s="86"/>
      <c r="S534" s="86"/>
      <c r="T534" s="86"/>
      <c r="U534" s="86"/>
    </row>
    <row r="535">
      <c r="O535" s="86"/>
      <c r="P535" s="86"/>
      <c r="Q535" s="86"/>
      <c r="R535" s="86"/>
      <c r="S535" s="86"/>
      <c r="T535" s="86"/>
      <c r="U535" s="86"/>
    </row>
    <row r="536">
      <c r="O536" s="86"/>
      <c r="P536" s="86"/>
      <c r="Q536" s="86"/>
      <c r="R536" s="86"/>
      <c r="S536" s="86"/>
      <c r="T536" s="86"/>
      <c r="U536" s="86"/>
    </row>
    <row r="537">
      <c r="O537" s="86"/>
      <c r="P537" s="86"/>
      <c r="Q537" s="86"/>
      <c r="R537" s="86"/>
      <c r="S537" s="86"/>
      <c r="T537" s="86"/>
      <c r="U537" s="86"/>
    </row>
    <row r="538">
      <c r="O538" s="86"/>
      <c r="P538" s="86"/>
      <c r="Q538" s="86"/>
      <c r="R538" s="86"/>
      <c r="S538" s="86"/>
      <c r="T538" s="86"/>
      <c r="U538" s="86"/>
    </row>
    <row r="539">
      <c r="O539" s="86"/>
      <c r="P539" s="86"/>
      <c r="Q539" s="86"/>
      <c r="R539" s="86"/>
      <c r="S539" s="86"/>
      <c r="T539" s="86"/>
      <c r="U539" s="86"/>
    </row>
    <row r="540">
      <c r="O540" s="86"/>
      <c r="P540" s="86"/>
      <c r="Q540" s="86"/>
      <c r="R540" s="86"/>
      <c r="S540" s="86"/>
      <c r="T540" s="86"/>
      <c r="U540" s="86"/>
    </row>
    <row r="541">
      <c r="O541" s="86"/>
      <c r="P541" s="86"/>
      <c r="Q541" s="86"/>
      <c r="R541" s="86"/>
      <c r="S541" s="86"/>
      <c r="T541" s="86"/>
      <c r="U541" s="86"/>
    </row>
    <row r="542">
      <c r="O542" s="86"/>
      <c r="P542" s="86"/>
      <c r="Q542" s="86"/>
      <c r="R542" s="86"/>
      <c r="S542" s="86"/>
      <c r="T542" s="86"/>
      <c r="U542" s="86"/>
    </row>
    <row r="543">
      <c r="O543" s="86"/>
      <c r="P543" s="86"/>
      <c r="Q543" s="86"/>
      <c r="R543" s="86"/>
      <c r="S543" s="86"/>
      <c r="T543" s="86"/>
      <c r="U543" s="86"/>
    </row>
    <row r="544">
      <c r="O544" s="86"/>
      <c r="P544" s="86"/>
      <c r="Q544" s="86"/>
      <c r="R544" s="86"/>
      <c r="S544" s="86"/>
      <c r="T544" s="86"/>
      <c r="U544" s="86"/>
    </row>
    <row r="545">
      <c r="O545" s="86"/>
      <c r="P545" s="86"/>
      <c r="Q545" s="86"/>
      <c r="R545" s="86"/>
      <c r="S545" s="86"/>
      <c r="T545" s="86"/>
      <c r="U545" s="86"/>
    </row>
    <row r="546">
      <c r="O546" s="86"/>
      <c r="P546" s="86"/>
      <c r="Q546" s="86"/>
      <c r="R546" s="86"/>
      <c r="S546" s="86"/>
      <c r="T546" s="86"/>
      <c r="U546" s="86"/>
    </row>
    <row r="547">
      <c r="O547" s="86"/>
      <c r="P547" s="86"/>
      <c r="Q547" s="86"/>
      <c r="R547" s="86"/>
      <c r="S547" s="86"/>
      <c r="T547" s="86"/>
      <c r="U547" s="86"/>
    </row>
    <row r="548">
      <c r="O548" s="86"/>
      <c r="P548" s="86"/>
      <c r="Q548" s="86"/>
      <c r="R548" s="86"/>
      <c r="S548" s="86"/>
      <c r="T548" s="86"/>
      <c r="U548" s="86"/>
    </row>
    <row r="549">
      <c r="O549" s="86"/>
      <c r="P549" s="86"/>
      <c r="Q549" s="86"/>
      <c r="R549" s="86"/>
      <c r="S549" s="86"/>
      <c r="T549" s="86"/>
      <c r="U549" s="86"/>
    </row>
    <row r="550">
      <c r="O550" s="86"/>
      <c r="P550" s="86"/>
      <c r="Q550" s="86"/>
      <c r="R550" s="86"/>
      <c r="S550" s="86"/>
      <c r="T550" s="86"/>
      <c r="U550" s="86"/>
    </row>
    <row r="551">
      <c r="O551" s="86"/>
      <c r="P551" s="86"/>
      <c r="Q551" s="86"/>
      <c r="R551" s="86"/>
      <c r="S551" s="86"/>
      <c r="T551" s="86"/>
      <c r="U551" s="86"/>
    </row>
    <row r="552">
      <c r="O552" s="86"/>
      <c r="P552" s="86"/>
      <c r="Q552" s="86"/>
      <c r="R552" s="86"/>
      <c r="S552" s="86"/>
      <c r="T552" s="86"/>
      <c r="U552" s="86"/>
    </row>
    <row r="553">
      <c r="O553" s="86"/>
      <c r="P553" s="86"/>
      <c r="Q553" s="86"/>
      <c r="R553" s="86"/>
      <c r="S553" s="86"/>
      <c r="T553" s="86"/>
      <c r="U553" s="86"/>
    </row>
    <row r="554">
      <c r="O554" s="86"/>
      <c r="P554" s="86"/>
      <c r="Q554" s="86"/>
      <c r="R554" s="86"/>
      <c r="S554" s="86"/>
      <c r="T554" s="86"/>
      <c r="U554" s="86"/>
    </row>
    <row r="555">
      <c r="O555" s="86"/>
      <c r="P555" s="86"/>
      <c r="Q555" s="86"/>
      <c r="R555" s="86"/>
      <c r="S555" s="86"/>
      <c r="T555" s="86"/>
      <c r="U555" s="86"/>
    </row>
    <row r="556">
      <c r="O556" s="86"/>
      <c r="P556" s="86"/>
      <c r="Q556" s="86"/>
      <c r="R556" s="86"/>
      <c r="S556" s="86"/>
      <c r="T556" s="86"/>
      <c r="U556" s="86"/>
    </row>
    <row r="557">
      <c r="O557" s="86"/>
      <c r="P557" s="86"/>
      <c r="Q557" s="86"/>
      <c r="R557" s="86"/>
      <c r="S557" s="86"/>
      <c r="T557" s="86"/>
      <c r="U557" s="86"/>
    </row>
    <row r="558">
      <c r="O558" s="86"/>
      <c r="P558" s="86"/>
      <c r="Q558" s="86"/>
      <c r="R558" s="86"/>
      <c r="S558" s="86"/>
      <c r="T558" s="86"/>
      <c r="U558" s="86"/>
    </row>
    <row r="559">
      <c r="O559" s="86"/>
      <c r="P559" s="86"/>
      <c r="Q559" s="86"/>
      <c r="R559" s="86"/>
      <c r="S559" s="86"/>
      <c r="T559" s="86"/>
      <c r="U559" s="86"/>
    </row>
    <row r="560">
      <c r="O560" s="86"/>
      <c r="P560" s="86"/>
      <c r="Q560" s="86"/>
      <c r="R560" s="86"/>
      <c r="S560" s="86"/>
      <c r="T560" s="86"/>
      <c r="U560" s="86"/>
    </row>
    <row r="561">
      <c r="O561" s="86"/>
      <c r="P561" s="86"/>
      <c r="Q561" s="86"/>
      <c r="R561" s="86"/>
      <c r="S561" s="86"/>
      <c r="T561" s="86"/>
      <c r="U561" s="86"/>
    </row>
    <row r="562">
      <c r="O562" s="86"/>
      <c r="P562" s="86"/>
      <c r="Q562" s="86"/>
      <c r="R562" s="86"/>
      <c r="S562" s="86"/>
      <c r="T562" s="86"/>
      <c r="U562" s="86"/>
    </row>
    <row r="563">
      <c r="O563" s="86"/>
      <c r="P563" s="86"/>
      <c r="Q563" s="86"/>
      <c r="R563" s="86"/>
      <c r="S563" s="86"/>
      <c r="T563" s="86"/>
      <c r="U563" s="86"/>
    </row>
    <row r="564">
      <c r="O564" s="86"/>
      <c r="P564" s="86"/>
      <c r="Q564" s="86"/>
      <c r="R564" s="86"/>
      <c r="S564" s="86"/>
      <c r="T564" s="86"/>
      <c r="U564" s="86"/>
    </row>
    <row r="565">
      <c r="O565" s="86"/>
      <c r="P565" s="86"/>
      <c r="Q565" s="86"/>
      <c r="R565" s="86"/>
      <c r="S565" s="86"/>
      <c r="T565" s="86"/>
      <c r="U565" s="86"/>
    </row>
    <row r="566">
      <c r="O566" s="86"/>
      <c r="P566" s="86"/>
      <c r="Q566" s="86"/>
      <c r="R566" s="86"/>
      <c r="S566" s="86"/>
      <c r="T566" s="86"/>
      <c r="U566" s="86"/>
    </row>
    <row r="567">
      <c r="O567" s="86"/>
      <c r="P567" s="86"/>
      <c r="Q567" s="86"/>
      <c r="R567" s="86"/>
      <c r="S567" s="86"/>
      <c r="T567" s="86"/>
      <c r="U567" s="86"/>
    </row>
    <row r="568">
      <c r="O568" s="86"/>
      <c r="P568" s="86"/>
      <c r="Q568" s="86"/>
      <c r="R568" s="86"/>
      <c r="S568" s="86"/>
      <c r="T568" s="86"/>
      <c r="U568" s="86"/>
    </row>
    <row r="569">
      <c r="O569" s="86"/>
      <c r="P569" s="86"/>
      <c r="Q569" s="86"/>
      <c r="R569" s="86"/>
      <c r="S569" s="86"/>
      <c r="T569" s="86"/>
      <c r="U569" s="86"/>
    </row>
    <row r="570">
      <c r="O570" s="86"/>
      <c r="P570" s="86"/>
      <c r="Q570" s="86"/>
      <c r="R570" s="86"/>
      <c r="S570" s="86"/>
      <c r="T570" s="86"/>
      <c r="U570" s="86"/>
    </row>
    <row r="571">
      <c r="O571" s="86"/>
      <c r="P571" s="86"/>
      <c r="Q571" s="86"/>
      <c r="R571" s="86"/>
      <c r="S571" s="86"/>
      <c r="T571" s="86"/>
      <c r="U571" s="86"/>
    </row>
    <row r="572">
      <c r="O572" s="86"/>
      <c r="P572" s="86"/>
      <c r="Q572" s="86"/>
      <c r="R572" s="86"/>
      <c r="S572" s="86"/>
      <c r="T572" s="86"/>
      <c r="U572" s="86"/>
    </row>
    <row r="573">
      <c r="O573" s="86"/>
      <c r="P573" s="86"/>
      <c r="Q573" s="86"/>
      <c r="R573" s="86"/>
      <c r="S573" s="86"/>
      <c r="T573" s="86"/>
      <c r="U573" s="86"/>
    </row>
    <row r="574">
      <c r="O574" s="86"/>
      <c r="P574" s="86"/>
      <c r="Q574" s="86"/>
      <c r="R574" s="86"/>
      <c r="S574" s="86"/>
      <c r="T574" s="86"/>
      <c r="U574" s="86"/>
    </row>
    <row r="575">
      <c r="O575" s="86"/>
      <c r="P575" s="86"/>
      <c r="Q575" s="86"/>
      <c r="R575" s="86"/>
      <c r="S575" s="86"/>
      <c r="T575" s="86"/>
      <c r="U575" s="86"/>
    </row>
    <row r="576">
      <c r="O576" s="86"/>
      <c r="P576" s="86"/>
      <c r="Q576" s="86"/>
      <c r="R576" s="86"/>
      <c r="S576" s="86"/>
      <c r="T576" s="86"/>
      <c r="U576" s="86"/>
    </row>
    <row r="577">
      <c r="O577" s="86"/>
      <c r="P577" s="86"/>
      <c r="Q577" s="86"/>
      <c r="R577" s="86"/>
      <c r="S577" s="86"/>
      <c r="T577" s="86"/>
      <c r="U577" s="86"/>
    </row>
    <row r="578">
      <c r="O578" s="86"/>
      <c r="P578" s="86"/>
      <c r="Q578" s="86"/>
      <c r="R578" s="86"/>
      <c r="S578" s="86"/>
      <c r="T578" s="86"/>
      <c r="U578" s="86"/>
    </row>
    <row r="579">
      <c r="O579" s="86"/>
      <c r="P579" s="86"/>
      <c r="Q579" s="86"/>
      <c r="R579" s="86"/>
      <c r="S579" s="86"/>
      <c r="T579" s="86"/>
      <c r="U579" s="86"/>
    </row>
    <row r="580">
      <c r="O580" s="86"/>
      <c r="P580" s="86"/>
      <c r="Q580" s="86"/>
      <c r="R580" s="86"/>
      <c r="S580" s="86"/>
      <c r="T580" s="86"/>
      <c r="U580" s="86"/>
    </row>
    <row r="581">
      <c r="O581" s="86"/>
      <c r="P581" s="86"/>
      <c r="Q581" s="86"/>
      <c r="R581" s="86"/>
      <c r="S581" s="86"/>
      <c r="T581" s="86"/>
      <c r="U581" s="86"/>
    </row>
    <row r="582">
      <c r="O582" s="86"/>
      <c r="P582" s="86"/>
      <c r="Q582" s="86"/>
      <c r="R582" s="86"/>
      <c r="S582" s="86"/>
      <c r="T582" s="86"/>
      <c r="U582" s="86"/>
    </row>
    <row r="583">
      <c r="O583" s="86"/>
      <c r="P583" s="86"/>
      <c r="Q583" s="86"/>
      <c r="R583" s="86"/>
      <c r="S583" s="86"/>
      <c r="T583" s="86"/>
      <c r="U583" s="86"/>
    </row>
    <row r="584">
      <c r="O584" s="86"/>
      <c r="P584" s="86"/>
      <c r="Q584" s="86"/>
      <c r="R584" s="86"/>
      <c r="S584" s="86"/>
      <c r="T584" s="86"/>
      <c r="U584" s="86"/>
    </row>
    <row r="585">
      <c r="O585" s="86"/>
      <c r="P585" s="86"/>
      <c r="Q585" s="86"/>
      <c r="R585" s="86"/>
      <c r="S585" s="86"/>
      <c r="T585" s="86"/>
      <c r="U585" s="86"/>
    </row>
    <row r="586">
      <c r="O586" s="86"/>
      <c r="P586" s="86"/>
      <c r="Q586" s="86"/>
      <c r="R586" s="86"/>
      <c r="S586" s="86"/>
      <c r="T586" s="86"/>
      <c r="U586" s="86"/>
    </row>
    <row r="587">
      <c r="O587" s="86"/>
      <c r="P587" s="86"/>
      <c r="Q587" s="86"/>
      <c r="R587" s="86"/>
      <c r="S587" s="86"/>
      <c r="T587" s="86"/>
      <c r="U587" s="86"/>
    </row>
    <row r="588">
      <c r="O588" s="86"/>
      <c r="P588" s="86"/>
      <c r="Q588" s="86"/>
      <c r="R588" s="86"/>
      <c r="S588" s="86"/>
      <c r="T588" s="86"/>
      <c r="U588" s="86"/>
    </row>
    <row r="589">
      <c r="O589" s="86"/>
      <c r="P589" s="86"/>
      <c r="Q589" s="86"/>
      <c r="R589" s="86"/>
      <c r="S589" s="86"/>
      <c r="T589" s="86"/>
      <c r="U589" s="86"/>
    </row>
    <row r="590">
      <c r="O590" s="86"/>
      <c r="P590" s="86"/>
      <c r="Q590" s="86"/>
      <c r="R590" s="86"/>
      <c r="S590" s="86"/>
      <c r="T590" s="86"/>
      <c r="U590" s="86"/>
    </row>
    <row r="591">
      <c r="O591" s="86"/>
      <c r="P591" s="86"/>
      <c r="Q591" s="86"/>
      <c r="R591" s="86"/>
      <c r="S591" s="86"/>
      <c r="T591" s="86"/>
      <c r="U591" s="86"/>
    </row>
    <row r="592">
      <c r="O592" s="86"/>
      <c r="P592" s="86"/>
      <c r="Q592" s="86"/>
      <c r="R592" s="86"/>
      <c r="S592" s="86"/>
      <c r="T592" s="86"/>
      <c r="U592" s="86"/>
    </row>
    <row r="593">
      <c r="O593" s="86"/>
      <c r="P593" s="86"/>
      <c r="Q593" s="86"/>
      <c r="R593" s="86"/>
      <c r="S593" s="86"/>
      <c r="T593" s="86"/>
      <c r="U593" s="86"/>
    </row>
    <row r="594">
      <c r="O594" s="86"/>
      <c r="P594" s="86"/>
      <c r="Q594" s="86"/>
      <c r="R594" s="86"/>
      <c r="S594" s="86"/>
      <c r="T594" s="86"/>
      <c r="U594" s="86"/>
    </row>
    <row r="595">
      <c r="O595" s="86"/>
      <c r="P595" s="86"/>
      <c r="Q595" s="86"/>
      <c r="R595" s="86"/>
      <c r="S595" s="86"/>
      <c r="T595" s="86"/>
      <c r="U595" s="86"/>
    </row>
    <row r="596">
      <c r="O596" s="86"/>
      <c r="P596" s="86"/>
      <c r="Q596" s="86"/>
      <c r="R596" s="86"/>
      <c r="S596" s="86"/>
      <c r="T596" s="86"/>
      <c r="U596" s="86"/>
    </row>
    <row r="597">
      <c r="O597" s="86"/>
      <c r="P597" s="86"/>
      <c r="Q597" s="86"/>
      <c r="R597" s="86"/>
      <c r="S597" s="86"/>
      <c r="T597" s="86"/>
      <c r="U597" s="86"/>
    </row>
    <row r="598">
      <c r="O598" s="86"/>
      <c r="P598" s="86"/>
      <c r="Q598" s="86"/>
      <c r="R598" s="86"/>
      <c r="S598" s="86"/>
      <c r="T598" s="86"/>
      <c r="U598" s="86"/>
    </row>
    <row r="599">
      <c r="O599" s="86"/>
      <c r="P599" s="86"/>
      <c r="Q599" s="86"/>
      <c r="R599" s="86"/>
      <c r="S599" s="86"/>
      <c r="T599" s="86"/>
      <c r="U599" s="86"/>
    </row>
    <row r="600">
      <c r="O600" s="86"/>
      <c r="P600" s="86"/>
      <c r="Q600" s="86"/>
      <c r="R600" s="86"/>
      <c r="S600" s="86"/>
      <c r="T600" s="86"/>
      <c r="U600" s="86"/>
    </row>
    <row r="601">
      <c r="O601" s="86"/>
      <c r="P601" s="86"/>
      <c r="Q601" s="86"/>
      <c r="R601" s="86"/>
      <c r="S601" s="86"/>
      <c r="T601" s="86"/>
      <c r="U601" s="86"/>
    </row>
    <row r="602">
      <c r="O602" s="86"/>
      <c r="P602" s="86"/>
      <c r="Q602" s="86"/>
      <c r="R602" s="86"/>
      <c r="S602" s="86"/>
      <c r="T602" s="86"/>
      <c r="U602" s="86"/>
    </row>
    <row r="603">
      <c r="O603" s="86"/>
      <c r="P603" s="86"/>
      <c r="Q603" s="86"/>
      <c r="R603" s="86"/>
      <c r="S603" s="86"/>
      <c r="T603" s="86"/>
      <c r="U603" s="86"/>
    </row>
    <row r="604">
      <c r="O604" s="86"/>
      <c r="P604" s="86"/>
      <c r="Q604" s="86"/>
      <c r="R604" s="86"/>
      <c r="S604" s="86"/>
      <c r="T604" s="86"/>
      <c r="U604" s="86"/>
    </row>
    <row r="605">
      <c r="O605" s="86"/>
      <c r="P605" s="86"/>
      <c r="Q605" s="86"/>
      <c r="R605" s="86"/>
      <c r="S605" s="86"/>
      <c r="T605" s="86"/>
      <c r="U605" s="86"/>
    </row>
    <row r="606">
      <c r="O606" s="86"/>
      <c r="P606" s="86"/>
      <c r="Q606" s="86"/>
      <c r="R606" s="86"/>
      <c r="S606" s="86"/>
      <c r="T606" s="86"/>
      <c r="U606" s="86"/>
    </row>
    <row r="607">
      <c r="O607" s="86"/>
      <c r="P607" s="86"/>
      <c r="Q607" s="86"/>
      <c r="R607" s="86"/>
      <c r="S607" s="86"/>
      <c r="T607" s="86"/>
      <c r="U607" s="86"/>
    </row>
    <row r="608">
      <c r="O608" s="86"/>
      <c r="P608" s="86"/>
      <c r="Q608" s="86"/>
      <c r="R608" s="86"/>
      <c r="S608" s="86"/>
      <c r="T608" s="86"/>
      <c r="U608" s="86"/>
    </row>
    <row r="609">
      <c r="O609" s="86"/>
      <c r="P609" s="86"/>
      <c r="Q609" s="86"/>
      <c r="R609" s="86"/>
      <c r="S609" s="86"/>
      <c r="T609" s="86"/>
      <c r="U609" s="86"/>
    </row>
    <row r="610">
      <c r="O610" s="86"/>
      <c r="P610" s="86"/>
      <c r="Q610" s="86"/>
      <c r="R610" s="86"/>
      <c r="S610" s="86"/>
      <c r="T610" s="86"/>
      <c r="U610" s="86"/>
    </row>
    <row r="611">
      <c r="O611" s="86"/>
      <c r="P611" s="86"/>
      <c r="Q611" s="86"/>
      <c r="R611" s="86"/>
      <c r="S611" s="86"/>
      <c r="T611" s="86"/>
      <c r="U611" s="86"/>
    </row>
    <row r="612">
      <c r="O612" s="86"/>
      <c r="P612" s="86"/>
      <c r="Q612" s="86"/>
      <c r="R612" s="86"/>
      <c r="S612" s="86"/>
      <c r="T612" s="86"/>
      <c r="U612" s="86"/>
    </row>
    <row r="613">
      <c r="O613" s="86"/>
      <c r="P613" s="86"/>
      <c r="Q613" s="86"/>
      <c r="R613" s="86"/>
      <c r="S613" s="86"/>
      <c r="T613" s="86"/>
      <c r="U613" s="86"/>
    </row>
    <row r="614">
      <c r="O614" s="86"/>
      <c r="P614" s="86"/>
      <c r="Q614" s="86"/>
      <c r="R614" s="86"/>
      <c r="S614" s="86"/>
      <c r="T614" s="86"/>
      <c r="U614" s="86"/>
    </row>
    <row r="615">
      <c r="O615" s="86"/>
      <c r="P615" s="86"/>
      <c r="Q615" s="86"/>
      <c r="R615" s="86"/>
      <c r="S615" s="86"/>
      <c r="T615" s="86"/>
      <c r="U615" s="86"/>
    </row>
    <row r="616">
      <c r="O616" s="86"/>
      <c r="P616" s="86"/>
      <c r="Q616" s="86"/>
      <c r="R616" s="86"/>
      <c r="S616" s="86"/>
      <c r="T616" s="86"/>
      <c r="U616" s="86"/>
    </row>
    <row r="617">
      <c r="O617" s="86"/>
      <c r="P617" s="86"/>
      <c r="Q617" s="86"/>
      <c r="R617" s="86"/>
      <c r="S617" s="86"/>
      <c r="T617" s="86"/>
      <c r="U617" s="86"/>
    </row>
    <row r="618">
      <c r="O618" s="86"/>
      <c r="P618" s="86"/>
      <c r="Q618" s="86"/>
      <c r="R618" s="86"/>
      <c r="S618" s="86"/>
      <c r="T618" s="86"/>
      <c r="U618" s="86"/>
    </row>
    <row r="619">
      <c r="O619" s="86"/>
      <c r="P619" s="86"/>
      <c r="Q619" s="86"/>
      <c r="R619" s="86"/>
      <c r="S619" s="86"/>
      <c r="T619" s="86"/>
      <c r="U619" s="86"/>
    </row>
    <row r="620">
      <c r="O620" s="86"/>
      <c r="P620" s="86"/>
      <c r="Q620" s="86"/>
      <c r="R620" s="86"/>
      <c r="S620" s="86"/>
      <c r="T620" s="86"/>
      <c r="U620" s="86"/>
    </row>
    <row r="621">
      <c r="O621" s="86"/>
      <c r="P621" s="86"/>
      <c r="Q621" s="86"/>
      <c r="R621" s="86"/>
      <c r="S621" s="86"/>
      <c r="T621" s="86"/>
      <c r="U621" s="86"/>
    </row>
    <row r="622">
      <c r="O622" s="86"/>
      <c r="P622" s="86"/>
      <c r="Q622" s="86"/>
      <c r="R622" s="86"/>
      <c r="S622" s="86"/>
      <c r="T622" s="86"/>
      <c r="U622" s="86"/>
    </row>
    <row r="623">
      <c r="O623" s="86"/>
      <c r="P623" s="86"/>
      <c r="Q623" s="86"/>
      <c r="R623" s="86"/>
      <c r="S623" s="86"/>
      <c r="T623" s="86"/>
      <c r="U623" s="86"/>
    </row>
    <row r="624">
      <c r="O624" s="86"/>
      <c r="P624" s="86"/>
      <c r="Q624" s="86"/>
      <c r="R624" s="86"/>
      <c r="S624" s="86"/>
      <c r="T624" s="86"/>
      <c r="U624" s="86"/>
    </row>
    <row r="625">
      <c r="O625" s="86"/>
      <c r="P625" s="86"/>
      <c r="Q625" s="86"/>
      <c r="R625" s="86"/>
      <c r="S625" s="86"/>
      <c r="T625" s="86"/>
      <c r="U625" s="86"/>
    </row>
    <row r="626">
      <c r="O626" s="86"/>
      <c r="P626" s="86"/>
      <c r="Q626" s="86"/>
      <c r="R626" s="86"/>
      <c r="S626" s="86"/>
      <c r="T626" s="86"/>
      <c r="U626" s="86"/>
    </row>
    <row r="627">
      <c r="O627" s="86"/>
      <c r="P627" s="86"/>
      <c r="Q627" s="86"/>
      <c r="R627" s="86"/>
      <c r="S627" s="86"/>
      <c r="T627" s="86"/>
      <c r="U627" s="86"/>
    </row>
    <row r="628">
      <c r="O628" s="86"/>
      <c r="P628" s="86"/>
      <c r="Q628" s="86"/>
      <c r="R628" s="86"/>
      <c r="S628" s="86"/>
      <c r="T628" s="86"/>
      <c r="U628" s="86"/>
    </row>
    <row r="629">
      <c r="O629" s="86"/>
      <c r="P629" s="86"/>
      <c r="Q629" s="86"/>
      <c r="R629" s="86"/>
      <c r="S629" s="86"/>
      <c r="T629" s="86"/>
      <c r="U629" s="86"/>
    </row>
    <row r="630">
      <c r="O630" s="86"/>
      <c r="P630" s="86"/>
      <c r="Q630" s="86"/>
      <c r="R630" s="86"/>
      <c r="S630" s="86"/>
      <c r="T630" s="86"/>
      <c r="U630" s="86"/>
    </row>
    <row r="631">
      <c r="O631" s="86"/>
      <c r="P631" s="86"/>
      <c r="Q631" s="86"/>
      <c r="R631" s="86"/>
      <c r="S631" s="86"/>
      <c r="T631" s="86"/>
      <c r="U631" s="86"/>
    </row>
    <row r="632">
      <c r="O632" s="86"/>
      <c r="P632" s="86"/>
      <c r="Q632" s="86"/>
      <c r="R632" s="86"/>
      <c r="S632" s="86"/>
      <c r="T632" s="86"/>
      <c r="U632" s="86"/>
    </row>
    <row r="633">
      <c r="O633" s="86"/>
      <c r="P633" s="86"/>
      <c r="Q633" s="86"/>
      <c r="R633" s="86"/>
      <c r="S633" s="86"/>
      <c r="T633" s="86"/>
      <c r="U633" s="86"/>
    </row>
    <row r="634">
      <c r="O634" s="86"/>
      <c r="P634" s="86"/>
      <c r="Q634" s="86"/>
      <c r="R634" s="86"/>
      <c r="S634" s="86"/>
      <c r="T634" s="86"/>
      <c r="U634" s="86"/>
    </row>
    <row r="635">
      <c r="O635" s="86"/>
      <c r="P635" s="86"/>
      <c r="Q635" s="86"/>
      <c r="R635" s="86"/>
      <c r="S635" s="86"/>
      <c r="T635" s="86"/>
      <c r="U635" s="86"/>
    </row>
    <row r="636">
      <c r="O636" s="86"/>
      <c r="P636" s="86"/>
      <c r="Q636" s="86"/>
      <c r="R636" s="86"/>
      <c r="S636" s="86"/>
      <c r="T636" s="86"/>
      <c r="U636" s="86"/>
    </row>
    <row r="637">
      <c r="O637" s="86"/>
      <c r="P637" s="86"/>
      <c r="Q637" s="86"/>
      <c r="R637" s="86"/>
      <c r="S637" s="86"/>
      <c r="T637" s="86"/>
      <c r="U637" s="86"/>
    </row>
    <row r="638">
      <c r="O638" s="86"/>
      <c r="P638" s="86"/>
      <c r="Q638" s="86"/>
      <c r="R638" s="86"/>
      <c r="S638" s="86"/>
      <c r="T638" s="86"/>
      <c r="U638" s="86"/>
    </row>
    <row r="639">
      <c r="O639" s="86"/>
      <c r="P639" s="86"/>
      <c r="Q639" s="86"/>
      <c r="R639" s="86"/>
      <c r="S639" s="86"/>
      <c r="T639" s="86"/>
      <c r="U639" s="86"/>
    </row>
    <row r="640">
      <c r="O640" s="86"/>
      <c r="P640" s="86"/>
      <c r="Q640" s="86"/>
      <c r="R640" s="86"/>
      <c r="S640" s="86"/>
      <c r="T640" s="86"/>
      <c r="U640" s="86"/>
    </row>
    <row r="641">
      <c r="O641" s="86"/>
      <c r="P641" s="86"/>
      <c r="Q641" s="86"/>
      <c r="R641" s="86"/>
      <c r="S641" s="86"/>
      <c r="T641" s="86"/>
      <c r="U641" s="86"/>
    </row>
    <row r="642">
      <c r="O642" s="86"/>
      <c r="P642" s="86"/>
      <c r="Q642" s="86"/>
      <c r="R642" s="86"/>
      <c r="S642" s="86"/>
      <c r="T642" s="86"/>
      <c r="U642" s="86"/>
    </row>
    <row r="643">
      <c r="O643" s="86"/>
      <c r="P643" s="86"/>
      <c r="Q643" s="86"/>
      <c r="R643" s="86"/>
      <c r="S643" s="86"/>
      <c r="T643" s="86"/>
      <c r="U643" s="86"/>
    </row>
    <row r="644">
      <c r="O644" s="86"/>
      <c r="P644" s="86"/>
      <c r="Q644" s="86"/>
      <c r="R644" s="86"/>
      <c r="S644" s="86"/>
      <c r="T644" s="86"/>
      <c r="U644" s="86"/>
    </row>
    <row r="645">
      <c r="O645" s="86"/>
      <c r="P645" s="86"/>
      <c r="Q645" s="86"/>
      <c r="R645" s="86"/>
      <c r="S645" s="86"/>
      <c r="T645" s="86"/>
      <c r="U645" s="86"/>
    </row>
    <row r="646">
      <c r="O646" s="86"/>
      <c r="P646" s="86"/>
      <c r="Q646" s="86"/>
      <c r="R646" s="86"/>
      <c r="S646" s="86"/>
      <c r="T646" s="86"/>
      <c r="U646" s="86"/>
    </row>
    <row r="647">
      <c r="O647" s="86"/>
      <c r="P647" s="86"/>
      <c r="Q647" s="86"/>
      <c r="R647" s="86"/>
      <c r="S647" s="86"/>
      <c r="T647" s="86"/>
      <c r="U647" s="86"/>
    </row>
    <row r="648">
      <c r="O648" s="86"/>
      <c r="P648" s="86"/>
      <c r="Q648" s="86"/>
      <c r="R648" s="86"/>
      <c r="S648" s="86"/>
      <c r="T648" s="86"/>
      <c r="U648" s="86"/>
    </row>
    <row r="649">
      <c r="O649" s="86"/>
      <c r="P649" s="86"/>
      <c r="Q649" s="86"/>
      <c r="R649" s="86"/>
      <c r="S649" s="86"/>
      <c r="T649" s="86"/>
      <c r="U649" s="86"/>
    </row>
    <row r="650">
      <c r="O650" s="86"/>
      <c r="P650" s="86"/>
      <c r="Q650" s="86"/>
      <c r="R650" s="86"/>
      <c r="S650" s="86"/>
      <c r="T650" s="86"/>
      <c r="U650" s="86"/>
    </row>
    <row r="651">
      <c r="O651" s="86"/>
      <c r="P651" s="86"/>
      <c r="Q651" s="86"/>
      <c r="R651" s="86"/>
      <c r="S651" s="86"/>
      <c r="T651" s="86"/>
      <c r="U651" s="86"/>
    </row>
    <row r="652">
      <c r="O652" s="86"/>
      <c r="P652" s="86"/>
      <c r="Q652" s="86"/>
      <c r="R652" s="86"/>
      <c r="S652" s="86"/>
      <c r="T652" s="86"/>
      <c r="U652" s="86"/>
    </row>
    <row r="653">
      <c r="O653" s="86"/>
      <c r="P653" s="86"/>
      <c r="Q653" s="86"/>
      <c r="R653" s="86"/>
      <c r="S653" s="86"/>
      <c r="T653" s="86"/>
      <c r="U653" s="86"/>
    </row>
    <row r="654">
      <c r="O654" s="86"/>
      <c r="P654" s="86"/>
      <c r="Q654" s="86"/>
      <c r="R654" s="86"/>
      <c r="S654" s="86"/>
      <c r="T654" s="86"/>
      <c r="U654" s="86"/>
    </row>
    <row r="655">
      <c r="O655" s="86"/>
      <c r="P655" s="86"/>
      <c r="Q655" s="86"/>
      <c r="R655" s="86"/>
      <c r="S655" s="86"/>
      <c r="T655" s="86"/>
      <c r="U655" s="86"/>
    </row>
    <row r="656">
      <c r="O656" s="86"/>
      <c r="P656" s="86"/>
      <c r="Q656" s="86"/>
      <c r="R656" s="86"/>
      <c r="S656" s="86"/>
      <c r="T656" s="86"/>
      <c r="U656" s="86"/>
    </row>
    <row r="657">
      <c r="O657" s="86"/>
      <c r="P657" s="86"/>
      <c r="Q657" s="86"/>
      <c r="R657" s="86"/>
      <c r="S657" s="86"/>
      <c r="T657" s="86"/>
      <c r="U657" s="86"/>
    </row>
    <row r="658">
      <c r="O658" s="86"/>
      <c r="P658" s="86"/>
      <c r="Q658" s="86"/>
      <c r="R658" s="86"/>
      <c r="S658" s="86"/>
      <c r="T658" s="86"/>
      <c r="U658" s="86"/>
    </row>
    <row r="659">
      <c r="O659" s="86"/>
      <c r="P659" s="86"/>
      <c r="Q659" s="86"/>
      <c r="R659" s="86"/>
      <c r="S659" s="86"/>
      <c r="T659" s="86"/>
      <c r="U659" s="86"/>
    </row>
    <row r="660">
      <c r="O660" s="86"/>
      <c r="P660" s="86"/>
      <c r="Q660" s="86"/>
      <c r="R660" s="86"/>
      <c r="S660" s="86"/>
      <c r="T660" s="86"/>
      <c r="U660" s="86"/>
    </row>
    <row r="661">
      <c r="O661" s="86"/>
      <c r="P661" s="86"/>
      <c r="Q661" s="86"/>
      <c r="R661" s="86"/>
      <c r="S661" s="86"/>
      <c r="T661" s="86"/>
      <c r="U661" s="86"/>
    </row>
    <row r="662">
      <c r="O662" s="86"/>
      <c r="P662" s="86"/>
      <c r="Q662" s="86"/>
      <c r="R662" s="86"/>
      <c r="S662" s="86"/>
      <c r="T662" s="86"/>
      <c r="U662" s="86"/>
    </row>
    <row r="663">
      <c r="O663" s="86"/>
      <c r="P663" s="86"/>
      <c r="Q663" s="86"/>
      <c r="R663" s="86"/>
      <c r="S663" s="86"/>
      <c r="T663" s="86"/>
      <c r="U663" s="86"/>
    </row>
    <row r="664">
      <c r="O664" s="86"/>
      <c r="P664" s="86"/>
      <c r="Q664" s="86"/>
      <c r="R664" s="86"/>
      <c r="S664" s="86"/>
      <c r="T664" s="86"/>
      <c r="U664" s="86"/>
    </row>
    <row r="665">
      <c r="O665" s="86"/>
      <c r="P665" s="86"/>
      <c r="Q665" s="86"/>
      <c r="R665" s="86"/>
      <c r="S665" s="86"/>
      <c r="T665" s="86"/>
      <c r="U665" s="86"/>
    </row>
    <row r="666">
      <c r="O666" s="86"/>
      <c r="P666" s="86"/>
      <c r="Q666" s="86"/>
      <c r="R666" s="86"/>
      <c r="S666" s="86"/>
      <c r="T666" s="86"/>
      <c r="U666" s="86"/>
    </row>
    <row r="667">
      <c r="O667" s="86"/>
      <c r="P667" s="86"/>
      <c r="Q667" s="86"/>
      <c r="R667" s="86"/>
      <c r="S667" s="86"/>
      <c r="T667" s="86"/>
      <c r="U667" s="86"/>
    </row>
    <row r="668">
      <c r="O668" s="86"/>
      <c r="P668" s="86"/>
      <c r="Q668" s="86"/>
      <c r="R668" s="86"/>
      <c r="S668" s="86"/>
      <c r="T668" s="86"/>
      <c r="U668" s="86"/>
    </row>
    <row r="669">
      <c r="O669" s="86"/>
      <c r="P669" s="86"/>
      <c r="Q669" s="86"/>
      <c r="R669" s="86"/>
      <c r="S669" s="86"/>
      <c r="T669" s="86"/>
      <c r="U669" s="86"/>
    </row>
    <row r="670">
      <c r="O670" s="86"/>
      <c r="P670" s="86"/>
      <c r="Q670" s="86"/>
      <c r="R670" s="86"/>
      <c r="S670" s="86"/>
      <c r="T670" s="86"/>
      <c r="U670" s="86"/>
    </row>
    <row r="671">
      <c r="O671" s="86"/>
      <c r="P671" s="86"/>
      <c r="Q671" s="86"/>
      <c r="R671" s="86"/>
      <c r="S671" s="86"/>
      <c r="T671" s="86"/>
      <c r="U671" s="86"/>
    </row>
    <row r="672">
      <c r="O672" s="86"/>
      <c r="P672" s="86"/>
      <c r="Q672" s="86"/>
      <c r="R672" s="86"/>
      <c r="S672" s="86"/>
      <c r="T672" s="86"/>
      <c r="U672" s="86"/>
    </row>
    <row r="673">
      <c r="O673" s="86"/>
      <c r="P673" s="86"/>
      <c r="Q673" s="86"/>
      <c r="R673" s="86"/>
      <c r="S673" s="86"/>
      <c r="T673" s="86"/>
      <c r="U673" s="86"/>
    </row>
    <row r="674">
      <c r="O674" s="86"/>
      <c r="P674" s="86"/>
      <c r="Q674" s="86"/>
      <c r="R674" s="86"/>
      <c r="S674" s="86"/>
      <c r="T674" s="86"/>
      <c r="U674" s="86"/>
    </row>
    <row r="675">
      <c r="O675" s="86"/>
      <c r="P675" s="86"/>
      <c r="Q675" s="86"/>
      <c r="R675" s="86"/>
      <c r="S675" s="86"/>
      <c r="T675" s="86"/>
      <c r="U675" s="86"/>
    </row>
    <row r="676">
      <c r="O676" s="86"/>
      <c r="P676" s="86"/>
      <c r="Q676" s="86"/>
      <c r="R676" s="86"/>
      <c r="S676" s="86"/>
      <c r="T676" s="86"/>
      <c r="U676" s="86"/>
    </row>
    <row r="677">
      <c r="O677" s="86"/>
      <c r="P677" s="86"/>
      <c r="Q677" s="86"/>
      <c r="R677" s="86"/>
      <c r="S677" s="86"/>
      <c r="T677" s="86"/>
      <c r="U677" s="86"/>
    </row>
    <row r="678">
      <c r="O678" s="86"/>
      <c r="P678" s="86"/>
      <c r="Q678" s="86"/>
      <c r="R678" s="86"/>
      <c r="S678" s="86"/>
      <c r="T678" s="86"/>
      <c r="U678" s="86"/>
    </row>
    <row r="679">
      <c r="O679" s="86"/>
      <c r="P679" s="86"/>
      <c r="Q679" s="86"/>
      <c r="R679" s="86"/>
      <c r="S679" s="86"/>
      <c r="T679" s="86"/>
      <c r="U679" s="86"/>
    </row>
    <row r="680">
      <c r="O680" s="86"/>
      <c r="P680" s="86"/>
      <c r="Q680" s="86"/>
      <c r="R680" s="86"/>
      <c r="S680" s="86"/>
      <c r="T680" s="86"/>
      <c r="U680" s="86"/>
    </row>
    <row r="681">
      <c r="O681" s="86"/>
      <c r="P681" s="86"/>
      <c r="Q681" s="86"/>
      <c r="R681" s="86"/>
      <c r="S681" s="86"/>
      <c r="T681" s="86"/>
      <c r="U681" s="86"/>
    </row>
    <row r="682">
      <c r="O682" s="86"/>
      <c r="P682" s="86"/>
      <c r="Q682" s="86"/>
      <c r="R682" s="86"/>
      <c r="S682" s="86"/>
      <c r="T682" s="86"/>
      <c r="U682" s="86"/>
    </row>
    <row r="683">
      <c r="O683" s="86"/>
      <c r="P683" s="86"/>
      <c r="Q683" s="86"/>
      <c r="R683" s="86"/>
      <c r="S683" s="86"/>
      <c r="T683" s="86"/>
      <c r="U683" s="86"/>
    </row>
    <row r="684">
      <c r="O684" s="86"/>
      <c r="P684" s="86"/>
      <c r="Q684" s="86"/>
      <c r="R684" s="86"/>
      <c r="S684" s="86"/>
      <c r="T684" s="86"/>
      <c r="U684" s="86"/>
    </row>
    <row r="685">
      <c r="O685" s="86"/>
      <c r="P685" s="86"/>
      <c r="Q685" s="86"/>
      <c r="R685" s="86"/>
      <c r="S685" s="86"/>
      <c r="T685" s="86"/>
      <c r="U685" s="86"/>
    </row>
    <row r="686">
      <c r="O686" s="86"/>
      <c r="P686" s="86"/>
      <c r="Q686" s="86"/>
      <c r="R686" s="86"/>
      <c r="S686" s="86"/>
      <c r="T686" s="86"/>
      <c r="U686" s="86"/>
    </row>
    <row r="687">
      <c r="O687" s="86"/>
      <c r="P687" s="86"/>
      <c r="Q687" s="86"/>
      <c r="R687" s="86"/>
      <c r="S687" s="86"/>
      <c r="T687" s="86"/>
      <c r="U687" s="86"/>
    </row>
    <row r="688">
      <c r="O688" s="86"/>
      <c r="P688" s="86"/>
      <c r="Q688" s="86"/>
      <c r="R688" s="86"/>
      <c r="S688" s="86"/>
      <c r="T688" s="86"/>
      <c r="U688" s="86"/>
    </row>
    <row r="689">
      <c r="O689" s="86"/>
      <c r="P689" s="86"/>
      <c r="Q689" s="86"/>
      <c r="R689" s="86"/>
      <c r="S689" s="86"/>
      <c r="T689" s="86"/>
      <c r="U689" s="86"/>
    </row>
    <row r="690">
      <c r="O690" s="86"/>
      <c r="P690" s="86"/>
      <c r="Q690" s="86"/>
      <c r="R690" s="86"/>
      <c r="S690" s="86"/>
      <c r="T690" s="86"/>
      <c r="U690" s="86"/>
    </row>
    <row r="691">
      <c r="O691" s="86"/>
      <c r="P691" s="86"/>
      <c r="Q691" s="86"/>
      <c r="R691" s="86"/>
      <c r="S691" s="86"/>
      <c r="T691" s="86"/>
      <c r="U691" s="86"/>
    </row>
    <row r="692">
      <c r="O692" s="86"/>
      <c r="P692" s="86"/>
      <c r="Q692" s="86"/>
      <c r="R692" s="86"/>
      <c r="S692" s="86"/>
      <c r="T692" s="86"/>
      <c r="U692" s="86"/>
    </row>
    <row r="693">
      <c r="O693" s="86"/>
      <c r="P693" s="86"/>
      <c r="Q693" s="86"/>
      <c r="R693" s="86"/>
      <c r="S693" s="86"/>
      <c r="T693" s="86"/>
      <c r="U693" s="86"/>
    </row>
    <row r="694">
      <c r="O694" s="86"/>
      <c r="P694" s="86"/>
      <c r="Q694" s="86"/>
      <c r="R694" s="86"/>
      <c r="S694" s="86"/>
      <c r="T694" s="86"/>
      <c r="U694" s="86"/>
    </row>
    <row r="695">
      <c r="O695" s="86"/>
      <c r="P695" s="86"/>
      <c r="Q695" s="86"/>
      <c r="R695" s="86"/>
      <c r="S695" s="86"/>
      <c r="T695" s="86"/>
      <c r="U695" s="86"/>
    </row>
    <row r="696">
      <c r="O696" s="86"/>
      <c r="P696" s="86"/>
      <c r="Q696" s="86"/>
      <c r="R696" s="86"/>
      <c r="S696" s="86"/>
      <c r="T696" s="86"/>
      <c r="U696" s="86"/>
    </row>
    <row r="697">
      <c r="O697" s="86"/>
      <c r="P697" s="86"/>
      <c r="Q697" s="86"/>
      <c r="R697" s="86"/>
      <c r="S697" s="86"/>
      <c r="T697" s="86"/>
      <c r="U697" s="86"/>
    </row>
    <row r="698">
      <c r="O698" s="86"/>
      <c r="P698" s="86"/>
      <c r="Q698" s="86"/>
      <c r="R698" s="86"/>
      <c r="S698" s="86"/>
      <c r="T698" s="86"/>
      <c r="U698" s="86"/>
    </row>
    <row r="699">
      <c r="O699" s="86"/>
      <c r="P699" s="86"/>
      <c r="Q699" s="86"/>
      <c r="R699" s="86"/>
      <c r="S699" s="86"/>
      <c r="T699" s="86"/>
      <c r="U699" s="86"/>
    </row>
    <row r="700">
      <c r="O700" s="86"/>
      <c r="P700" s="86"/>
      <c r="Q700" s="86"/>
      <c r="R700" s="86"/>
      <c r="S700" s="86"/>
      <c r="T700" s="86"/>
      <c r="U700" s="86"/>
    </row>
    <row r="701">
      <c r="O701" s="86"/>
      <c r="P701" s="86"/>
      <c r="Q701" s="86"/>
      <c r="R701" s="86"/>
      <c r="S701" s="86"/>
      <c r="T701" s="86"/>
      <c r="U701" s="86"/>
    </row>
    <row r="702">
      <c r="O702" s="86"/>
      <c r="P702" s="86"/>
      <c r="Q702" s="86"/>
      <c r="R702" s="86"/>
      <c r="S702" s="86"/>
      <c r="T702" s="86"/>
      <c r="U702" s="86"/>
    </row>
    <row r="703">
      <c r="O703" s="86"/>
      <c r="P703" s="86"/>
      <c r="Q703" s="86"/>
      <c r="R703" s="86"/>
      <c r="S703" s="86"/>
      <c r="T703" s="86"/>
      <c r="U703" s="86"/>
    </row>
    <row r="704">
      <c r="O704" s="86"/>
      <c r="P704" s="86"/>
      <c r="Q704" s="86"/>
      <c r="R704" s="86"/>
      <c r="S704" s="86"/>
      <c r="T704" s="86"/>
      <c r="U704" s="86"/>
    </row>
    <row r="705">
      <c r="O705" s="86"/>
      <c r="P705" s="86"/>
      <c r="Q705" s="86"/>
      <c r="R705" s="86"/>
      <c r="S705" s="86"/>
      <c r="T705" s="86"/>
      <c r="U705" s="86"/>
    </row>
    <row r="706">
      <c r="O706" s="86"/>
      <c r="P706" s="86"/>
      <c r="Q706" s="86"/>
      <c r="R706" s="86"/>
      <c r="S706" s="86"/>
      <c r="T706" s="86"/>
      <c r="U706" s="86"/>
    </row>
    <row r="707">
      <c r="O707" s="86"/>
      <c r="P707" s="86"/>
      <c r="Q707" s="86"/>
      <c r="R707" s="86"/>
      <c r="S707" s="86"/>
      <c r="T707" s="86"/>
      <c r="U707" s="86"/>
    </row>
    <row r="708">
      <c r="O708" s="86"/>
      <c r="P708" s="86"/>
      <c r="Q708" s="86"/>
      <c r="R708" s="86"/>
      <c r="S708" s="86"/>
      <c r="T708" s="86"/>
      <c r="U708" s="86"/>
    </row>
    <row r="709">
      <c r="O709" s="86"/>
      <c r="P709" s="86"/>
      <c r="Q709" s="86"/>
      <c r="R709" s="86"/>
      <c r="S709" s="86"/>
      <c r="T709" s="86"/>
      <c r="U709" s="86"/>
    </row>
    <row r="710">
      <c r="O710" s="86"/>
      <c r="P710" s="86"/>
      <c r="Q710" s="86"/>
      <c r="R710" s="86"/>
      <c r="S710" s="86"/>
      <c r="T710" s="86"/>
      <c r="U710" s="86"/>
    </row>
    <row r="711">
      <c r="O711" s="86"/>
      <c r="P711" s="86"/>
      <c r="Q711" s="86"/>
      <c r="R711" s="86"/>
      <c r="S711" s="86"/>
      <c r="T711" s="86"/>
      <c r="U711" s="86"/>
    </row>
    <row r="712">
      <c r="O712" s="86"/>
      <c r="P712" s="86"/>
      <c r="Q712" s="86"/>
      <c r="R712" s="86"/>
      <c r="S712" s="86"/>
      <c r="T712" s="86"/>
      <c r="U712" s="86"/>
    </row>
    <row r="713">
      <c r="O713" s="86"/>
      <c r="P713" s="86"/>
      <c r="Q713" s="86"/>
      <c r="R713" s="86"/>
      <c r="S713" s="86"/>
      <c r="T713" s="86"/>
      <c r="U713" s="86"/>
    </row>
    <row r="714">
      <c r="O714" s="86"/>
      <c r="P714" s="86"/>
      <c r="Q714" s="86"/>
      <c r="R714" s="86"/>
      <c r="S714" s="86"/>
      <c r="T714" s="86"/>
      <c r="U714" s="86"/>
    </row>
    <row r="715">
      <c r="O715" s="86"/>
      <c r="P715" s="86"/>
      <c r="Q715" s="86"/>
      <c r="R715" s="86"/>
      <c r="S715" s="86"/>
      <c r="T715" s="86"/>
      <c r="U715" s="86"/>
    </row>
    <row r="716">
      <c r="O716" s="86"/>
      <c r="P716" s="86"/>
      <c r="Q716" s="86"/>
      <c r="R716" s="86"/>
      <c r="S716" s="86"/>
      <c r="T716" s="86"/>
      <c r="U716" s="86"/>
    </row>
    <row r="717">
      <c r="O717" s="86"/>
      <c r="P717" s="86"/>
      <c r="Q717" s="86"/>
      <c r="R717" s="86"/>
      <c r="S717" s="86"/>
      <c r="T717" s="86"/>
      <c r="U717" s="86"/>
    </row>
    <row r="718">
      <c r="O718" s="86"/>
      <c r="P718" s="86"/>
      <c r="Q718" s="86"/>
      <c r="R718" s="86"/>
      <c r="S718" s="86"/>
      <c r="T718" s="86"/>
      <c r="U718" s="86"/>
    </row>
    <row r="719">
      <c r="O719" s="86"/>
      <c r="P719" s="86"/>
      <c r="Q719" s="86"/>
      <c r="R719" s="86"/>
      <c r="S719" s="86"/>
      <c r="T719" s="86"/>
      <c r="U719" s="86"/>
    </row>
    <row r="720">
      <c r="O720" s="86"/>
      <c r="P720" s="86"/>
      <c r="Q720" s="86"/>
      <c r="R720" s="86"/>
      <c r="S720" s="86"/>
      <c r="T720" s="86"/>
      <c r="U720" s="86"/>
    </row>
    <row r="721">
      <c r="O721" s="86"/>
      <c r="P721" s="86"/>
      <c r="Q721" s="86"/>
      <c r="R721" s="86"/>
      <c r="S721" s="86"/>
      <c r="T721" s="86"/>
      <c r="U721" s="86"/>
    </row>
    <row r="722">
      <c r="O722" s="86"/>
      <c r="P722" s="86"/>
      <c r="Q722" s="86"/>
      <c r="R722" s="86"/>
      <c r="S722" s="86"/>
      <c r="T722" s="86"/>
      <c r="U722" s="86"/>
    </row>
    <row r="723">
      <c r="O723" s="86"/>
      <c r="P723" s="86"/>
      <c r="Q723" s="86"/>
      <c r="R723" s="86"/>
      <c r="S723" s="86"/>
      <c r="T723" s="86"/>
      <c r="U723" s="86"/>
    </row>
    <row r="724">
      <c r="O724" s="86"/>
      <c r="P724" s="86"/>
      <c r="Q724" s="86"/>
      <c r="R724" s="86"/>
      <c r="S724" s="86"/>
      <c r="T724" s="86"/>
      <c r="U724" s="86"/>
    </row>
    <row r="725">
      <c r="O725" s="86"/>
      <c r="P725" s="86"/>
      <c r="Q725" s="86"/>
      <c r="R725" s="86"/>
      <c r="S725" s="86"/>
      <c r="T725" s="86"/>
      <c r="U725" s="86"/>
    </row>
    <row r="726">
      <c r="O726" s="86"/>
      <c r="P726" s="86"/>
      <c r="Q726" s="86"/>
      <c r="R726" s="86"/>
      <c r="S726" s="86"/>
      <c r="T726" s="86"/>
      <c r="U726" s="86"/>
    </row>
    <row r="727">
      <c r="O727" s="86"/>
      <c r="P727" s="86"/>
      <c r="Q727" s="86"/>
      <c r="R727" s="86"/>
      <c r="S727" s="86"/>
      <c r="T727" s="86"/>
      <c r="U727" s="86"/>
    </row>
    <row r="728">
      <c r="O728" s="86"/>
      <c r="P728" s="86"/>
      <c r="Q728" s="86"/>
      <c r="R728" s="86"/>
      <c r="S728" s="86"/>
      <c r="T728" s="86"/>
      <c r="U728" s="86"/>
    </row>
    <row r="729">
      <c r="O729" s="86"/>
      <c r="P729" s="86"/>
      <c r="Q729" s="86"/>
      <c r="R729" s="86"/>
      <c r="S729" s="86"/>
      <c r="T729" s="86"/>
      <c r="U729" s="86"/>
    </row>
    <row r="730">
      <c r="O730" s="86"/>
      <c r="P730" s="86"/>
      <c r="Q730" s="86"/>
      <c r="R730" s="86"/>
      <c r="S730" s="86"/>
      <c r="T730" s="86"/>
      <c r="U730" s="86"/>
    </row>
    <row r="731">
      <c r="O731" s="86"/>
      <c r="P731" s="86"/>
      <c r="Q731" s="86"/>
      <c r="R731" s="86"/>
      <c r="S731" s="86"/>
      <c r="T731" s="86"/>
      <c r="U731" s="86"/>
    </row>
    <row r="732">
      <c r="O732" s="86"/>
      <c r="P732" s="86"/>
      <c r="Q732" s="86"/>
      <c r="R732" s="86"/>
      <c r="S732" s="86"/>
      <c r="T732" s="86"/>
      <c r="U732" s="86"/>
    </row>
    <row r="733">
      <c r="O733" s="86"/>
      <c r="P733" s="86"/>
      <c r="Q733" s="86"/>
      <c r="R733" s="86"/>
      <c r="S733" s="86"/>
      <c r="T733" s="86"/>
      <c r="U733" s="86"/>
    </row>
    <row r="734">
      <c r="O734" s="86"/>
      <c r="P734" s="86"/>
      <c r="Q734" s="86"/>
      <c r="R734" s="86"/>
      <c r="S734" s="86"/>
      <c r="T734" s="86"/>
      <c r="U734" s="86"/>
    </row>
    <row r="735">
      <c r="O735" s="86"/>
      <c r="P735" s="86"/>
      <c r="Q735" s="86"/>
      <c r="R735" s="86"/>
      <c r="S735" s="86"/>
      <c r="T735" s="86"/>
      <c r="U735" s="86"/>
    </row>
    <row r="736">
      <c r="O736" s="86"/>
      <c r="P736" s="86"/>
      <c r="Q736" s="86"/>
      <c r="R736" s="86"/>
      <c r="S736" s="86"/>
      <c r="T736" s="86"/>
      <c r="U736" s="86"/>
    </row>
    <row r="737">
      <c r="O737" s="86"/>
      <c r="P737" s="86"/>
      <c r="Q737" s="86"/>
      <c r="R737" s="86"/>
      <c r="S737" s="86"/>
      <c r="T737" s="86"/>
      <c r="U737" s="86"/>
    </row>
    <row r="738">
      <c r="O738" s="86"/>
      <c r="P738" s="86"/>
      <c r="Q738" s="86"/>
      <c r="R738" s="86"/>
      <c r="S738" s="86"/>
      <c r="T738" s="86"/>
      <c r="U738" s="86"/>
    </row>
    <row r="739">
      <c r="O739" s="86"/>
      <c r="P739" s="86"/>
      <c r="Q739" s="86"/>
      <c r="R739" s="86"/>
      <c r="S739" s="86"/>
      <c r="T739" s="86"/>
      <c r="U739" s="86"/>
    </row>
    <row r="740">
      <c r="O740" s="86"/>
      <c r="P740" s="86"/>
      <c r="Q740" s="86"/>
      <c r="R740" s="86"/>
      <c r="S740" s="86"/>
      <c r="T740" s="86"/>
      <c r="U740" s="86"/>
    </row>
    <row r="741">
      <c r="O741" s="86"/>
      <c r="P741" s="86"/>
      <c r="Q741" s="86"/>
      <c r="R741" s="86"/>
      <c r="S741" s="86"/>
      <c r="T741" s="86"/>
      <c r="U741" s="86"/>
    </row>
    <row r="742">
      <c r="O742" s="86"/>
      <c r="P742" s="86"/>
      <c r="Q742" s="86"/>
      <c r="R742" s="86"/>
      <c r="S742" s="86"/>
      <c r="T742" s="86"/>
      <c r="U742" s="86"/>
    </row>
    <row r="743">
      <c r="O743" s="86"/>
      <c r="P743" s="86"/>
      <c r="Q743" s="86"/>
      <c r="R743" s="86"/>
      <c r="S743" s="86"/>
      <c r="T743" s="86"/>
      <c r="U743" s="86"/>
    </row>
    <row r="744">
      <c r="O744" s="86"/>
      <c r="P744" s="86"/>
      <c r="Q744" s="86"/>
      <c r="R744" s="86"/>
      <c r="S744" s="86"/>
      <c r="T744" s="86"/>
      <c r="U744" s="86"/>
    </row>
    <row r="745">
      <c r="O745" s="86"/>
      <c r="P745" s="86"/>
      <c r="Q745" s="86"/>
      <c r="R745" s="86"/>
      <c r="S745" s="86"/>
      <c r="T745" s="86"/>
      <c r="U745" s="86"/>
    </row>
    <row r="746">
      <c r="O746" s="86"/>
      <c r="P746" s="86"/>
      <c r="Q746" s="86"/>
      <c r="R746" s="86"/>
      <c r="S746" s="86"/>
      <c r="T746" s="86"/>
      <c r="U746" s="86"/>
    </row>
    <row r="747">
      <c r="O747" s="86"/>
      <c r="P747" s="86"/>
      <c r="Q747" s="86"/>
      <c r="R747" s="86"/>
      <c r="S747" s="86"/>
      <c r="T747" s="86"/>
      <c r="U747" s="86"/>
    </row>
    <row r="748">
      <c r="O748" s="86"/>
      <c r="P748" s="86"/>
      <c r="Q748" s="86"/>
      <c r="R748" s="86"/>
      <c r="S748" s="86"/>
      <c r="T748" s="86"/>
      <c r="U748" s="86"/>
    </row>
    <row r="749">
      <c r="O749" s="86"/>
      <c r="P749" s="86"/>
      <c r="Q749" s="86"/>
      <c r="R749" s="86"/>
      <c r="S749" s="86"/>
      <c r="T749" s="86"/>
      <c r="U749" s="86"/>
    </row>
    <row r="750">
      <c r="O750" s="86"/>
      <c r="P750" s="86"/>
      <c r="Q750" s="86"/>
      <c r="R750" s="86"/>
      <c r="S750" s="86"/>
      <c r="T750" s="86"/>
      <c r="U750" s="86"/>
    </row>
    <row r="751">
      <c r="O751" s="86"/>
      <c r="P751" s="86"/>
      <c r="Q751" s="86"/>
      <c r="R751" s="86"/>
      <c r="S751" s="86"/>
      <c r="T751" s="86"/>
      <c r="U751" s="86"/>
    </row>
    <row r="752">
      <c r="O752" s="86"/>
      <c r="P752" s="86"/>
      <c r="Q752" s="86"/>
      <c r="R752" s="86"/>
      <c r="S752" s="86"/>
      <c r="T752" s="86"/>
      <c r="U752" s="86"/>
    </row>
    <row r="753">
      <c r="O753" s="86"/>
      <c r="P753" s="86"/>
      <c r="Q753" s="86"/>
      <c r="R753" s="86"/>
      <c r="S753" s="86"/>
      <c r="T753" s="86"/>
      <c r="U753" s="86"/>
    </row>
    <row r="754">
      <c r="O754" s="86"/>
      <c r="P754" s="86"/>
      <c r="Q754" s="86"/>
      <c r="R754" s="86"/>
      <c r="S754" s="86"/>
      <c r="T754" s="86"/>
      <c r="U754" s="86"/>
    </row>
    <row r="755">
      <c r="O755" s="86"/>
      <c r="P755" s="86"/>
      <c r="Q755" s="86"/>
      <c r="R755" s="86"/>
      <c r="S755" s="86"/>
      <c r="T755" s="86"/>
      <c r="U755" s="86"/>
    </row>
    <row r="756">
      <c r="O756" s="86"/>
      <c r="P756" s="86"/>
      <c r="Q756" s="86"/>
      <c r="R756" s="86"/>
      <c r="S756" s="86"/>
      <c r="T756" s="86"/>
      <c r="U756" s="86"/>
    </row>
    <row r="757">
      <c r="O757" s="86"/>
      <c r="P757" s="86"/>
      <c r="Q757" s="86"/>
      <c r="R757" s="86"/>
      <c r="S757" s="86"/>
      <c r="T757" s="86"/>
      <c r="U757" s="86"/>
    </row>
    <row r="758">
      <c r="O758" s="86"/>
      <c r="P758" s="86"/>
      <c r="Q758" s="86"/>
      <c r="R758" s="86"/>
      <c r="S758" s="86"/>
      <c r="T758" s="86"/>
      <c r="U758" s="86"/>
    </row>
    <row r="759">
      <c r="O759" s="86"/>
      <c r="P759" s="86"/>
      <c r="Q759" s="86"/>
      <c r="R759" s="86"/>
      <c r="S759" s="86"/>
      <c r="T759" s="86"/>
      <c r="U759" s="86"/>
    </row>
    <row r="760">
      <c r="O760" s="86"/>
      <c r="P760" s="86"/>
      <c r="Q760" s="86"/>
      <c r="R760" s="86"/>
      <c r="S760" s="86"/>
      <c r="T760" s="86"/>
      <c r="U760" s="86"/>
    </row>
    <row r="761">
      <c r="O761" s="86"/>
      <c r="P761" s="86"/>
      <c r="Q761" s="86"/>
      <c r="R761" s="86"/>
      <c r="S761" s="86"/>
      <c r="T761" s="86"/>
      <c r="U761" s="86"/>
    </row>
    <row r="762">
      <c r="O762" s="86"/>
      <c r="P762" s="86"/>
      <c r="Q762" s="86"/>
      <c r="R762" s="86"/>
      <c r="S762" s="86"/>
      <c r="T762" s="86"/>
      <c r="U762" s="86"/>
    </row>
    <row r="763">
      <c r="O763" s="86"/>
      <c r="P763" s="86"/>
      <c r="Q763" s="86"/>
      <c r="R763" s="86"/>
      <c r="S763" s="86"/>
      <c r="T763" s="86"/>
      <c r="U763" s="86"/>
    </row>
    <row r="764">
      <c r="O764" s="86"/>
      <c r="P764" s="86"/>
      <c r="Q764" s="86"/>
      <c r="R764" s="86"/>
      <c r="S764" s="86"/>
      <c r="T764" s="86"/>
      <c r="U764" s="86"/>
    </row>
    <row r="765">
      <c r="O765" s="86"/>
      <c r="P765" s="86"/>
      <c r="Q765" s="86"/>
      <c r="R765" s="86"/>
      <c r="S765" s="86"/>
      <c r="T765" s="86"/>
      <c r="U765" s="86"/>
    </row>
    <row r="766">
      <c r="O766" s="86"/>
      <c r="P766" s="86"/>
      <c r="Q766" s="86"/>
      <c r="R766" s="86"/>
      <c r="S766" s="86"/>
      <c r="T766" s="86"/>
      <c r="U766" s="86"/>
    </row>
    <row r="767">
      <c r="O767" s="86"/>
      <c r="P767" s="86"/>
      <c r="Q767" s="86"/>
      <c r="R767" s="86"/>
      <c r="S767" s="86"/>
      <c r="T767" s="86"/>
      <c r="U767" s="86"/>
    </row>
    <row r="768">
      <c r="O768" s="86"/>
      <c r="P768" s="86"/>
      <c r="Q768" s="86"/>
      <c r="R768" s="86"/>
      <c r="S768" s="86"/>
      <c r="T768" s="86"/>
      <c r="U768" s="86"/>
    </row>
    <row r="769">
      <c r="O769" s="86"/>
      <c r="P769" s="86"/>
      <c r="Q769" s="86"/>
      <c r="R769" s="86"/>
      <c r="S769" s="86"/>
      <c r="T769" s="86"/>
      <c r="U769" s="86"/>
    </row>
    <row r="770">
      <c r="O770" s="86"/>
      <c r="P770" s="86"/>
      <c r="Q770" s="86"/>
      <c r="R770" s="86"/>
      <c r="S770" s="86"/>
      <c r="T770" s="86"/>
      <c r="U770" s="86"/>
    </row>
    <row r="771">
      <c r="O771" s="86"/>
      <c r="P771" s="86"/>
      <c r="Q771" s="86"/>
      <c r="R771" s="86"/>
      <c r="S771" s="86"/>
      <c r="T771" s="86"/>
      <c r="U771" s="86"/>
    </row>
    <row r="772">
      <c r="O772" s="86"/>
      <c r="P772" s="86"/>
      <c r="Q772" s="86"/>
      <c r="R772" s="86"/>
      <c r="S772" s="86"/>
      <c r="T772" s="86"/>
      <c r="U772" s="86"/>
    </row>
    <row r="773">
      <c r="O773" s="86"/>
      <c r="P773" s="86"/>
      <c r="Q773" s="86"/>
      <c r="R773" s="86"/>
      <c r="S773" s="86"/>
      <c r="T773" s="86"/>
      <c r="U773" s="86"/>
    </row>
    <row r="774">
      <c r="O774" s="86"/>
      <c r="P774" s="86"/>
      <c r="Q774" s="86"/>
      <c r="R774" s="86"/>
      <c r="S774" s="86"/>
      <c r="T774" s="86"/>
      <c r="U774" s="86"/>
    </row>
    <row r="775">
      <c r="O775" s="86"/>
      <c r="P775" s="86"/>
      <c r="Q775" s="86"/>
      <c r="R775" s="86"/>
      <c r="S775" s="86"/>
      <c r="T775" s="86"/>
      <c r="U775" s="86"/>
    </row>
    <row r="776">
      <c r="O776" s="86"/>
      <c r="P776" s="86"/>
      <c r="Q776" s="86"/>
      <c r="R776" s="86"/>
      <c r="S776" s="86"/>
      <c r="T776" s="86"/>
      <c r="U776" s="86"/>
    </row>
    <row r="777">
      <c r="O777" s="86"/>
      <c r="P777" s="86"/>
      <c r="Q777" s="86"/>
      <c r="R777" s="86"/>
      <c r="S777" s="86"/>
      <c r="T777" s="86"/>
      <c r="U777" s="86"/>
    </row>
    <row r="778">
      <c r="O778" s="86"/>
      <c r="P778" s="86"/>
      <c r="Q778" s="86"/>
      <c r="R778" s="86"/>
      <c r="S778" s="86"/>
      <c r="T778" s="86"/>
      <c r="U778" s="86"/>
    </row>
    <row r="779">
      <c r="O779" s="86"/>
      <c r="P779" s="86"/>
      <c r="Q779" s="86"/>
      <c r="R779" s="86"/>
      <c r="S779" s="86"/>
      <c r="T779" s="86"/>
      <c r="U779" s="86"/>
    </row>
    <row r="780">
      <c r="O780" s="86"/>
      <c r="P780" s="86"/>
      <c r="Q780" s="86"/>
      <c r="R780" s="86"/>
      <c r="S780" s="86"/>
      <c r="T780" s="86"/>
      <c r="U780" s="86"/>
    </row>
    <row r="781">
      <c r="O781" s="86"/>
      <c r="P781" s="86"/>
      <c r="Q781" s="86"/>
      <c r="R781" s="86"/>
      <c r="S781" s="86"/>
      <c r="T781" s="86"/>
      <c r="U781" s="86"/>
    </row>
    <row r="782">
      <c r="O782" s="86"/>
      <c r="P782" s="86"/>
      <c r="Q782" s="86"/>
      <c r="R782" s="86"/>
      <c r="S782" s="86"/>
      <c r="T782" s="86"/>
      <c r="U782" s="86"/>
    </row>
    <row r="783">
      <c r="O783" s="86"/>
      <c r="P783" s="86"/>
      <c r="Q783" s="86"/>
      <c r="R783" s="86"/>
      <c r="S783" s="86"/>
      <c r="T783" s="86"/>
      <c r="U783" s="86"/>
    </row>
    <row r="784">
      <c r="O784" s="86"/>
      <c r="P784" s="86"/>
      <c r="Q784" s="86"/>
      <c r="R784" s="86"/>
      <c r="S784" s="86"/>
      <c r="T784" s="86"/>
      <c r="U784" s="86"/>
    </row>
    <row r="785">
      <c r="O785" s="86"/>
      <c r="P785" s="86"/>
      <c r="Q785" s="86"/>
      <c r="R785" s="86"/>
      <c r="S785" s="86"/>
      <c r="T785" s="86"/>
      <c r="U785" s="86"/>
    </row>
    <row r="786">
      <c r="O786" s="86"/>
      <c r="P786" s="86"/>
      <c r="Q786" s="86"/>
      <c r="R786" s="86"/>
      <c r="S786" s="86"/>
      <c r="T786" s="86"/>
      <c r="U786" s="86"/>
    </row>
    <row r="787">
      <c r="O787" s="86"/>
      <c r="P787" s="86"/>
      <c r="Q787" s="86"/>
      <c r="R787" s="86"/>
      <c r="S787" s="86"/>
      <c r="T787" s="86"/>
      <c r="U787" s="86"/>
    </row>
    <row r="788">
      <c r="O788" s="86"/>
      <c r="P788" s="86"/>
      <c r="Q788" s="86"/>
      <c r="R788" s="86"/>
      <c r="S788" s="86"/>
      <c r="T788" s="86"/>
      <c r="U788" s="86"/>
    </row>
    <row r="789">
      <c r="O789" s="86"/>
      <c r="P789" s="86"/>
      <c r="Q789" s="86"/>
      <c r="R789" s="86"/>
      <c r="S789" s="86"/>
      <c r="T789" s="86"/>
      <c r="U789" s="86"/>
    </row>
    <row r="790">
      <c r="O790" s="86"/>
      <c r="P790" s="86"/>
      <c r="Q790" s="86"/>
      <c r="R790" s="86"/>
      <c r="S790" s="86"/>
      <c r="T790" s="86"/>
      <c r="U790" s="86"/>
    </row>
    <row r="791">
      <c r="O791" s="86"/>
      <c r="P791" s="86"/>
      <c r="Q791" s="86"/>
      <c r="R791" s="86"/>
      <c r="S791" s="86"/>
      <c r="T791" s="86"/>
      <c r="U791" s="86"/>
    </row>
    <row r="792">
      <c r="O792" s="86"/>
      <c r="P792" s="86"/>
      <c r="Q792" s="86"/>
      <c r="R792" s="86"/>
      <c r="S792" s="86"/>
      <c r="T792" s="86"/>
      <c r="U792" s="86"/>
    </row>
    <row r="793">
      <c r="O793" s="86"/>
      <c r="P793" s="86"/>
      <c r="Q793" s="86"/>
      <c r="R793" s="86"/>
      <c r="S793" s="86"/>
      <c r="T793" s="86"/>
      <c r="U793" s="86"/>
    </row>
    <row r="794">
      <c r="O794" s="86"/>
      <c r="P794" s="86"/>
      <c r="Q794" s="86"/>
      <c r="R794" s="86"/>
      <c r="S794" s="86"/>
      <c r="T794" s="86"/>
      <c r="U794" s="86"/>
    </row>
    <row r="795">
      <c r="O795" s="86"/>
      <c r="P795" s="86"/>
      <c r="Q795" s="86"/>
      <c r="R795" s="86"/>
      <c r="S795" s="86"/>
      <c r="T795" s="86"/>
      <c r="U795" s="86"/>
    </row>
    <row r="796">
      <c r="O796" s="86"/>
      <c r="P796" s="86"/>
      <c r="Q796" s="86"/>
      <c r="R796" s="86"/>
      <c r="S796" s="86"/>
      <c r="T796" s="86"/>
      <c r="U796" s="86"/>
    </row>
    <row r="797">
      <c r="O797" s="86"/>
      <c r="P797" s="86"/>
      <c r="Q797" s="86"/>
      <c r="R797" s="86"/>
      <c r="S797" s="86"/>
      <c r="T797" s="86"/>
      <c r="U797" s="86"/>
    </row>
    <row r="798">
      <c r="O798" s="86"/>
      <c r="P798" s="86"/>
      <c r="Q798" s="86"/>
      <c r="R798" s="86"/>
      <c r="S798" s="86"/>
      <c r="T798" s="86"/>
      <c r="U798" s="86"/>
    </row>
    <row r="799">
      <c r="O799" s="86"/>
      <c r="P799" s="86"/>
      <c r="Q799" s="86"/>
      <c r="R799" s="86"/>
      <c r="S799" s="86"/>
      <c r="T799" s="86"/>
      <c r="U799" s="86"/>
    </row>
    <row r="800">
      <c r="O800" s="86"/>
      <c r="P800" s="86"/>
      <c r="Q800" s="86"/>
      <c r="R800" s="86"/>
      <c r="S800" s="86"/>
      <c r="T800" s="86"/>
      <c r="U800" s="86"/>
    </row>
    <row r="801">
      <c r="O801" s="86"/>
      <c r="P801" s="86"/>
      <c r="Q801" s="86"/>
      <c r="R801" s="86"/>
      <c r="S801" s="86"/>
      <c r="T801" s="86"/>
      <c r="U801" s="86"/>
    </row>
    <row r="802">
      <c r="O802" s="86"/>
      <c r="P802" s="86"/>
      <c r="Q802" s="86"/>
      <c r="R802" s="86"/>
      <c r="S802" s="86"/>
      <c r="T802" s="86"/>
      <c r="U802" s="86"/>
    </row>
    <row r="803">
      <c r="O803" s="86"/>
      <c r="P803" s="86"/>
      <c r="Q803" s="86"/>
      <c r="R803" s="86"/>
      <c r="S803" s="86"/>
      <c r="T803" s="86"/>
      <c r="U803" s="86"/>
    </row>
    <row r="804">
      <c r="O804" s="86"/>
      <c r="P804" s="86"/>
      <c r="Q804" s="86"/>
      <c r="R804" s="86"/>
      <c r="S804" s="86"/>
      <c r="T804" s="86"/>
      <c r="U804" s="86"/>
    </row>
    <row r="805">
      <c r="O805" s="86"/>
      <c r="P805" s="86"/>
      <c r="Q805" s="86"/>
      <c r="R805" s="86"/>
      <c r="S805" s="86"/>
      <c r="T805" s="86"/>
      <c r="U805" s="86"/>
    </row>
    <row r="806">
      <c r="O806" s="86"/>
      <c r="P806" s="86"/>
      <c r="Q806" s="86"/>
      <c r="R806" s="86"/>
      <c r="S806" s="86"/>
      <c r="T806" s="86"/>
      <c r="U806" s="86"/>
    </row>
    <row r="807">
      <c r="O807" s="86"/>
      <c r="P807" s="86"/>
      <c r="Q807" s="86"/>
      <c r="R807" s="86"/>
      <c r="S807" s="86"/>
      <c r="T807" s="86"/>
      <c r="U807" s="86"/>
    </row>
    <row r="808">
      <c r="O808" s="86"/>
      <c r="P808" s="86"/>
      <c r="Q808" s="86"/>
      <c r="R808" s="86"/>
      <c r="S808" s="86"/>
      <c r="T808" s="86"/>
      <c r="U808" s="86"/>
    </row>
    <row r="809">
      <c r="O809" s="86"/>
      <c r="P809" s="86"/>
      <c r="Q809" s="86"/>
      <c r="R809" s="86"/>
      <c r="S809" s="86"/>
      <c r="T809" s="86"/>
      <c r="U809" s="86"/>
    </row>
    <row r="810">
      <c r="O810" s="86"/>
      <c r="P810" s="86"/>
      <c r="Q810" s="86"/>
      <c r="R810" s="86"/>
      <c r="S810" s="86"/>
      <c r="T810" s="86"/>
      <c r="U810" s="86"/>
    </row>
    <row r="811">
      <c r="O811" s="86"/>
      <c r="P811" s="86"/>
      <c r="Q811" s="86"/>
      <c r="R811" s="86"/>
      <c r="S811" s="86"/>
      <c r="T811" s="86"/>
      <c r="U811" s="86"/>
    </row>
    <row r="812">
      <c r="O812" s="86"/>
      <c r="P812" s="86"/>
      <c r="Q812" s="86"/>
      <c r="R812" s="86"/>
      <c r="S812" s="86"/>
      <c r="T812" s="86"/>
      <c r="U812" s="86"/>
    </row>
    <row r="813">
      <c r="O813" s="86"/>
      <c r="P813" s="86"/>
      <c r="Q813" s="86"/>
      <c r="R813" s="86"/>
      <c r="S813" s="86"/>
      <c r="T813" s="86"/>
      <c r="U813" s="86"/>
    </row>
    <row r="814">
      <c r="O814" s="86"/>
      <c r="P814" s="86"/>
      <c r="Q814" s="86"/>
      <c r="R814" s="86"/>
      <c r="S814" s="86"/>
      <c r="T814" s="86"/>
      <c r="U814" s="86"/>
    </row>
    <row r="815">
      <c r="O815" s="86"/>
      <c r="P815" s="86"/>
      <c r="Q815" s="86"/>
      <c r="R815" s="86"/>
      <c r="S815" s="86"/>
      <c r="T815" s="86"/>
      <c r="U815" s="86"/>
    </row>
    <row r="816">
      <c r="O816" s="86"/>
      <c r="P816" s="86"/>
      <c r="Q816" s="86"/>
      <c r="R816" s="86"/>
      <c r="S816" s="86"/>
      <c r="T816" s="86"/>
      <c r="U816" s="86"/>
    </row>
    <row r="817">
      <c r="O817" s="86"/>
      <c r="P817" s="86"/>
      <c r="Q817" s="86"/>
      <c r="R817" s="86"/>
      <c r="S817" s="86"/>
      <c r="T817" s="86"/>
      <c r="U817" s="86"/>
    </row>
    <row r="818">
      <c r="O818" s="86"/>
      <c r="P818" s="86"/>
      <c r="Q818" s="86"/>
      <c r="R818" s="86"/>
      <c r="S818" s="86"/>
      <c r="T818" s="86"/>
      <c r="U818" s="86"/>
    </row>
    <row r="819">
      <c r="O819" s="86"/>
      <c r="P819" s="86"/>
      <c r="Q819" s="86"/>
      <c r="R819" s="86"/>
      <c r="S819" s="86"/>
      <c r="T819" s="86"/>
      <c r="U819" s="86"/>
    </row>
    <row r="820">
      <c r="O820" s="86"/>
      <c r="P820" s="86"/>
      <c r="Q820" s="86"/>
      <c r="R820" s="86"/>
      <c r="S820" s="86"/>
      <c r="T820" s="86"/>
      <c r="U820" s="86"/>
    </row>
    <row r="821">
      <c r="O821" s="86"/>
      <c r="P821" s="86"/>
      <c r="Q821" s="86"/>
      <c r="R821" s="86"/>
      <c r="S821" s="86"/>
      <c r="T821" s="86"/>
      <c r="U821" s="86"/>
    </row>
    <row r="822">
      <c r="O822" s="86"/>
      <c r="P822" s="86"/>
      <c r="Q822" s="86"/>
      <c r="R822" s="86"/>
      <c r="S822" s="86"/>
      <c r="T822" s="86"/>
      <c r="U822" s="86"/>
    </row>
    <row r="823">
      <c r="O823" s="86"/>
      <c r="P823" s="86"/>
      <c r="Q823" s="86"/>
      <c r="R823" s="86"/>
      <c r="S823" s="86"/>
      <c r="T823" s="86"/>
      <c r="U823" s="86"/>
    </row>
    <row r="824">
      <c r="O824" s="86"/>
      <c r="P824" s="86"/>
      <c r="Q824" s="86"/>
      <c r="R824" s="86"/>
      <c r="S824" s="86"/>
      <c r="T824" s="86"/>
      <c r="U824" s="86"/>
    </row>
    <row r="825">
      <c r="O825" s="86"/>
      <c r="P825" s="86"/>
      <c r="Q825" s="86"/>
      <c r="R825" s="86"/>
      <c r="S825" s="86"/>
      <c r="T825" s="86"/>
      <c r="U825" s="86"/>
    </row>
    <row r="826">
      <c r="O826" s="86"/>
      <c r="P826" s="86"/>
      <c r="Q826" s="86"/>
      <c r="R826" s="86"/>
      <c r="S826" s="86"/>
      <c r="T826" s="86"/>
      <c r="U826" s="86"/>
    </row>
    <row r="827">
      <c r="O827" s="86"/>
      <c r="P827" s="86"/>
      <c r="Q827" s="86"/>
      <c r="R827" s="86"/>
      <c r="S827" s="86"/>
      <c r="T827" s="86"/>
      <c r="U827" s="86"/>
    </row>
    <row r="828">
      <c r="O828" s="86"/>
      <c r="P828" s="86"/>
      <c r="Q828" s="86"/>
      <c r="R828" s="86"/>
      <c r="S828" s="86"/>
      <c r="T828" s="86"/>
      <c r="U828" s="86"/>
    </row>
    <row r="829">
      <c r="O829" s="86"/>
      <c r="P829" s="86"/>
      <c r="Q829" s="86"/>
      <c r="R829" s="86"/>
      <c r="S829" s="86"/>
      <c r="T829" s="86"/>
      <c r="U829" s="86"/>
    </row>
    <row r="830">
      <c r="O830" s="86"/>
      <c r="P830" s="86"/>
      <c r="Q830" s="86"/>
      <c r="R830" s="86"/>
      <c r="S830" s="86"/>
      <c r="T830" s="86"/>
      <c r="U830" s="86"/>
    </row>
    <row r="831">
      <c r="O831" s="86"/>
      <c r="P831" s="86"/>
      <c r="Q831" s="86"/>
      <c r="R831" s="86"/>
      <c r="S831" s="86"/>
      <c r="T831" s="86"/>
      <c r="U831" s="86"/>
    </row>
    <row r="832">
      <c r="O832" s="86"/>
      <c r="P832" s="86"/>
      <c r="Q832" s="86"/>
      <c r="R832" s="86"/>
      <c r="S832" s="86"/>
      <c r="T832" s="86"/>
      <c r="U832" s="86"/>
    </row>
    <row r="833">
      <c r="O833" s="86"/>
      <c r="P833" s="86"/>
      <c r="Q833" s="86"/>
      <c r="R833" s="86"/>
      <c r="S833" s="86"/>
      <c r="T833" s="86"/>
      <c r="U833" s="86"/>
    </row>
    <row r="834">
      <c r="O834" s="86"/>
      <c r="P834" s="86"/>
      <c r="Q834" s="86"/>
      <c r="R834" s="86"/>
      <c r="S834" s="86"/>
      <c r="T834" s="86"/>
      <c r="U834" s="86"/>
    </row>
    <row r="835">
      <c r="O835" s="86"/>
      <c r="P835" s="86"/>
      <c r="Q835" s="86"/>
      <c r="R835" s="86"/>
      <c r="S835" s="86"/>
      <c r="T835" s="86"/>
      <c r="U835" s="86"/>
    </row>
    <row r="836">
      <c r="O836" s="86"/>
      <c r="P836" s="86"/>
      <c r="Q836" s="86"/>
      <c r="R836" s="86"/>
      <c r="S836" s="86"/>
      <c r="T836" s="86"/>
      <c r="U836" s="86"/>
    </row>
    <row r="837">
      <c r="O837" s="86"/>
      <c r="P837" s="86"/>
      <c r="Q837" s="86"/>
      <c r="R837" s="86"/>
      <c r="S837" s="86"/>
      <c r="T837" s="86"/>
      <c r="U837" s="86"/>
    </row>
    <row r="838">
      <c r="O838" s="86"/>
      <c r="P838" s="86"/>
      <c r="Q838" s="86"/>
      <c r="R838" s="86"/>
      <c r="S838" s="86"/>
      <c r="T838" s="86"/>
      <c r="U838" s="86"/>
    </row>
    <row r="839">
      <c r="O839" s="86"/>
      <c r="P839" s="86"/>
      <c r="Q839" s="86"/>
      <c r="R839" s="86"/>
      <c r="S839" s="86"/>
      <c r="T839" s="86"/>
      <c r="U839" s="86"/>
    </row>
    <row r="840">
      <c r="O840" s="86"/>
      <c r="P840" s="86"/>
      <c r="Q840" s="86"/>
      <c r="R840" s="86"/>
      <c r="S840" s="86"/>
      <c r="T840" s="86"/>
      <c r="U840" s="86"/>
    </row>
    <row r="841">
      <c r="O841" s="86"/>
      <c r="P841" s="86"/>
      <c r="Q841" s="86"/>
      <c r="R841" s="86"/>
      <c r="S841" s="86"/>
      <c r="T841" s="86"/>
      <c r="U841" s="86"/>
    </row>
    <row r="842">
      <c r="O842" s="86"/>
      <c r="P842" s="86"/>
      <c r="Q842" s="86"/>
      <c r="R842" s="86"/>
      <c r="S842" s="86"/>
      <c r="T842" s="86"/>
      <c r="U842" s="86"/>
    </row>
    <row r="843">
      <c r="O843" s="86"/>
      <c r="P843" s="86"/>
      <c r="Q843" s="86"/>
      <c r="R843" s="86"/>
      <c r="S843" s="86"/>
      <c r="T843" s="86"/>
      <c r="U843" s="86"/>
    </row>
    <row r="844">
      <c r="O844" s="86"/>
      <c r="P844" s="86"/>
      <c r="Q844" s="86"/>
      <c r="R844" s="86"/>
      <c r="S844" s="86"/>
      <c r="T844" s="86"/>
      <c r="U844" s="86"/>
    </row>
    <row r="845">
      <c r="O845" s="86"/>
      <c r="P845" s="86"/>
      <c r="Q845" s="86"/>
      <c r="R845" s="86"/>
      <c r="S845" s="86"/>
      <c r="T845" s="86"/>
      <c r="U845" s="86"/>
    </row>
    <row r="846">
      <c r="O846" s="86"/>
      <c r="P846" s="86"/>
      <c r="Q846" s="86"/>
      <c r="R846" s="86"/>
      <c r="S846" s="86"/>
      <c r="T846" s="86"/>
      <c r="U846" s="86"/>
    </row>
    <row r="847">
      <c r="O847" s="86"/>
      <c r="P847" s="86"/>
      <c r="Q847" s="86"/>
      <c r="R847" s="86"/>
      <c r="S847" s="86"/>
      <c r="T847" s="86"/>
      <c r="U847" s="86"/>
    </row>
    <row r="848">
      <c r="O848" s="86"/>
      <c r="P848" s="86"/>
      <c r="Q848" s="86"/>
      <c r="R848" s="86"/>
      <c r="S848" s="86"/>
      <c r="T848" s="86"/>
      <c r="U848" s="86"/>
    </row>
    <row r="849">
      <c r="O849" s="86"/>
      <c r="P849" s="86"/>
      <c r="Q849" s="86"/>
      <c r="R849" s="86"/>
      <c r="S849" s="86"/>
      <c r="T849" s="86"/>
      <c r="U849" s="86"/>
    </row>
    <row r="850">
      <c r="O850" s="86"/>
      <c r="P850" s="86"/>
      <c r="Q850" s="86"/>
      <c r="R850" s="86"/>
      <c r="S850" s="86"/>
      <c r="T850" s="86"/>
      <c r="U850" s="86"/>
    </row>
    <row r="851">
      <c r="O851" s="86"/>
      <c r="P851" s="86"/>
      <c r="Q851" s="86"/>
      <c r="R851" s="86"/>
      <c r="S851" s="86"/>
      <c r="T851" s="86"/>
      <c r="U851" s="86"/>
    </row>
    <row r="852">
      <c r="O852" s="86"/>
      <c r="P852" s="86"/>
      <c r="Q852" s="86"/>
      <c r="R852" s="86"/>
      <c r="S852" s="86"/>
      <c r="T852" s="86"/>
      <c r="U852" s="86"/>
    </row>
    <row r="853">
      <c r="O853" s="86"/>
      <c r="P853" s="86"/>
      <c r="Q853" s="86"/>
      <c r="R853" s="86"/>
      <c r="S853" s="86"/>
      <c r="T853" s="86"/>
      <c r="U853" s="86"/>
    </row>
    <row r="854">
      <c r="O854" s="86"/>
      <c r="P854" s="86"/>
      <c r="Q854" s="86"/>
      <c r="R854" s="86"/>
      <c r="S854" s="86"/>
      <c r="T854" s="86"/>
      <c r="U854" s="86"/>
    </row>
    <row r="855">
      <c r="O855" s="86"/>
      <c r="P855" s="86"/>
      <c r="Q855" s="86"/>
      <c r="R855" s="86"/>
      <c r="S855" s="86"/>
      <c r="T855" s="86"/>
      <c r="U855" s="86"/>
    </row>
    <row r="856">
      <c r="O856" s="86"/>
      <c r="P856" s="86"/>
      <c r="Q856" s="86"/>
      <c r="R856" s="86"/>
      <c r="S856" s="86"/>
      <c r="T856" s="86"/>
      <c r="U856" s="86"/>
    </row>
    <row r="857">
      <c r="O857" s="86"/>
      <c r="P857" s="86"/>
      <c r="Q857" s="86"/>
      <c r="R857" s="86"/>
      <c r="S857" s="86"/>
      <c r="T857" s="86"/>
      <c r="U857" s="86"/>
    </row>
    <row r="858">
      <c r="O858" s="86"/>
      <c r="P858" s="86"/>
      <c r="Q858" s="86"/>
      <c r="R858" s="86"/>
      <c r="S858" s="86"/>
      <c r="T858" s="86"/>
      <c r="U858" s="86"/>
    </row>
    <row r="859">
      <c r="O859" s="86"/>
      <c r="P859" s="86"/>
      <c r="Q859" s="86"/>
      <c r="R859" s="86"/>
      <c r="S859" s="86"/>
      <c r="T859" s="86"/>
      <c r="U859" s="86"/>
    </row>
    <row r="860">
      <c r="O860" s="86"/>
      <c r="P860" s="86"/>
      <c r="Q860" s="86"/>
      <c r="R860" s="86"/>
      <c r="S860" s="86"/>
      <c r="T860" s="86"/>
      <c r="U860" s="86"/>
    </row>
    <row r="861">
      <c r="O861" s="86"/>
      <c r="P861" s="86"/>
      <c r="Q861" s="86"/>
      <c r="R861" s="86"/>
      <c r="S861" s="86"/>
      <c r="T861" s="86"/>
      <c r="U861" s="86"/>
    </row>
    <row r="862">
      <c r="O862" s="86"/>
      <c r="P862" s="86"/>
      <c r="Q862" s="86"/>
      <c r="R862" s="86"/>
      <c r="S862" s="86"/>
      <c r="T862" s="86"/>
      <c r="U862" s="86"/>
    </row>
    <row r="863">
      <c r="O863" s="86"/>
      <c r="P863" s="86"/>
      <c r="Q863" s="86"/>
      <c r="R863" s="86"/>
      <c r="S863" s="86"/>
      <c r="T863" s="86"/>
      <c r="U863" s="86"/>
    </row>
    <row r="864">
      <c r="O864" s="86"/>
      <c r="P864" s="86"/>
      <c r="Q864" s="86"/>
      <c r="R864" s="86"/>
      <c r="S864" s="86"/>
      <c r="T864" s="86"/>
      <c r="U864" s="86"/>
    </row>
    <row r="865">
      <c r="O865" s="86"/>
      <c r="P865" s="86"/>
      <c r="Q865" s="86"/>
      <c r="R865" s="86"/>
      <c r="S865" s="86"/>
      <c r="T865" s="86"/>
      <c r="U865" s="86"/>
    </row>
    <row r="866">
      <c r="O866" s="86"/>
      <c r="P866" s="86"/>
      <c r="Q866" s="86"/>
      <c r="R866" s="86"/>
      <c r="S866" s="86"/>
      <c r="T866" s="86"/>
      <c r="U866" s="86"/>
    </row>
    <row r="867">
      <c r="O867" s="86"/>
      <c r="P867" s="86"/>
      <c r="Q867" s="86"/>
      <c r="R867" s="86"/>
      <c r="S867" s="86"/>
      <c r="T867" s="86"/>
      <c r="U867" s="86"/>
    </row>
    <row r="868">
      <c r="O868" s="86"/>
      <c r="P868" s="86"/>
      <c r="Q868" s="86"/>
      <c r="R868" s="86"/>
      <c r="S868" s="86"/>
      <c r="T868" s="86"/>
      <c r="U868" s="86"/>
    </row>
    <row r="869">
      <c r="O869" s="86"/>
      <c r="P869" s="86"/>
      <c r="Q869" s="86"/>
      <c r="R869" s="86"/>
      <c r="S869" s="86"/>
      <c r="T869" s="86"/>
      <c r="U869" s="86"/>
    </row>
    <row r="870">
      <c r="O870" s="86"/>
      <c r="P870" s="86"/>
      <c r="Q870" s="86"/>
      <c r="R870" s="86"/>
      <c r="S870" s="86"/>
      <c r="T870" s="86"/>
      <c r="U870" s="86"/>
    </row>
    <row r="871">
      <c r="O871" s="86"/>
      <c r="P871" s="86"/>
      <c r="Q871" s="86"/>
      <c r="R871" s="86"/>
      <c r="S871" s="86"/>
      <c r="T871" s="86"/>
      <c r="U871" s="86"/>
    </row>
    <row r="872">
      <c r="O872" s="86"/>
      <c r="P872" s="86"/>
      <c r="Q872" s="86"/>
      <c r="R872" s="86"/>
      <c r="S872" s="86"/>
      <c r="T872" s="86"/>
      <c r="U872" s="86"/>
    </row>
    <row r="873">
      <c r="O873" s="86"/>
      <c r="P873" s="86"/>
      <c r="Q873" s="86"/>
      <c r="R873" s="86"/>
      <c r="S873" s="86"/>
      <c r="T873" s="86"/>
      <c r="U873" s="86"/>
    </row>
    <row r="874">
      <c r="O874" s="86"/>
      <c r="P874" s="86"/>
      <c r="Q874" s="86"/>
      <c r="R874" s="86"/>
      <c r="S874" s="86"/>
      <c r="T874" s="86"/>
      <c r="U874" s="86"/>
    </row>
    <row r="875">
      <c r="O875" s="86"/>
      <c r="P875" s="86"/>
      <c r="Q875" s="86"/>
      <c r="R875" s="86"/>
      <c r="S875" s="86"/>
      <c r="T875" s="86"/>
      <c r="U875" s="86"/>
    </row>
    <row r="876">
      <c r="O876" s="86"/>
      <c r="P876" s="86"/>
      <c r="Q876" s="86"/>
      <c r="R876" s="86"/>
      <c r="S876" s="86"/>
      <c r="T876" s="86"/>
      <c r="U876" s="86"/>
    </row>
    <row r="877">
      <c r="O877" s="86"/>
      <c r="P877" s="86"/>
      <c r="Q877" s="86"/>
      <c r="R877" s="86"/>
      <c r="S877" s="86"/>
      <c r="T877" s="86"/>
      <c r="U877" s="86"/>
    </row>
    <row r="878">
      <c r="O878" s="86"/>
      <c r="P878" s="86"/>
      <c r="Q878" s="86"/>
      <c r="R878" s="86"/>
      <c r="S878" s="86"/>
      <c r="T878" s="86"/>
      <c r="U878" s="86"/>
    </row>
    <row r="879">
      <c r="O879" s="86"/>
      <c r="P879" s="86"/>
      <c r="Q879" s="86"/>
      <c r="R879" s="86"/>
      <c r="S879" s="86"/>
      <c r="T879" s="86"/>
      <c r="U879" s="86"/>
    </row>
    <row r="880">
      <c r="O880" s="86"/>
      <c r="P880" s="86"/>
      <c r="Q880" s="86"/>
      <c r="R880" s="86"/>
      <c r="S880" s="86"/>
      <c r="T880" s="86"/>
      <c r="U880" s="86"/>
    </row>
    <row r="881">
      <c r="O881" s="86"/>
      <c r="P881" s="86"/>
      <c r="Q881" s="86"/>
      <c r="R881" s="86"/>
      <c r="S881" s="86"/>
      <c r="T881" s="86"/>
      <c r="U881" s="86"/>
    </row>
    <row r="882">
      <c r="O882" s="86"/>
      <c r="P882" s="86"/>
      <c r="Q882" s="86"/>
      <c r="R882" s="86"/>
      <c r="S882" s="86"/>
      <c r="T882" s="86"/>
      <c r="U882" s="86"/>
    </row>
    <row r="883">
      <c r="O883" s="86"/>
      <c r="P883" s="86"/>
      <c r="Q883" s="86"/>
      <c r="R883" s="86"/>
      <c r="S883" s="86"/>
      <c r="T883" s="86"/>
      <c r="U883" s="86"/>
    </row>
    <row r="884">
      <c r="O884" s="86"/>
      <c r="P884" s="86"/>
      <c r="Q884" s="86"/>
      <c r="R884" s="86"/>
      <c r="S884" s="86"/>
      <c r="T884" s="86"/>
      <c r="U884" s="86"/>
    </row>
    <row r="885">
      <c r="O885" s="86"/>
      <c r="P885" s="86"/>
      <c r="Q885" s="86"/>
      <c r="R885" s="86"/>
      <c r="S885" s="86"/>
      <c r="T885" s="86"/>
      <c r="U885" s="86"/>
    </row>
    <row r="886">
      <c r="O886" s="86"/>
      <c r="P886" s="86"/>
      <c r="Q886" s="86"/>
      <c r="R886" s="86"/>
      <c r="S886" s="86"/>
      <c r="T886" s="86"/>
      <c r="U886" s="86"/>
    </row>
    <row r="887">
      <c r="O887" s="86"/>
      <c r="P887" s="86"/>
      <c r="Q887" s="86"/>
      <c r="R887" s="86"/>
      <c r="S887" s="86"/>
      <c r="T887" s="86"/>
      <c r="U887" s="86"/>
    </row>
    <row r="888">
      <c r="O888" s="86"/>
      <c r="P888" s="86"/>
      <c r="Q888" s="86"/>
      <c r="R888" s="86"/>
      <c r="S888" s="86"/>
      <c r="T888" s="86"/>
      <c r="U888" s="86"/>
    </row>
    <row r="889">
      <c r="O889" s="86"/>
      <c r="P889" s="86"/>
      <c r="Q889" s="86"/>
      <c r="R889" s="86"/>
      <c r="S889" s="86"/>
      <c r="T889" s="86"/>
      <c r="U889" s="86"/>
    </row>
    <row r="890">
      <c r="O890" s="86"/>
      <c r="P890" s="86"/>
      <c r="Q890" s="86"/>
      <c r="R890" s="86"/>
      <c r="S890" s="86"/>
      <c r="T890" s="86"/>
      <c r="U890" s="86"/>
    </row>
    <row r="891">
      <c r="O891" s="86"/>
      <c r="P891" s="86"/>
      <c r="Q891" s="86"/>
      <c r="R891" s="86"/>
      <c r="S891" s="86"/>
      <c r="T891" s="86"/>
      <c r="U891" s="86"/>
    </row>
    <row r="892">
      <c r="O892" s="86"/>
      <c r="P892" s="86"/>
      <c r="Q892" s="86"/>
      <c r="R892" s="86"/>
      <c r="S892" s="86"/>
      <c r="T892" s="86"/>
      <c r="U892" s="86"/>
    </row>
    <row r="893">
      <c r="O893" s="86"/>
      <c r="P893" s="86"/>
      <c r="Q893" s="86"/>
      <c r="R893" s="86"/>
      <c r="S893" s="86"/>
      <c r="T893" s="86"/>
      <c r="U893" s="86"/>
    </row>
    <row r="894">
      <c r="O894" s="86"/>
      <c r="P894" s="86"/>
      <c r="Q894" s="86"/>
      <c r="R894" s="86"/>
      <c r="S894" s="86"/>
      <c r="T894" s="86"/>
      <c r="U894" s="86"/>
    </row>
    <row r="895">
      <c r="O895" s="86"/>
      <c r="P895" s="86"/>
      <c r="Q895" s="86"/>
      <c r="R895" s="86"/>
      <c r="S895" s="86"/>
      <c r="T895" s="86"/>
      <c r="U895" s="86"/>
    </row>
    <row r="896">
      <c r="O896" s="86"/>
      <c r="P896" s="86"/>
      <c r="Q896" s="86"/>
      <c r="R896" s="86"/>
      <c r="S896" s="86"/>
      <c r="T896" s="86"/>
      <c r="U896" s="86"/>
    </row>
    <row r="897">
      <c r="O897" s="86"/>
      <c r="P897" s="86"/>
      <c r="Q897" s="86"/>
      <c r="R897" s="86"/>
      <c r="S897" s="86"/>
      <c r="T897" s="86"/>
      <c r="U897" s="86"/>
    </row>
    <row r="898">
      <c r="O898" s="86"/>
      <c r="P898" s="86"/>
      <c r="Q898" s="86"/>
      <c r="R898" s="86"/>
      <c r="S898" s="86"/>
      <c r="T898" s="86"/>
      <c r="U898" s="86"/>
    </row>
    <row r="899">
      <c r="O899" s="86"/>
      <c r="P899" s="86"/>
      <c r="Q899" s="86"/>
      <c r="R899" s="86"/>
      <c r="S899" s="86"/>
      <c r="T899" s="86"/>
      <c r="U899" s="86"/>
    </row>
    <row r="900">
      <c r="O900" s="86"/>
      <c r="P900" s="86"/>
      <c r="Q900" s="86"/>
      <c r="R900" s="86"/>
      <c r="S900" s="86"/>
      <c r="T900" s="86"/>
      <c r="U900" s="86"/>
    </row>
    <row r="901">
      <c r="O901" s="86"/>
      <c r="P901" s="86"/>
      <c r="Q901" s="86"/>
      <c r="R901" s="86"/>
      <c r="S901" s="86"/>
      <c r="T901" s="86"/>
      <c r="U901" s="86"/>
    </row>
    <row r="902">
      <c r="O902" s="86"/>
      <c r="P902" s="86"/>
      <c r="Q902" s="86"/>
      <c r="R902" s="86"/>
      <c r="S902" s="86"/>
      <c r="T902" s="86"/>
      <c r="U902" s="86"/>
    </row>
    <row r="903">
      <c r="O903" s="86"/>
      <c r="P903" s="86"/>
      <c r="Q903" s="86"/>
      <c r="R903" s="86"/>
      <c r="S903" s="86"/>
      <c r="T903" s="86"/>
      <c r="U903" s="86"/>
    </row>
    <row r="904">
      <c r="O904" s="86"/>
      <c r="P904" s="86"/>
      <c r="Q904" s="86"/>
      <c r="R904" s="86"/>
      <c r="S904" s="86"/>
      <c r="T904" s="86"/>
      <c r="U904" s="86"/>
    </row>
    <row r="905">
      <c r="O905" s="86"/>
      <c r="P905" s="86"/>
      <c r="Q905" s="86"/>
      <c r="R905" s="86"/>
      <c r="S905" s="86"/>
      <c r="T905" s="86"/>
      <c r="U905" s="86"/>
    </row>
    <row r="906">
      <c r="O906" s="86"/>
      <c r="P906" s="86"/>
      <c r="Q906" s="86"/>
      <c r="R906" s="86"/>
      <c r="S906" s="86"/>
      <c r="T906" s="86"/>
      <c r="U906" s="86"/>
    </row>
    <row r="907">
      <c r="O907" s="86"/>
      <c r="P907" s="86"/>
      <c r="Q907" s="86"/>
      <c r="R907" s="86"/>
      <c r="S907" s="86"/>
      <c r="T907" s="86"/>
      <c r="U907" s="86"/>
    </row>
    <row r="908">
      <c r="O908" s="86"/>
      <c r="P908" s="86"/>
      <c r="Q908" s="86"/>
      <c r="R908" s="86"/>
      <c r="S908" s="86"/>
      <c r="T908" s="86"/>
      <c r="U908" s="86"/>
    </row>
    <row r="909">
      <c r="O909" s="86"/>
      <c r="P909" s="86"/>
      <c r="Q909" s="86"/>
      <c r="R909" s="86"/>
      <c r="S909" s="86"/>
      <c r="T909" s="86"/>
      <c r="U909" s="86"/>
    </row>
    <row r="910">
      <c r="O910" s="86"/>
      <c r="P910" s="86"/>
      <c r="Q910" s="86"/>
      <c r="R910" s="86"/>
      <c r="S910" s="86"/>
      <c r="T910" s="86"/>
      <c r="U910" s="86"/>
    </row>
    <row r="911">
      <c r="O911" s="86"/>
      <c r="P911" s="86"/>
      <c r="Q911" s="86"/>
      <c r="R911" s="86"/>
      <c r="S911" s="86"/>
      <c r="T911" s="86"/>
      <c r="U911" s="86"/>
    </row>
    <row r="912">
      <c r="O912" s="86"/>
      <c r="P912" s="86"/>
      <c r="Q912" s="86"/>
      <c r="R912" s="86"/>
      <c r="S912" s="86"/>
      <c r="T912" s="86"/>
      <c r="U912" s="86"/>
    </row>
    <row r="913">
      <c r="O913" s="86"/>
      <c r="P913" s="86"/>
      <c r="Q913" s="86"/>
      <c r="R913" s="86"/>
      <c r="S913" s="86"/>
      <c r="T913" s="86"/>
      <c r="U913" s="86"/>
    </row>
    <row r="914">
      <c r="O914" s="86"/>
      <c r="P914" s="86"/>
      <c r="Q914" s="86"/>
      <c r="R914" s="86"/>
      <c r="S914" s="86"/>
      <c r="T914" s="86"/>
      <c r="U914" s="86"/>
    </row>
    <row r="915">
      <c r="O915" s="86"/>
      <c r="P915" s="86"/>
      <c r="Q915" s="86"/>
      <c r="R915" s="86"/>
      <c r="S915" s="86"/>
      <c r="T915" s="86"/>
      <c r="U915" s="86"/>
    </row>
    <row r="916">
      <c r="O916" s="86"/>
      <c r="P916" s="86"/>
      <c r="Q916" s="86"/>
      <c r="R916" s="86"/>
      <c r="S916" s="86"/>
      <c r="T916" s="86"/>
      <c r="U916" s="86"/>
    </row>
    <row r="917">
      <c r="O917" s="86"/>
      <c r="P917" s="86"/>
      <c r="Q917" s="86"/>
      <c r="R917" s="86"/>
      <c r="S917" s="86"/>
      <c r="T917" s="86"/>
      <c r="U917" s="86"/>
    </row>
    <row r="918">
      <c r="O918" s="86"/>
      <c r="P918" s="86"/>
      <c r="Q918" s="86"/>
      <c r="R918" s="86"/>
      <c r="S918" s="86"/>
      <c r="T918" s="86"/>
      <c r="U918" s="86"/>
    </row>
    <row r="919">
      <c r="O919" s="86"/>
      <c r="P919" s="86"/>
      <c r="Q919" s="86"/>
      <c r="R919" s="86"/>
      <c r="S919" s="86"/>
      <c r="T919" s="86"/>
      <c r="U919" s="86"/>
    </row>
    <row r="920">
      <c r="O920" s="86"/>
      <c r="P920" s="86"/>
      <c r="Q920" s="86"/>
      <c r="R920" s="86"/>
      <c r="S920" s="86"/>
      <c r="T920" s="86"/>
      <c r="U920" s="86"/>
    </row>
    <row r="921">
      <c r="O921" s="86"/>
      <c r="P921" s="86"/>
      <c r="Q921" s="86"/>
      <c r="R921" s="86"/>
      <c r="S921" s="86"/>
      <c r="T921" s="86"/>
      <c r="U921" s="86"/>
    </row>
    <row r="922">
      <c r="O922" s="86"/>
      <c r="P922" s="86"/>
      <c r="Q922" s="86"/>
      <c r="R922" s="86"/>
      <c r="S922" s="86"/>
      <c r="T922" s="86"/>
      <c r="U922" s="86"/>
    </row>
    <row r="923">
      <c r="O923" s="86"/>
      <c r="P923" s="86"/>
      <c r="Q923" s="86"/>
      <c r="R923" s="86"/>
      <c r="S923" s="86"/>
      <c r="T923" s="86"/>
      <c r="U923" s="86"/>
    </row>
    <row r="924">
      <c r="O924" s="86"/>
      <c r="P924" s="86"/>
      <c r="Q924" s="86"/>
      <c r="R924" s="86"/>
      <c r="S924" s="86"/>
      <c r="T924" s="86"/>
      <c r="U924" s="86"/>
    </row>
    <row r="925">
      <c r="O925" s="86"/>
      <c r="P925" s="86"/>
      <c r="Q925" s="86"/>
      <c r="R925" s="86"/>
      <c r="S925" s="86"/>
      <c r="T925" s="86"/>
      <c r="U925" s="86"/>
    </row>
    <row r="926">
      <c r="O926" s="86"/>
      <c r="P926" s="86"/>
      <c r="Q926" s="86"/>
      <c r="R926" s="86"/>
      <c r="S926" s="86"/>
      <c r="T926" s="86"/>
      <c r="U926" s="86"/>
    </row>
    <row r="927">
      <c r="O927" s="86"/>
      <c r="P927" s="86"/>
      <c r="Q927" s="86"/>
      <c r="R927" s="86"/>
      <c r="S927" s="86"/>
      <c r="T927" s="86"/>
      <c r="U927" s="86"/>
    </row>
    <row r="928">
      <c r="O928" s="86"/>
      <c r="P928" s="86"/>
      <c r="Q928" s="86"/>
      <c r="R928" s="86"/>
      <c r="S928" s="86"/>
      <c r="T928" s="86"/>
      <c r="U928" s="86"/>
    </row>
    <row r="929">
      <c r="O929" s="86"/>
      <c r="P929" s="86"/>
      <c r="Q929" s="86"/>
      <c r="R929" s="86"/>
      <c r="S929" s="86"/>
      <c r="T929" s="86"/>
      <c r="U929" s="86"/>
    </row>
    <row r="930">
      <c r="O930" s="86"/>
      <c r="P930" s="86"/>
      <c r="Q930" s="86"/>
      <c r="R930" s="86"/>
      <c r="S930" s="86"/>
      <c r="T930" s="86"/>
      <c r="U930" s="86"/>
    </row>
    <row r="931">
      <c r="O931" s="86"/>
      <c r="P931" s="86"/>
      <c r="Q931" s="86"/>
      <c r="R931" s="86"/>
      <c r="S931" s="86"/>
      <c r="T931" s="86"/>
      <c r="U931" s="86"/>
    </row>
    <row r="932">
      <c r="O932" s="86"/>
      <c r="P932" s="86"/>
      <c r="Q932" s="86"/>
      <c r="R932" s="86"/>
      <c r="S932" s="86"/>
      <c r="T932" s="86"/>
      <c r="U932" s="86"/>
    </row>
    <row r="933">
      <c r="O933" s="86"/>
      <c r="P933" s="86"/>
      <c r="Q933" s="86"/>
      <c r="R933" s="86"/>
      <c r="S933" s="86"/>
      <c r="T933" s="86"/>
      <c r="U933" s="86"/>
    </row>
    <row r="934">
      <c r="O934" s="86"/>
      <c r="P934" s="86"/>
      <c r="Q934" s="86"/>
      <c r="R934" s="86"/>
      <c r="S934" s="86"/>
      <c r="T934" s="86"/>
      <c r="U934" s="86"/>
    </row>
    <row r="935">
      <c r="O935" s="86"/>
      <c r="P935" s="86"/>
      <c r="Q935" s="86"/>
      <c r="R935" s="86"/>
      <c r="S935" s="86"/>
      <c r="T935" s="86"/>
      <c r="U935" s="86"/>
    </row>
    <row r="936">
      <c r="O936" s="86"/>
      <c r="P936" s="86"/>
      <c r="Q936" s="86"/>
      <c r="R936" s="86"/>
      <c r="S936" s="86"/>
      <c r="T936" s="86"/>
      <c r="U936" s="86"/>
    </row>
    <row r="937">
      <c r="O937" s="86"/>
      <c r="P937" s="86"/>
      <c r="Q937" s="86"/>
      <c r="R937" s="86"/>
      <c r="S937" s="86"/>
      <c r="T937" s="86"/>
      <c r="U937" s="86"/>
    </row>
    <row r="938">
      <c r="O938" s="86"/>
      <c r="P938" s="86"/>
      <c r="Q938" s="86"/>
      <c r="R938" s="86"/>
      <c r="S938" s="86"/>
      <c r="T938" s="86"/>
      <c r="U938" s="86"/>
    </row>
    <row r="939">
      <c r="O939" s="86"/>
      <c r="P939" s="86"/>
      <c r="Q939" s="86"/>
      <c r="R939" s="86"/>
      <c r="S939" s="86"/>
      <c r="T939" s="86"/>
      <c r="U939" s="86"/>
    </row>
    <row r="940">
      <c r="O940" s="86"/>
      <c r="P940" s="86"/>
      <c r="Q940" s="86"/>
      <c r="R940" s="86"/>
      <c r="S940" s="86"/>
      <c r="T940" s="86"/>
      <c r="U940" s="86"/>
    </row>
    <row r="941">
      <c r="O941" s="86"/>
      <c r="P941" s="86"/>
      <c r="Q941" s="86"/>
      <c r="R941" s="86"/>
      <c r="S941" s="86"/>
      <c r="T941" s="86"/>
      <c r="U941" s="86"/>
    </row>
    <row r="942">
      <c r="O942" s="86"/>
      <c r="P942" s="86"/>
      <c r="Q942" s="86"/>
      <c r="R942" s="86"/>
      <c r="S942" s="86"/>
      <c r="T942" s="86"/>
      <c r="U942" s="86"/>
    </row>
    <row r="943">
      <c r="O943" s="86"/>
      <c r="P943" s="86"/>
      <c r="Q943" s="86"/>
      <c r="R943" s="86"/>
      <c r="S943" s="86"/>
      <c r="T943" s="86"/>
      <c r="U943" s="86"/>
    </row>
    <row r="944">
      <c r="O944" s="86"/>
      <c r="P944" s="86"/>
      <c r="Q944" s="86"/>
      <c r="R944" s="86"/>
      <c r="S944" s="86"/>
      <c r="T944" s="86"/>
      <c r="U944" s="86"/>
    </row>
    <row r="945">
      <c r="O945" s="86"/>
      <c r="P945" s="86"/>
      <c r="Q945" s="86"/>
      <c r="R945" s="86"/>
      <c r="S945" s="86"/>
      <c r="T945" s="86"/>
      <c r="U945" s="86"/>
    </row>
    <row r="946">
      <c r="O946" s="86"/>
      <c r="P946" s="86"/>
      <c r="Q946" s="86"/>
      <c r="R946" s="86"/>
      <c r="S946" s="86"/>
      <c r="T946" s="86"/>
      <c r="U946" s="86"/>
    </row>
    <row r="947">
      <c r="O947" s="86"/>
      <c r="P947" s="86"/>
      <c r="Q947" s="86"/>
      <c r="R947" s="86"/>
      <c r="S947" s="86"/>
      <c r="T947" s="86"/>
      <c r="U947" s="86"/>
    </row>
    <row r="948">
      <c r="O948" s="86"/>
      <c r="P948" s="86"/>
      <c r="Q948" s="86"/>
      <c r="R948" s="86"/>
      <c r="S948" s="86"/>
      <c r="T948" s="86"/>
      <c r="U948" s="86"/>
    </row>
    <row r="949">
      <c r="O949" s="86"/>
      <c r="P949" s="86"/>
      <c r="Q949" s="86"/>
      <c r="R949" s="86"/>
      <c r="S949" s="86"/>
      <c r="T949" s="86"/>
      <c r="U949" s="86"/>
    </row>
    <row r="950">
      <c r="O950" s="86"/>
      <c r="P950" s="86"/>
      <c r="Q950" s="86"/>
      <c r="R950" s="86"/>
      <c r="S950" s="86"/>
      <c r="T950" s="86"/>
      <c r="U950" s="86"/>
    </row>
    <row r="951">
      <c r="O951" s="86"/>
      <c r="P951" s="86"/>
      <c r="Q951" s="86"/>
      <c r="R951" s="86"/>
      <c r="S951" s="86"/>
      <c r="T951" s="86"/>
      <c r="U951" s="86"/>
    </row>
    <row r="952">
      <c r="O952" s="86"/>
      <c r="P952" s="86"/>
      <c r="Q952" s="86"/>
      <c r="R952" s="86"/>
      <c r="S952" s="86"/>
      <c r="T952" s="86"/>
      <c r="U952" s="86"/>
    </row>
    <row r="953">
      <c r="O953" s="86"/>
      <c r="P953" s="86"/>
      <c r="Q953" s="86"/>
      <c r="R953" s="86"/>
      <c r="S953" s="86"/>
      <c r="T953" s="86"/>
      <c r="U953" s="86"/>
    </row>
    <row r="954">
      <c r="O954" s="86"/>
      <c r="P954" s="86"/>
      <c r="Q954" s="86"/>
      <c r="R954" s="86"/>
      <c r="S954" s="86"/>
      <c r="T954" s="86"/>
      <c r="U954" s="86"/>
    </row>
    <row r="955">
      <c r="O955" s="86"/>
      <c r="P955" s="86"/>
      <c r="Q955" s="86"/>
      <c r="R955" s="86"/>
      <c r="S955" s="86"/>
      <c r="T955" s="86"/>
      <c r="U955" s="86"/>
    </row>
    <row r="956">
      <c r="O956" s="86"/>
      <c r="P956" s="86"/>
      <c r="Q956" s="86"/>
      <c r="R956" s="86"/>
      <c r="S956" s="86"/>
      <c r="T956" s="86"/>
      <c r="U956" s="86"/>
    </row>
    <row r="957">
      <c r="O957" s="86"/>
      <c r="P957" s="86"/>
      <c r="Q957" s="86"/>
      <c r="R957" s="86"/>
      <c r="S957" s="86"/>
      <c r="T957" s="86"/>
      <c r="U957" s="86"/>
    </row>
    <row r="958">
      <c r="O958" s="86"/>
      <c r="P958" s="86"/>
      <c r="Q958" s="86"/>
      <c r="R958" s="86"/>
      <c r="S958" s="86"/>
      <c r="T958" s="86"/>
      <c r="U958" s="86"/>
    </row>
    <row r="959">
      <c r="O959" s="86"/>
      <c r="P959" s="86"/>
      <c r="Q959" s="86"/>
      <c r="R959" s="86"/>
      <c r="S959" s="86"/>
      <c r="T959" s="86"/>
      <c r="U959" s="86"/>
    </row>
    <row r="960">
      <c r="O960" s="86"/>
      <c r="P960" s="86"/>
      <c r="Q960" s="86"/>
      <c r="R960" s="86"/>
      <c r="S960" s="86"/>
      <c r="T960" s="86"/>
      <c r="U960" s="86"/>
    </row>
    <row r="961">
      <c r="O961" s="86"/>
      <c r="P961" s="86"/>
      <c r="Q961" s="86"/>
      <c r="R961" s="86"/>
      <c r="S961" s="86"/>
      <c r="T961" s="86"/>
      <c r="U961" s="86"/>
    </row>
    <row r="962">
      <c r="O962" s="86"/>
      <c r="P962" s="86"/>
      <c r="Q962" s="86"/>
      <c r="R962" s="86"/>
      <c r="S962" s="86"/>
      <c r="T962" s="86"/>
      <c r="U962" s="86"/>
    </row>
    <row r="963">
      <c r="O963" s="86"/>
      <c r="P963" s="86"/>
      <c r="Q963" s="86"/>
      <c r="R963" s="86"/>
      <c r="S963" s="86"/>
      <c r="T963" s="86"/>
      <c r="U963" s="86"/>
    </row>
    <row r="964">
      <c r="O964" s="86"/>
      <c r="P964" s="86"/>
      <c r="Q964" s="86"/>
      <c r="R964" s="86"/>
      <c r="S964" s="86"/>
      <c r="T964" s="86"/>
      <c r="U964" s="86"/>
    </row>
    <row r="965">
      <c r="O965" s="86"/>
      <c r="P965" s="86"/>
      <c r="Q965" s="86"/>
      <c r="R965" s="86"/>
      <c r="S965" s="86"/>
      <c r="T965" s="86"/>
      <c r="U965" s="86"/>
    </row>
    <row r="966">
      <c r="O966" s="86"/>
      <c r="P966" s="86"/>
      <c r="Q966" s="86"/>
      <c r="R966" s="86"/>
      <c r="S966" s="86"/>
      <c r="T966" s="86"/>
      <c r="U966" s="86"/>
    </row>
    <row r="967">
      <c r="O967" s="86"/>
      <c r="P967" s="86"/>
      <c r="Q967" s="86"/>
      <c r="R967" s="86"/>
      <c r="S967" s="86"/>
      <c r="T967" s="86"/>
      <c r="U967" s="86"/>
    </row>
    <row r="968">
      <c r="O968" s="86"/>
      <c r="P968" s="86"/>
      <c r="Q968" s="86"/>
      <c r="R968" s="86"/>
      <c r="S968" s="86"/>
      <c r="T968" s="86"/>
      <c r="U968" s="86"/>
    </row>
    <row r="969">
      <c r="O969" s="86"/>
      <c r="P969" s="86"/>
      <c r="Q969" s="86"/>
      <c r="R969" s="86"/>
      <c r="S969" s="86"/>
      <c r="T969" s="86"/>
      <c r="U969" s="86"/>
    </row>
    <row r="970">
      <c r="O970" s="86"/>
      <c r="P970" s="86"/>
      <c r="Q970" s="86"/>
      <c r="R970" s="86"/>
      <c r="S970" s="86"/>
      <c r="T970" s="86"/>
      <c r="U970" s="86"/>
    </row>
    <row r="971">
      <c r="O971" s="86"/>
      <c r="P971" s="86"/>
      <c r="Q971" s="86"/>
      <c r="R971" s="86"/>
      <c r="S971" s="86"/>
      <c r="T971" s="86"/>
      <c r="U971" s="86"/>
    </row>
    <row r="972">
      <c r="O972" s="86"/>
      <c r="P972" s="86"/>
      <c r="Q972" s="86"/>
      <c r="R972" s="86"/>
      <c r="S972" s="86"/>
      <c r="T972" s="86"/>
      <c r="U972" s="86"/>
    </row>
    <row r="973">
      <c r="O973" s="86"/>
      <c r="P973" s="86"/>
      <c r="Q973" s="86"/>
      <c r="R973" s="86"/>
      <c r="S973" s="86"/>
      <c r="T973" s="86"/>
      <c r="U973" s="86"/>
    </row>
    <row r="974">
      <c r="O974" s="86"/>
      <c r="P974" s="86"/>
      <c r="Q974" s="86"/>
      <c r="R974" s="86"/>
      <c r="S974" s="86"/>
      <c r="T974" s="86"/>
      <c r="U974" s="86"/>
    </row>
    <row r="975">
      <c r="O975" s="86"/>
      <c r="P975" s="86"/>
      <c r="Q975" s="86"/>
      <c r="R975" s="86"/>
      <c r="S975" s="86"/>
      <c r="T975" s="86"/>
      <c r="U975" s="86"/>
    </row>
    <row r="976">
      <c r="O976" s="86"/>
      <c r="P976" s="86"/>
      <c r="Q976" s="86"/>
      <c r="R976" s="86"/>
      <c r="S976" s="86"/>
      <c r="T976" s="86"/>
      <c r="U976" s="86"/>
    </row>
    <row r="977">
      <c r="O977" s="86"/>
      <c r="P977" s="86"/>
      <c r="Q977" s="86"/>
      <c r="R977" s="86"/>
      <c r="S977" s="86"/>
      <c r="T977" s="86"/>
      <c r="U977" s="86"/>
    </row>
    <row r="978">
      <c r="O978" s="86"/>
      <c r="P978" s="86"/>
      <c r="Q978" s="86"/>
      <c r="R978" s="86"/>
      <c r="S978" s="86"/>
      <c r="T978" s="86"/>
      <c r="U978" s="86"/>
    </row>
    <row r="979">
      <c r="O979" s="86"/>
      <c r="P979" s="86"/>
      <c r="Q979" s="86"/>
      <c r="R979" s="86"/>
      <c r="S979" s="86"/>
      <c r="T979" s="86"/>
      <c r="U979" s="86"/>
    </row>
    <row r="980">
      <c r="O980" s="86"/>
      <c r="P980" s="86"/>
      <c r="Q980" s="86"/>
      <c r="R980" s="86"/>
      <c r="S980" s="86"/>
      <c r="T980" s="86"/>
      <c r="U980" s="86"/>
    </row>
    <row r="981">
      <c r="O981" s="86"/>
      <c r="P981" s="86"/>
      <c r="Q981" s="86"/>
      <c r="R981" s="86"/>
      <c r="S981" s="86"/>
      <c r="T981" s="86"/>
      <c r="U981" s="86"/>
    </row>
    <row r="982">
      <c r="O982" s="86"/>
      <c r="P982" s="86"/>
      <c r="Q982" s="86"/>
      <c r="R982" s="86"/>
      <c r="S982" s="86"/>
      <c r="T982" s="86"/>
      <c r="U982" s="86"/>
    </row>
    <row r="983">
      <c r="O983" s="86"/>
      <c r="P983" s="86"/>
      <c r="Q983" s="86"/>
      <c r="R983" s="86"/>
      <c r="S983" s="86"/>
      <c r="T983" s="86"/>
      <c r="U983" s="86"/>
    </row>
    <row r="984">
      <c r="O984" s="86"/>
      <c r="P984" s="86"/>
      <c r="Q984" s="86"/>
      <c r="R984" s="86"/>
      <c r="S984" s="86"/>
      <c r="T984" s="86"/>
      <c r="U984" s="86"/>
    </row>
    <row r="985">
      <c r="O985" s="86"/>
      <c r="P985" s="86"/>
      <c r="Q985" s="86"/>
      <c r="R985" s="86"/>
      <c r="S985" s="86"/>
      <c r="T985" s="86"/>
      <c r="U985" s="86"/>
    </row>
    <row r="986">
      <c r="O986" s="86"/>
      <c r="P986" s="86"/>
      <c r="Q986" s="86"/>
      <c r="R986" s="86"/>
      <c r="S986" s="86"/>
      <c r="T986" s="86"/>
      <c r="U986" s="86"/>
    </row>
    <row r="987">
      <c r="O987" s="86"/>
      <c r="P987" s="86"/>
      <c r="Q987" s="86"/>
      <c r="R987" s="86"/>
      <c r="S987" s="86"/>
      <c r="T987" s="86"/>
      <c r="U987" s="86"/>
    </row>
    <row r="988">
      <c r="O988" s="86"/>
      <c r="P988" s="86"/>
      <c r="Q988" s="86"/>
      <c r="R988" s="86"/>
      <c r="S988" s="86"/>
      <c r="T988" s="86"/>
      <c r="U988" s="86"/>
    </row>
    <row r="989">
      <c r="O989" s="86"/>
      <c r="P989" s="86"/>
      <c r="Q989" s="86"/>
      <c r="R989" s="86"/>
      <c r="S989" s="86"/>
      <c r="T989" s="86"/>
      <c r="U989" s="86"/>
    </row>
    <row r="990">
      <c r="O990" s="86"/>
      <c r="P990" s="86"/>
      <c r="Q990" s="86"/>
      <c r="R990" s="86"/>
      <c r="S990" s="86"/>
      <c r="T990" s="86"/>
      <c r="U990" s="86"/>
    </row>
    <row r="991">
      <c r="O991" s="86"/>
      <c r="P991" s="86"/>
      <c r="Q991" s="86"/>
      <c r="R991" s="86"/>
      <c r="S991" s="86"/>
      <c r="T991" s="86"/>
      <c r="U991" s="86"/>
    </row>
    <row r="992">
      <c r="O992" s="86"/>
      <c r="P992" s="86"/>
      <c r="Q992" s="86"/>
      <c r="R992" s="86"/>
      <c r="S992" s="86"/>
      <c r="T992" s="86"/>
      <c r="U992" s="86"/>
    </row>
    <row r="993">
      <c r="O993" s="86"/>
      <c r="P993" s="86"/>
      <c r="Q993" s="86"/>
      <c r="R993" s="86"/>
      <c r="S993" s="86"/>
      <c r="T993" s="86"/>
      <c r="U993" s="86"/>
    </row>
    <row r="994">
      <c r="O994" s="86"/>
      <c r="P994" s="86"/>
      <c r="Q994" s="86"/>
      <c r="R994" s="86"/>
      <c r="S994" s="86"/>
      <c r="T994" s="86"/>
      <c r="U994" s="86"/>
    </row>
    <row r="995">
      <c r="O995" s="86"/>
      <c r="P995" s="86"/>
      <c r="Q995" s="86"/>
      <c r="R995" s="86"/>
      <c r="S995" s="86"/>
      <c r="T995" s="86"/>
      <c r="U995" s="86"/>
    </row>
    <row r="996">
      <c r="O996" s="86"/>
      <c r="P996" s="86"/>
      <c r="Q996" s="86"/>
      <c r="R996" s="86"/>
      <c r="S996" s="86"/>
      <c r="T996" s="86"/>
      <c r="U996" s="86"/>
    </row>
    <row r="997">
      <c r="O997" s="86"/>
      <c r="P997" s="86"/>
      <c r="Q997" s="86"/>
      <c r="R997" s="86"/>
      <c r="S997" s="86"/>
      <c r="T997" s="86"/>
      <c r="U997" s="86"/>
    </row>
    <row r="998">
      <c r="O998" s="86"/>
      <c r="P998" s="86"/>
      <c r="Q998" s="86"/>
      <c r="R998" s="86"/>
      <c r="S998" s="86"/>
      <c r="T998" s="86"/>
      <c r="U998" s="86"/>
    </row>
    <row r="999">
      <c r="O999" s="86"/>
      <c r="P999" s="86"/>
      <c r="Q999" s="86"/>
      <c r="R999" s="86"/>
      <c r="S999" s="86"/>
      <c r="T999" s="86"/>
      <c r="U999" s="86"/>
    </row>
    <row r="1000">
      <c r="O1000" s="86"/>
      <c r="P1000" s="86"/>
      <c r="Q1000" s="86"/>
      <c r="R1000" s="86"/>
      <c r="S1000" s="86"/>
      <c r="T1000" s="86"/>
      <c r="U1000" s="86"/>
    </row>
    <row r="1001">
      <c r="O1001" s="86"/>
      <c r="P1001" s="86"/>
      <c r="Q1001" s="86"/>
      <c r="R1001" s="86"/>
      <c r="S1001" s="86"/>
      <c r="T1001" s="86"/>
      <c r="U1001" s="86"/>
    </row>
    <row r="1002">
      <c r="O1002" s="86"/>
      <c r="P1002" s="86"/>
      <c r="Q1002" s="86"/>
      <c r="R1002" s="86"/>
      <c r="S1002" s="86"/>
      <c r="T1002" s="86"/>
      <c r="U1002" s="86"/>
    </row>
    <row r="1003">
      <c r="O1003" s="86"/>
      <c r="P1003" s="86"/>
      <c r="Q1003" s="86"/>
      <c r="R1003" s="86"/>
      <c r="S1003" s="86"/>
      <c r="T1003" s="86"/>
      <c r="U1003" s="86"/>
    </row>
    <row r="1004">
      <c r="O1004" s="86"/>
      <c r="P1004" s="86"/>
      <c r="Q1004" s="86"/>
      <c r="R1004" s="86"/>
      <c r="S1004" s="86"/>
      <c r="T1004" s="86"/>
      <c r="U1004" s="86"/>
    </row>
    <row r="1005">
      <c r="O1005" s="86"/>
      <c r="P1005" s="86"/>
      <c r="Q1005" s="86"/>
      <c r="R1005" s="86"/>
      <c r="S1005" s="86"/>
      <c r="T1005" s="86"/>
      <c r="U1005" s="86"/>
    </row>
    <row r="1006">
      <c r="O1006" s="86"/>
      <c r="P1006" s="86"/>
      <c r="Q1006" s="86"/>
      <c r="R1006" s="86"/>
      <c r="S1006" s="86"/>
      <c r="T1006" s="86"/>
      <c r="U1006" s="86"/>
    </row>
    <row r="1007">
      <c r="O1007" s="86"/>
      <c r="P1007" s="86"/>
      <c r="Q1007" s="86"/>
      <c r="R1007" s="86"/>
      <c r="S1007" s="86"/>
      <c r="T1007" s="86"/>
      <c r="U1007" s="86"/>
    </row>
    <row r="1008">
      <c r="O1008" s="86"/>
      <c r="P1008" s="86"/>
      <c r="Q1008" s="86"/>
      <c r="R1008" s="86"/>
      <c r="S1008" s="86"/>
      <c r="T1008" s="86"/>
      <c r="U1008" s="86"/>
    </row>
    <row r="1009">
      <c r="O1009" s="86"/>
      <c r="P1009" s="86"/>
      <c r="Q1009" s="86"/>
      <c r="R1009" s="86"/>
      <c r="S1009" s="86"/>
      <c r="T1009" s="86"/>
      <c r="U1009" s="86"/>
    </row>
    <row r="1010">
      <c r="O1010" s="86"/>
      <c r="P1010" s="86"/>
      <c r="Q1010" s="86"/>
      <c r="R1010" s="86"/>
      <c r="S1010" s="86"/>
      <c r="T1010" s="86"/>
      <c r="U1010" s="86"/>
    </row>
    <row r="1011">
      <c r="O1011" s="86"/>
      <c r="P1011" s="86"/>
      <c r="Q1011" s="86"/>
      <c r="R1011" s="86"/>
      <c r="S1011" s="86"/>
      <c r="T1011" s="86"/>
      <c r="U1011" s="86"/>
    </row>
    <row r="1012">
      <c r="O1012" s="86"/>
      <c r="P1012" s="86"/>
      <c r="Q1012" s="86"/>
      <c r="R1012" s="86"/>
      <c r="S1012" s="86"/>
      <c r="T1012" s="86"/>
      <c r="U1012" s="86"/>
    </row>
    <row r="1013">
      <c r="O1013" s="86"/>
      <c r="P1013" s="86"/>
      <c r="Q1013" s="86"/>
      <c r="R1013" s="86"/>
      <c r="S1013" s="86"/>
      <c r="T1013" s="86"/>
      <c r="U1013" s="86"/>
    </row>
  </sheetData>
  <drawing r:id="rId2"/>
  <legacyDrawing r:id="rId3"/>
</worksheet>
</file>